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mplaints" sheetId="1" r:id="rId4"/>
    <sheet state="visible" name="Original" sheetId="2" r:id="rId5"/>
    <sheet state="visible" name="Fintech, Regulatory Arbitrage, " sheetId="3" r:id="rId6"/>
    <sheet state="visible" name="TOP 25 CLOSED-END RESPONDENTS B" sheetId="4" r:id="rId7"/>
  </sheets>
  <definedNames>
    <definedName hidden="1" localSheetId="0" name="_xlnm._FilterDatabase">'All complaints'!$A$1:$D$7779</definedName>
  </definedNames>
  <calcPr/>
</workbook>
</file>

<file path=xl/sharedStrings.xml><?xml version="1.0" encoding="utf-8"?>
<sst xmlns="http://schemas.openxmlformats.org/spreadsheetml/2006/main" count="8337" uniqueCount="7952">
  <si>
    <t>Company</t>
  </si>
  <si>
    <t>count</t>
  </si>
  <si>
    <t>Fintech?</t>
  </si>
  <si>
    <t>notes</t>
  </si>
  <si>
    <t>EQUIFAX, INC.</t>
  </si>
  <si>
    <t>credit bureat</t>
  </si>
  <si>
    <t>TRANSUNION INTERMEDIATE HOLDINGS, INC.</t>
  </si>
  <si>
    <t># of labeled fintechs</t>
  </si>
  <si>
    <t>FINTECHS</t>
  </si>
  <si>
    <t>Experian Information Solutions Inc.</t>
  </si>
  <si>
    <t># of labeled top 100 non credit institutions</t>
  </si>
  <si>
    <t>BANK OF AMERICA, NATIONAL ASSOCIATION</t>
  </si>
  <si>
    <t>non fintech</t>
  </si>
  <si>
    <t xml:space="preserve">of those top 100 fintechs = </t>
  </si>
  <si>
    <t>WELLS FARGO &amp; COMPANY</t>
  </si>
  <si>
    <t>JPMORGAN CHASE &amp; CO.</t>
  </si>
  <si>
    <t>CAPITAL ONE FINANCIAL CORPORATION</t>
  </si>
  <si>
    <t>CITIBANK, N.A.</t>
  </si>
  <si>
    <t>SYNCHRONY FINANCIAL</t>
  </si>
  <si>
    <t>Block, Inc.</t>
  </si>
  <si>
    <t>fintech</t>
  </si>
  <si>
    <t>Resurgent Capital Services L.P.</t>
  </si>
  <si>
    <t>debt collection</t>
  </si>
  <si>
    <t>AMERICAN EXPRESS COMPANY</t>
  </si>
  <si>
    <t>kinda? - doesn't have physical branches but is 180 years old</t>
  </si>
  <si>
    <t>Portfolio Recovery Associates, LLC</t>
  </si>
  <si>
    <t>ENCORE CAPITAL GROUP INC.</t>
  </si>
  <si>
    <t>debt buying</t>
  </si>
  <si>
    <t>U.S. BANCORP</t>
  </si>
  <si>
    <t>Navient Solutions, LLC.</t>
  </si>
  <si>
    <t>student loans</t>
  </si>
  <si>
    <t>DISCOVER BANK</t>
  </si>
  <si>
    <t>NAVY FEDERAL CREDIT UNION</t>
  </si>
  <si>
    <t>Bread Financial Holdings, Inc.</t>
  </si>
  <si>
    <t>tech-forward traditional financial services</t>
  </si>
  <si>
    <t>Ocwen Financial Corporation</t>
  </si>
  <si>
    <t>mortgage</t>
  </si>
  <si>
    <t>CBC Companies, Inc.</t>
  </si>
  <si>
    <t>LEXISNEXIS</t>
  </si>
  <si>
    <t>I think</t>
  </si>
  <si>
    <t>TD BANK US HOLDING COMPANY</t>
  </si>
  <si>
    <t>Early Warning Services, LLC</t>
  </si>
  <si>
    <t>Paypal Holdings, Inc</t>
  </si>
  <si>
    <t>PNC Bank N.A.</t>
  </si>
  <si>
    <t>CL Holdings LLC</t>
  </si>
  <si>
    <t>ALLY FINANCIAL INC.</t>
  </si>
  <si>
    <t>BARCLAYS BANK DELAWARE</t>
  </si>
  <si>
    <t>Nelnet, Inc.</t>
  </si>
  <si>
    <t>MOHELA</t>
  </si>
  <si>
    <t>student aid</t>
  </si>
  <si>
    <t>TRUIST FINANCIAL CORPORATION</t>
  </si>
  <si>
    <t>NATIONSTAR MORTGAGE LLC</t>
  </si>
  <si>
    <t>CCS Financial Services, Inc.</t>
  </si>
  <si>
    <t>I.C. System, Inc.</t>
  </si>
  <si>
    <t>credit recovery</t>
  </si>
  <si>
    <t>Chime Financial Inc</t>
  </si>
  <si>
    <t>paper</t>
  </si>
  <si>
    <t>https://www.sciencedirect.com/science/article/pii/S1057521920301885</t>
  </si>
  <si>
    <t>TRANSWORLD SYSTEMS INC</t>
  </si>
  <si>
    <t>UNITED SERVICES AUTOMOBILE ASSOCIATION</t>
  </si>
  <si>
    <t>AES/PHEAA</t>
  </si>
  <si>
    <t>CITIZENS FINANCIAL GROUP, INC.</t>
  </si>
  <si>
    <t>Shellpoint Partners, LLC</t>
  </si>
  <si>
    <t>SELECT PORTFOLIO SERVICING, INC.</t>
  </si>
  <si>
    <t>GOLDMAN SACHS BANK USA</t>
  </si>
  <si>
    <t>Ditech Financial LLC</t>
  </si>
  <si>
    <t>National Credit Systems,Inc.</t>
  </si>
  <si>
    <t>Mr. Cooper Group Inc.</t>
  </si>
  <si>
    <t>Fidelity National Information Services, Inc. (FNIS)</t>
  </si>
  <si>
    <t>FIFTH THIRD FINANCIAL CORPORATION</t>
  </si>
  <si>
    <t>Santander Consumer USA Holdings Inc.</t>
  </si>
  <si>
    <t>ERC</t>
  </si>
  <si>
    <t>HSBC NORTH AMERICA HOLDINGS INC.</t>
  </si>
  <si>
    <t>SANTANDER HOLDINGS USA, INC.</t>
  </si>
  <si>
    <t>CREDIT ACCEPTANCE CORPORATION</t>
  </si>
  <si>
    <t>Kriya Capital, LLC</t>
  </si>
  <si>
    <t>Westlake Services, LLC</t>
  </si>
  <si>
    <t>Affirm Holdings, Inc</t>
  </si>
  <si>
    <t>SUNTRUST BANKS, INC.</t>
  </si>
  <si>
    <t>Convergent Resources, Inc.</t>
  </si>
  <si>
    <t>REGIONS FINANCIAL CORPORATION</t>
  </si>
  <si>
    <t>M&amp;T BANK CORPORATION</t>
  </si>
  <si>
    <t>OneMain Finance Corporation</t>
  </si>
  <si>
    <t>Maximus Federal Services, Inc.</t>
  </si>
  <si>
    <t>Specialized Loan Servicing Holdings LLC</t>
  </si>
  <si>
    <t>CAINE &amp; WEINER COMPANY, INC.</t>
  </si>
  <si>
    <t>Coinbase, Inc.</t>
  </si>
  <si>
    <t>Freedom Mortgage Company</t>
  </si>
  <si>
    <t>General Motors Financial Company, Inc.</t>
  </si>
  <si>
    <t>National Credit Adjusters, LLC</t>
  </si>
  <si>
    <t>Self Financial Inc.</t>
  </si>
  <si>
    <t>CORELOGIC INC</t>
  </si>
  <si>
    <t>KEYCORP</t>
  </si>
  <si>
    <t>LoanCare, LLC</t>
  </si>
  <si>
    <t>Comerica</t>
  </si>
  <si>
    <t>TOYOTA MOTOR CREDIT CORPORATION</t>
  </si>
  <si>
    <t>HUNTINGTON NATIONAL BANK, THE</t>
  </si>
  <si>
    <t>HW Holding, Inc</t>
  </si>
  <si>
    <t>EdFinancial Services</t>
  </si>
  <si>
    <t>Exeter Finance, LLC.</t>
  </si>
  <si>
    <t>CLGF Holdco 1, LLC</t>
  </si>
  <si>
    <t>Southwest Credit Systems, L.P.</t>
  </si>
  <si>
    <t>HYUNDAI CAPITAL AMERICA</t>
  </si>
  <si>
    <t>CARRINGTON MORTGAGE SERVICES, LLC</t>
  </si>
  <si>
    <t>ID Analytics, Inc.</t>
  </si>
  <si>
    <t>Radius Global Solutions LLC</t>
  </si>
  <si>
    <t>BMO Bank, N.A.</t>
  </si>
  <si>
    <t>Spring Oaks Capital, LLC</t>
  </si>
  <si>
    <t>Rocket Mortgage, LLC</t>
  </si>
  <si>
    <t>Rowland Avenue Management, Inc. A/KA Columbia Debt Recovery, LLC d/b/a Genesis</t>
  </si>
  <si>
    <t>PENTAGON FEDERAL CREDIT UNION</t>
  </si>
  <si>
    <t>BB&amp;T CORPORATION</t>
  </si>
  <si>
    <t>Bridgecrest Acceptance Corporation</t>
  </si>
  <si>
    <t>BBVA FINANCIAL CORPORATION</t>
  </si>
  <si>
    <t>CAVALRY INVESTMENTS, LLC</t>
  </si>
  <si>
    <t>PENNYMAC LOAN SERVICES, LLC.</t>
  </si>
  <si>
    <t>Netspend Corporation</t>
  </si>
  <si>
    <t>SLM CORPORATION</t>
  </si>
  <si>
    <t>NCB Management Services Inc.</t>
  </si>
  <si>
    <t>AFNI INC.</t>
  </si>
  <si>
    <t>Diversified Consultants, Inc.</t>
  </si>
  <si>
    <t>Caliber Home Loans, Inc.</t>
  </si>
  <si>
    <t>ENOVA INTERNATIONAL, INC.</t>
  </si>
  <si>
    <t>FAIR COLLECTIONS &amp; OUTSOURCING, INC.</t>
  </si>
  <si>
    <t>Amsher Collection Services, Inc.</t>
  </si>
  <si>
    <t>SUNRISE CREDIT SERVICES, INC</t>
  </si>
  <si>
    <t>T.S. Holdings</t>
  </si>
  <si>
    <t>ProCollect, Inc.</t>
  </si>
  <si>
    <t>NISSAN MOTOR ACCEPTANCE COMPANY LLC</t>
  </si>
  <si>
    <t>Seterus, Inc.</t>
  </si>
  <si>
    <t>Synovus Bank</t>
  </si>
  <si>
    <t>SANTANDER BANK, NATIONAL ASSOCIATION</t>
  </si>
  <si>
    <t>Credit Karma, LLC</t>
  </si>
  <si>
    <t>Flagstar Bank, N.A.</t>
  </si>
  <si>
    <t>Commonwealth Financial Systems, Inc.</t>
  </si>
  <si>
    <t>AMERICAN HONDA FINANCE CORP</t>
  </si>
  <si>
    <t>Atlanticus Services Corporation</t>
  </si>
  <si>
    <t>HCFS Healthcare Financial Services of TeamHealth</t>
  </si>
  <si>
    <t>Community Loan Servicing, LLC (formerly known as Bayview Loan Servicing, LLC)</t>
  </si>
  <si>
    <t>SOFI TECHNOLOGIES, INC.</t>
  </si>
  <si>
    <t>RUSHMORE LOAN MANAGEMENT SERVICES LLC</t>
  </si>
  <si>
    <t>Kikoff Inc.</t>
  </si>
  <si>
    <t>Fay Servicing, LLC</t>
  </si>
  <si>
    <t>FIRST NATIONAL BANK OF OMAHA</t>
  </si>
  <si>
    <t>The CBE Group, Inc.</t>
  </si>
  <si>
    <t>Sequium Asset Solutions, LLC</t>
  </si>
  <si>
    <t>CURO Intermediate Holdings</t>
  </si>
  <si>
    <t>Global Lending Services LLC</t>
  </si>
  <si>
    <t>ROBINHOOD MARKETS INC.</t>
  </si>
  <si>
    <t>Aldous &amp; Associates, PLLC</t>
  </si>
  <si>
    <t>World Acceptance Corporation</t>
  </si>
  <si>
    <t>W&amp;A Intermediate Co., LLC</t>
  </si>
  <si>
    <t>UPGRADE, INC.</t>
  </si>
  <si>
    <t>FC HoldCo LLC</t>
  </si>
  <si>
    <t>MONEYGRAM PAYMENT SYSTEMS WORLDWIDE INC</t>
  </si>
  <si>
    <t>The CMI Group, Inc.</t>
  </si>
  <si>
    <t>ACIMA CREDIT, LLC</t>
  </si>
  <si>
    <t>FORD MOTOR CREDIT CO.</t>
  </si>
  <si>
    <t>NRA Group, LLC</t>
  </si>
  <si>
    <t>CarMax, Inc.</t>
  </si>
  <si>
    <t>MoneyLion Inc.</t>
  </si>
  <si>
    <t>Consumer Portfolio Services, Inc.</t>
  </si>
  <si>
    <t>Ability Recovery Services, LLC</t>
  </si>
  <si>
    <t>TrueAccord Corp.</t>
  </si>
  <si>
    <t>Source Receivables Management LLC</t>
  </si>
  <si>
    <t>Phoenix Financial Services LLC</t>
  </si>
  <si>
    <t>Incomm Holdings Inc.</t>
  </si>
  <si>
    <t>Capio Partners, LLC</t>
  </si>
  <si>
    <t>EOS Holdings, Inc.</t>
  </si>
  <si>
    <t>ONLINE Information Services, Inc.</t>
  </si>
  <si>
    <t>Harris &amp; Harris, Ltd.</t>
  </si>
  <si>
    <t>American Credit Acceptance, LLC</t>
  </si>
  <si>
    <t>BMW Financial Services NA, LLC</t>
  </si>
  <si>
    <t>FISERV INC.</t>
  </si>
  <si>
    <t>Continental Finance Company, LLC</t>
  </si>
  <si>
    <t>RoundPoint Mortgage Servicing LLC</t>
  </si>
  <si>
    <t>LD Holdings Group, LLC</t>
  </si>
  <si>
    <t>Security Credit Services, LLC</t>
  </si>
  <si>
    <t>WAKEFIELD &amp; ASSOCIATES, INC.</t>
  </si>
  <si>
    <t>ONEMAIN FINANCIAL HOLDINGS, LLC.</t>
  </si>
  <si>
    <t>Mercedes Benz Financial Services</t>
  </si>
  <si>
    <t>Conn's, Inc.</t>
  </si>
  <si>
    <t>Eastern Account Systems of Connecticut, Inc.</t>
  </si>
  <si>
    <t>Debt Recovery Solutions, LLC</t>
  </si>
  <si>
    <t>Medical Data Systems, Inc.</t>
  </si>
  <si>
    <t>LAKEVIEW LOAN SERVICING, LLC</t>
  </si>
  <si>
    <t>Aargon Agency, Inc.</t>
  </si>
  <si>
    <t>TCF NATIONAL BANK</t>
  </si>
  <si>
    <t>Advanced Resolution Services Inc.</t>
  </si>
  <si>
    <t>Servicer under contract with Federal Student Aid</t>
  </si>
  <si>
    <t>PHH Mortgage Services Corporation</t>
  </si>
  <si>
    <t>Colony Brands, Inc.</t>
  </si>
  <si>
    <t>Receivables Performance Management, LLC</t>
  </si>
  <si>
    <t>Velocity Portfolio Group</t>
  </si>
  <si>
    <t>BANK OF THE WEST</t>
  </si>
  <si>
    <t>Penn Credit Corporation</t>
  </si>
  <si>
    <t>MRS BPO, LLC</t>
  </si>
  <si>
    <t>V and H Portfolio</t>
  </si>
  <si>
    <t>CNG FINANCIAL CORPORATION</t>
  </si>
  <si>
    <t>Rent Recovery Solutions</t>
  </si>
  <si>
    <t>Selene Holdings LLC</t>
  </si>
  <si>
    <t>Dovenmuehle Mortgage, Inc.</t>
  </si>
  <si>
    <t>Diversified Adjustment Service, Inc.</t>
  </si>
  <si>
    <t>AmeriCollect</t>
  </si>
  <si>
    <t>Credit Corp Solutions Inc.</t>
  </si>
  <si>
    <t>CIT BANK, NATIONAL ASSOCIATION</t>
  </si>
  <si>
    <t>Upstart Holdings, Inc.</t>
  </si>
  <si>
    <t>Avant Holding Company, Inc.</t>
  </si>
  <si>
    <t>MARINER FINANCE, LLC</t>
  </si>
  <si>
    <t>LCI Acquisition Inc.</t>
  </si>
  <si>
    <t>John C. Heath, Attorney at Law, PLLC</t>
  </si>
  <si>
    <t>VW Credit</t>
  </si>
  <si>
    <t>Populus Financial Group, Inc. (F/K/A Ace Cash Express)</t>
  </si>
  <si>
    <t>Credit Control, LLC</t>
  </si>
  <si>
    <t>Consumer Adjustment Company Incorporated</t>
  </si>
  <si>
    <t>CCF Intermediate Holdings LLC</t>
  </si>
  <si>
    <t>Conduent Incorporated</t>
  </si>
  <si>
    <t>CMRE Financial Services, Inc.</t>
  </si>
  <si>
    <t>Ad Astra Recovery Services Inc</t>
  </si>
  <si>
    <t>Midwest Recovery Systems</t>
  </si>
  <si>
    <t>Central Portfolio Control Inc.</t>
  </si>
  <si>
    <t>Army and Air Force Exchange Service</t>
  </si>
  <si>
    <t>FactorTrust, Inc.</t>
  </si>
  <si>
    <t>Bull City Financial Solutions, Inc</t>
  </si>
  <si>
    <t>IQOR US INC</t>
  </si>
  <si>
    <t>LJ Ross Associates</t>
  </si>
  <si>
    <t>EXPERT GLOBAL SOLUTIONS, INC.</t>
  </si>
  <si>
    <t>Monterey Financial Services LLC</t>
  </si>
  <si>
    <t>AmeriHome Mortgage Company, LLC</t>
  </si>
  <si>
    <t>Dynamic Recovery Solutions, LLC</t>
  </si>
  <si>
    <t>Lockhart, Morris &amp; Montgomery Inc.</t>
  </si>
  <si>
    <t>United Shore Financial Services, LLC</t>
  </si>
  <si>
    <t>Professional Debt Mediation, Inc.</t>
  </si>
  <si>
    <t>Receivables Management Partners, LLC</t>
  </si>
  <si>
    <t>BANCO POPULAR DE PUERTO RICO</t>
  </si>
  <si>
    <t>The Bureaus, Inc.</t>
  </si>
  <si>
    <t>I.Q. DATA INTERNATIONAL, INC.</t>
  </si>
  <si>
    <t>Selene Finance LP</t>
  </si>
  <si>
    <t>MIDFIRST BANK</t>
  </si>
  <si>
    <t>Collection Management Holdings, LLC</t>
  </si>
  <si>
    <t>NEW YORK COMMUNITY BANCORP INC</t>
  </si>
  <si>
    <t>Lendmark Financial Services</t>
  </si>
  <si>
    <t>EVERBANK, NATIONAL ASSOCIATION</t>
  </si>
  <si>
    <t>RentDebt Automated Collections, LLC</t>
  </si>
  <si>
    <t>Alorica Inc.</t>
  </si>
  <si>
    <t>AMERISAVE MORTGAGE CORPORATION</t>
  </si>
  <si>
    <t>Franklin Collection Service, Inc.</t>
  </si>
  <si>
    <t>TransferWise Ltd</t>
  </si>
  <si>
    <t>Credit Systems International, Inc.</t>
  </si>
  <si>
    <t>Waypoint Resource Group, LLC</t>
  </si>
  <si>
    <t>Absolute Resolutions Corp.</t>
  </si>
  <si>
    <t>GREAT LAKES</t>
  </si>
  <si>
    <t>SECURITY FINANCE CORP</t>
  </si>
  <si>
    <t>MicroBilt / PRBC (formerly CL Verify)</t>
  </si>
  <si>
    <t>ARVEST BANK GROUP, INC.</t>
  </si>
  <si>
    <t>OPORTUN FINANCIAL CORPORATION</t>
  </si>
  <si>
    <t>United Collection Bureau, Inc.</t>
  </si>
  <si>
    <t>Innovis</t>
  </si>
  <si>
    <t>Lending Club Corp</t>
  </si>
  <si>
    <t>STATE EMPLOYEES CREDIT UNION</t>
  </si>
  <si>
    <t>STERLING JEWELERS, INC.</t>
  </si>
  <si>
    <t>Halsted Financial Services, LLC.</t>
  </si>
  <si>
    <t>Cascade CISS Holdings, LLC</t>
  </si>
  <si>
    <t>The Receivable Management Services LLC</t>
  </si>
  <si>
    <t>Continental Services Group, Inc. d/b/a ConServe</t>
  </si>
  <si>
    <t>PLANET HOME LENDING, LLC</t>
  </si>
  <si>
    <t>WEBSTER BANK, NATIONAL ASSOCIATION</t>
  </si>
  <si>
    <t>FIRST HORIZON BANK</t>
  </si>
  <si>
    <t>FIRST ADVANTAGE CORPORATION</t>
  </si>
  <si>
    <t>TekCollect Inc.</t>
  </si>
  <si>
    <t>BSI Financial Holdings, Inc.</t>
  </si>
  <si>
    <t>Capital Accounts, LLC</t>
  </si>
  <si>
    <t>ACS Education Services</t>
  </si>
  <si>
    <t>BTH Management</t>
  </si>
  <si>
    <t>Regional Management Corporation</t>
  </si>
  <si>
    <t>Possible Financial Inc</t>
  </si>
  <si>
    <t>Opportunity Financial, LLC</t>
  </si>
  <si>
    <t>FIRST CITIZENS BANCSHARES, INC.</t>
  </si>
  <si>
    <t>CONTRACT CALLERS INC</t>
  </si>
  <si>
    <t>FinCo Services Inc DBA Current</t>
  </si>
  <si>
    <t>R &amp; B Corporation of Virginia</t>
  </si>
  <si>
    <t>World Omni Financial Corp.</t>
  </si>
  <si>
    <t>Byrider Franchising, LLC</t>
  </si>
  <si>
    <t>Williams &amp; Fudge, Inc</t>
  </si>
  <si>
    <t>Open Dealer Exchange, LLC</t>
  </si>
  <si>
    <t>Big Picture Loans, LLC</t>
  </si>
  <si>
    <t>TENET HEALTHCARE CORPORATION</t>
  </si>
  <si>
    <t>Prosper Marketplace, Inc.</t>
  </si>
  <si>
    <t>Servis One, Inc., Titusville, PA Branch</t>
  </si>
  <si>
    <t>Checkr, Inc</t>
  </si>
  <si>
    <t>ORG GC GP BUYER, LLC</t>
  </si>
  <si>
    <t>Tower Loan of Mississippi, Inc.</t>
  </si>
  <si>
    <t>The Outsource Group, Inc</t>
  </si>
  <si>
    <t>CASHCALL, INC.</t>
  </si>
  <si>
    <t>HEARTLAND PAYMENT SYSTEMS INC</t>
  </si>
  <si>
    <t>First Credit Services Inc.</t>
  </si>
  <si>
    <t>TMX Finance LLC</t>
  </si>
  <si>
    <t>Thaxton Investment Corporation</t>
  </si>
  <si>
    <t>United Revenue Corporation</t>
  </si>
  <si>
    <t>American First Finance, Inc.</t>
  </si>
  <si>
    <t>Stellar Recovery, Inc.</t>
  </si>
  <si>
    <t>Winklevoss Exchange LLC</t>
  </si>
  <si>
    <t>COMMUNITY CHOICE FINANCIAL, INC.</t>
  </si>
  <si>
    <t>First Data Corporation</t>
  </si>
  <si>
    <t>Trident Asset Management, L.L.C.</t>
  </si>
  <si>
    <t>ECMC GROUP, INC.</t>
  </si>
  <si>
    <t>United PanAm Financial Corp.</t>
  </si>
  <si>
    <t>Paramount Recovery Systems, L.P.</t>
  </si>
  <si>
    <t>Firstsource Business Process Services, LLC</t>
  </si>
  <si>
    <t>FirstPoint Collection Resources</t>
  </si>
  <si>
    <t>CrossCountry Mortgage LLC</t>
  </si>
  <si>
    <t>FIRST PORTFOLIO SERVICING INC</t>
  </si>
  <si>
    <t>AR Resources, Inc.</t>
  </si>
  <si>
    <t>Real Time Group, Inc.</t>
  </si>
  <si>
    <t>Blackhawk Network Holdings Inc.</t>
  </si>
  <si>
    <t>ALLIANT CREDIT UNION</t>
  </si>
  <si>
    <t>Google Compare Credit Cards Inc.</t>
  </si>
  <si>
    <t>CHARLES SCHWAB CORPORATION, THE</t>
  </si>
  <si>
    <t>Klarna AB</t>
  </si>
  <si>
    <t>Paramount GR Holdings, LLC</t>
  </si>
  <si>
    <t>Adler Wallach &amp; Associates, Inc.</t>
  </si>
  <si>
    <t>Empowerment Ventures, LLC</t>
  </si>
  <si>
    <t>Credit Protection Association, L.P.</t>
  </si>
  <si>
    <t>Pinnacle Credit Services, LLC</t>
  </si>
  <si>
    <t>URS Holding, LLC</t>
  </si>
  <si>
    <t>Zions Debt Holdings</t>
  </si>
  <si>
    <t>First Federal Credit Control, Inc.</t>
  </si>
  <si>
    <t>Advance America, Cash Advance Centers, Inc.</t>
  </si>
  <si>
    <t>DriveTime</t>
  </si>
  <si>
    <t>Delbert Services</t>
  </si>
  <si>
    <t>Carvana Group, LLC</t>
  </si>
  <si>
    <t>Social Finance, Inc.</t>
  </si>
  <si>
    <t>Alliance One, Inc.</t>
  </si>
  <si>
    <t>AXOS FINANCIAL, INC.</t>
  </si>
  <si>
    <t>R.M. Galicia, Inc.</t>
  </si>
  <si>
    <t>ZIONS BANCORPORATION</t>
  </si>
  <si>
    <t>First National Collection Bureau, Inc.</t>
  </si>
  <si>
    <t>American Coradius International LLC</t>
  </si>
  <si>
    <t>BANK OF NEW YORK MELLON CORPORATION, THE</t>
  </si>
  <si>
    <t>21ST MORTGAGE CORP.</t>
  </si>
  <si>
    <t>STATE FARM BANK, FSB</t>
  </si>
  <si>
    <t>LDF Holdings, LLC</t>
  </si>
  <si>
    <t>Foris DAX, Inc.</t>
  </si>
  <si>
    <t>COMMERCE BANK</t>
  </si>
  <si>
    <t>MONEY SOURCE, INC., THE</t>
  </si>
  <si>
    <t>U.S. BANK NATIONAL ASSOCIATION - SAN FRANCISCO MAIN BRANCH</t>
  </si>
  <si>
    <t>SUNCOAST CREDIT UNION</t>
  </si>
  <si>
    <t>VYSTAR CREDIT UNION</t>
  </si>
  <si>
    <t>GLA Collection Company, Inc.</t>
  </si>
  <si>
    <t>Helvey &amp; Associates, Inc., Warsaw, IN Branch</t>
  </si>
  <si>
    <t>Marlette Funding, LLC</t>
  </si>
  <si>
    <t>Pressler &amp; Pressler, LLP</t>
  </si>
  <si>
    <t>FIRST NATIONAL BANK OF PENNSYLVANIA</t>
  </si>
  <si>
    <t>FREEDOM FINANCIAL NETWORK</t>
  </si>
  <si>
    <t>Allied Collection Services, Inc. (Nevada)</t>
  </si>
  <si>
    <t>Kimball, Tirey &amp; St. John LLP</t>
  </si>
  <si>
    <t>National Enterprise Systems, Inc.</t>
  </si>
  <si>
    <t>ZWICKER &amp; ASSOCIATES</t>
  </si>
  <si>
    <t>RFNA, LP</t>
  </si>
  <si>
    <t>NCC Business Services, Inc.</t>
  </si>
  <si>
    <t>JH Portfolio Debt Equities, LLC</t>
  </si>
  <si>
    <t>Weltman, Weinberg &amp; Reis Co., L.P.A.</t>
  </si>
  <si>
    <t>National Consumer Telecom &amp; Utilities Exchange, Inc.</t>
  </si>
  <si>
    <t>The Law Offices of Mitchell D. Bluhm &amp; Associates</t>
  </si>
  <si>
    <t>Choice Recovery, Inc.</t>
  </si>
  <si>
    <t>Southwest Recovery Services, Inc.</t>
  </si>
  <si>
    <t>Home Point Financial Corporation</t>
  </si>
  <si>
    <t>SN SERVICING CORPORATION</t>
  </si>
  <si>
    <t>PRESTIGE FINANCIAL SERVICES INC</t>
  </si>
  <si>
    <t>BlueChip Financial</t>
  </si>
  <si>
    <t>Professional Recovery Management</t>
  </si>
  <si>
    <t>Jon Barry and Associates, Inc.</t>
  </si>
  <si>
    <t>Residential Credit Solutions, Inc.</t>
  </si>
  <si>
    <t>BOEING EMPLOYEES CREDIT UNION</t>
  </si>
  <si>
    <t>BAM Management US Holdings Inc.</t>
  </si>
  <si>
    <t>Risecredit, LLC</t>
  </si>
  <si>
    <t>First Technology Federal Credit Union</t>
  </si>
  <si>
    <t>Unifin Inc.</t>
  </si>
  <si>
    <t>MORGAN STANLEY &amp; CO. LLC</t>
  </si>
  <si>
    <t>Carter-Young, Inc.</t>
  </si>
  <si>
    <t>Statebridge Company</t>
  </si>
  <si>
    <t>PEOPLE'S UNITED BANK, NATIONAL ASSOCIATION</t>
  </si>
  <si>
    <t>ASSOCIATED BANC-CORP</t>
  </si>
  <si>
    <t>Collection Bureau of America Ltd.</t>
  </si>
  <si>
    <t>Linebarger Goggan Blair &amp; Sampson LLP</t>
  </si>
  <si>
    <t>BROKER SOLUTIONS, INC.</t>
  </si>
  <si>
    <t>Millco Management</t>
  </si>
  <si>
    <t>FIRSTBANK PUERTO RICO</t>
  </si>
  <si>
    <t>Credit Plus Inc</t>
  </si>
  <si>
    <t>Cedars Business Services, LLC</t>
  </si>
  <si>
    <t>BOK FINANCIAL CORP</t>
  </si>
  <si>
    <t>Remitly, Inc.</t>
  </si>
  <si>
    <t>McCarthy, Burgess &amp; Wolff, Inc.</t>
  </si>
  <si>
    <t>GOLDEN 1 CREDIT UNION, THE</t>
  </si>
  <si>
    <t>Duvera Billing Services, LLC</t>
  </si>
  <si>
    <t>Mobiloans, LLC</t>
  </si>
  <si>
    <t>State Collection Service, Inc.</t>
  </si>
  <si>
    <t>CARDINAL FINANCIAL COMPANY, LIMITED PARTNERSHIP</t>
  </si>
  <si>
    <t>Retrieval-Masters Creditors Bureau, Inc., Elmsford, NY Branch</t>
  </si>
  <si>
    <t>ADP Inc.</t>
  </si>
  <si>
    <t>VANDERBILT MORTGAGE &amp; FINANCE, INC</t>
  </si>
  <si>
    <t>WHEELS FINANCIAL GROUP, LLC.</t>
  </si>
  <si>
    <t>LOBEL FINANCIAL CORPORATION</t>
  </si>
  <si>
    <t>Grant &amp; Weber</t>
  </si>
  <si>
    <t>GUARANTEED RATE INC.</t>
  </si>
  <si>
    <t>AVANTE</t>
  </si>
  <si>
    <t>Sezzle Inc.</t>
  </si>
  <si>
    <t>Merchants' Credit Guide Company</t>
  </si>
  <si>
    <t>Aqua Finance, Inc.</t>
  </si>
  <si>
    <t>AMERICA FIRST FEDERAL CREDIT UNION</t>
  </si>
  <si>
    <t>Stellantis Financial Services US Corp.</t>
  </si>
  <si>
    <t>Westcreek Financial</t>
  </si>
  <si>
    <t>GreenSky, LLC</t>
  </si>
  <si>
    <t>Southern Management Systems Inc.</t>
  </si>
  <si>
    <t>USCB, Inc.</t>
  </si>
  <si>
    <t>Professional Finance Company, Inc.</t>
  </si>
  <si>
    <t>HOVG, LLC</t>
  </si>
  <si>
    <t>Grain Technology, Inc.</t>
  </si>
  <si>
    <t>GVA Holdings, LLC</t>
  </si>
  <si>
    <t>Performant Financial Corporation</t>
  </si>
  <si>
    <t>OPTUM BANK, INC.</t>
  </si>
  <si>
    <t>Harley Davidson Financial Services Inc</t>
  </si>
  <si>
    <t>Harvard Collections, LLC</t>
  </si>
  <si>
    <t>Bliksum, LLC</t>
  </si>
  <si>
    <t>Bounce AI, Inc.</t>
  </si>
  <si>
    <t>Asset Management Outsourcing, Inc.</t>
  </si>
  <si>
    <t>KBR INC DBA RASH CURTIS &amp; ASSOCIATES</t>
  </si>
  <si>
    <t>Io, Inc.</t>
  </si>
  <si>
    <t>MERCANTILE ADJUSTMENT BUREAU, LLC</t>
  </si>
  <si>
    <t>AMCOL Systems, Inc.</t>
  </si>
  <si>
    <t>VALLEY NATIONAL BANCORP</t>
  </si>
  <si>
    <t>Northstar Location Services, LLC</t>
  </si>
  <si>
    <t>POPULAR BANK</t>
  </si>
  <si>
    <t>Financial Credit Service, Inc.</t>
  </si>
  <si>
    <t>Diverse Funding Associates LLC</t>
  </si>
  <si>
    <t>Capital Management Services, LP</t>
  </si>
  <si>
    <t>Client Services, Inc.</t>
  </si>
  <si>
    <t>Synergetic Communication Inc</t>
  </si>
  <si>
    <t>Reliant Capital Solutions, LLC</t>
  </si>
  <si>
    <t>LendingPoint Holdings LLC</t>
  </si>
  <si>
    <t>Optimum Outcomes, Inc.</t>
  </si>
  <si>
    <t>Nationwide Recovery Systems, Ltd</t>
  </si>
  <si>
    <t>Avant Credit Corporation</t>
  </si>
  <si>
    <t>First Advantage LNS Inc.</t>
  </si>
  <si>
    <t>SCA Collections, Inc.</t>
  </si>
  <si>
    <t>Synerprise Consulting Services, Inc.</t>
  </si>
  <si>
    <t>Solar Mosaic LLC</t>
  </si>
  <si>
    <t>Riverwalk Financial Corporation</t>
  </si>
  <si>
    <t>Guild Holdings Company</t>
  </si>
  <si>
    <t>UMB FINANCIAL CORPORATION</t>
  </si>
  <si>
    <t>ResidentCollect, Inc.</t>
  </si>
  <si>
    <t>1st Franklin Financial Corporation</t>
  </si>
  <si>
    <t>CMG Financial Services, Inc.</t>
  </si>
  <si>
    <t>Collection Bureau of the Hudson Valley, Inc.</t>
  </si>
  <si>
    <t>Total Card, Inc.</t>
  </si>
  <si>
    <t>Village Capital &amp; Investment LLC</t>
  </si>
  <si>
    <t>WLCC</t>
  </si>
  <si>
    <t>Frontline Asset Strategies, LLC</t>
  </si>
  <si>
    <t>Harpeth Financial Services, LLC</t>
  </si>
  <si>
    <t>AmerAssist A/R Solutions, Inc.</t>
  </si>
  <si>
    <t>Revco Management, LLC</t>
  </si>
  <si>
    <t>Strategic Alliances, Inc.</t>
  </si>
  <si>
    <t>Crown Asset Management, LLC, Duluth, GA Branch</t>
  </si>
  <si>
    <t>ATG Credit, LLC</t>
  </si>
  <si>
    <t>RS Clark and Associates, Inc.</t>
  </si>
  <si>
    <t>Ray Klein, Inc.</t>
  </si>
  <si>
    <t>FIDELITY CAPITAL HOLDINGS, INC</t>
  </si>
  <si>
    <t>EGL US, LLC</t>
  </si>
  <si>
    <t>Certegy Holdings, LLC</t>
  </si>
  <si>
    <t>Creditors Bureau Associates</t>
  </si>
  <si>
    <t>Financial Business and Consumer Solutions.</t>
  </si>
  <si>
    <t>Reverse Mortgage Solutions, Inc.</t>
  </si>
  <si>
    <t>CHECK INTO CASH INC.</t>
  </si>
  <si>
    <t>Mortgage Research Center, LLC</t>
  </si>
  <si>
    <t>Sunbit, Inc.</t>
  </si>
  <si>
    <t>Asset Recovery Solutions, LLC</t>
  </si>
  <si>
    <t>Larry H. Miller Group of Companies</t>
  </si>
  <si>
    <t>Albert Corporation</t>
  </si>
  <si>
    <t>Focus Holding Company</t>
  </si>
  <si>
    <t>Sterling Infosystems Inc.</t>
  </si>
  <si>
    <t>Blitt and Gaines, P.C.</t>
  </si>
  <si>
    <t>Associated Credit Services, Inc.</t>
  </si>
  <si>
    <t>SCHOOLSFIRST FEDERAL CREDIT UNION</t>
  </si>
  <si>
    <t>Sentry Credit, Inc.</t>
  </si>
  <si>
    <t>Tesla, Inc.</t>
  </si>
  <si>
    <t>Prince Parker &amp; Associates</t>
  </si>
  <si>
    <t>Kovo</t>
  </si>
  <si>
    <t>MOUNTAIN AMERICA FEDERAL CREDIT UNION</t>
  </si>
  <si>
    <t>MECHANICS BANK</t>
  </si>
  <si>
    <t>AMERIS BANCORP</t>
  </si>
  <si>
    <t>Law Office of Michael J. Scott, PC</t>
  </si>
  <si>
    <t>Monarch Recovery Holdings, Inc.</t>
  </si>
  <si>
    <t>Credit Card Receivables Fund Incorporated</t>
  </si>
  <si>
    <t>Genesis Lending</t>
  </si>
  <si>
    <t>Merchants and Medical Credit Corporation, Inc.</t>
  </si>
  <si>
    <t>DIGITAL FEDERAL CREDIT UNION</t>
  </si>
  <si>
    <t>SUN LOAN COMPANY INC.</t>
  </si>
  <si>
    <t>SIMM Associates, Inc.</t>
  </si>
  <si>
    <t>FIRST NIAGARA FINANCIAL GROUP, INC.</t>
  </si>
  <si>
    <t>SinglePoint GI</t>
  </si>
  <si>
    <t>Flagstar Bank, National Association</t>
  </si>
  <si>
    <t>ARS National Services, Inc.</t>
  </si>
  <si>
    <t>HANCOCK WHITNEY BANK</t>
  </si>
  <si>
    <t>Designed Receivable Solutions, Inc.</t>
  </si>
  <si>
    <t>PlusFour, Inc</t>
  </si>
  <si>
    <t>SQUARETWO FINANCIAL CORPORATION</t>
  </si>
  <si>
    <t>Jim Bottin Enterprises, Inc</t>
  </si>
  <si>
    <t>January Technologies, Inc</t>
  </si>
  <si>
    <t>Duncan Solutions, lnc.</t>
  </si>
  <si>
    <t>Gurstel Law Firm, P.C.</t>
  </si>
  <si>
    <t>CNG HOLDINGS INC</t>
  </si>
  <si>
    <t>Veros Credit, LLC</t>
  </si>
  <si>
    <t>Ava Finance, Inc</t>
  </si>
  <si>
    <t>PROVIDENT FUNDING ASSOCIATES</t>
  </si>
  <si>
    <t>California Business Bureau, Inc.</t>
  </si>
  <si>
    <t>Frost-Arnett Company</t>
  </si>
  <si>
    <t>WSFS FINANCIAL CORPORATION</t>
  </si>
  <si>
    <t>P&amp;B Capital Group, LLC</t>
  </si>
  <si>
    <t>The Phoenix Recovery Group</t>
  </si>
  <si>
    <t>RANDOLPH-BROOKS FEDERAL CREDIT UNION</t>
  </si>
  <si>
    <t>OLD NATIONAL BANCORP</t>
  </si>
  <si>
    <t>Aspen Yo LLC</t>
  </si>
  <si>
    <t>Hillcrest Davidson &amp; Associates</t>
  </si>
  <si>
    <t>Optio Solutions, LLC</t>
  </si>
  <si>
    <t>Simon's Agency, Inc.</t>
  </si>
  <si>
    <t>Movement Mortgage LLC</t>
  </si>
  <si>
    <t>Northland Group Inc</t>
  </si>
  <si>
    <t>Platinum Holdings Group, LLC</t>
  </si>
  <si>
    <t>Cottonwood Financial Ltd.</t>
  </si>
  <si>
    <t>Rosebud Economic Development Corporation</t>
  </si>
  <si>
    <t>CULLEN/FROST BANKERS, INC.</t>
  </si>
  <si>
    <t>AMA Advisors, LLC.</t>
  </si>
  <si>
    <t>The Best Service Co.,Inc</t>
  </si>
  <si>
    <t>Home Loan Center, Inc.</t>
  </si>
  <si>
    <t>Mandarich Law Group, LLP</t>
  </si>
  <si>
    <t>Bonneville Billing and Collections</t>
  </si>
  <si>
    <t>FCI Lender Services Inc.</t>
  </si>
  <si>
    <t>Financial Credit Network Inc</t>
  </si>
  <si>
    <t>MUFG AMERICAS HOLDINGS CORPORATION</t>
  </si>
  <si>
    <t>Direct Recovery Services, LLC</t>
  </si>
  <si>
    <t>Dave Operating, LLC</t>
  </si>
  <si>
    <t>Rausch Sturm LLP</t>
  </si>
  <si>
    <t>Skrill USA, Inc.</t>
  </si>
  <si>
    <t>Payward Ventures Inc. dba Kraken</t>
  </si>
  <si>
    <t>Meridian Financial Services, Inc.</t>
  </si>
  <si>
    <t>Peer Advisors, LLC</t>
  </si>
  <si>
    <t>LTD Financial Services, L.P.</t>
  </si>
  <si>
    <t>Concord Servicing Corporation</t>
  </si>
  <si>
    <t>Merchants Adjustment Service, Inc.</t>
  </si>
  <si>
    <t>Americas Car-Mart, Inc.</t>
  </si>
  <si>
    <t>EAST WEST BANK</t>
  </si>
  <si>
    <t>Patenaude &amp; Felix A Professional Corporation</t>
  </si>
  <si>
    <t>CIG FINANCIAL LLC</t>
  </si>
  <si>
    <t>National Collection Systems, Inc.</t>
  </si>
  <si>
    <t>Berlin-Wheeler, Inc. (Kansas)</t>
  </si>
  <si>
    <t>Credit Central Holdings, LLC</t>
  </si>
  <si>
    <t>COAST PROFESSIONAL, INC.</t>
  </si>
  <si>
    <t>Account Control Technology, Inc.</t>
  </si>
  <si>
    <t>Ria Envia, LLC</t>
  </si>
  <si>
    <t>Credit Fresh Holdings Inc</t>
  </si>
  <si>
    <t>OLIPHANT FINANCIAL, LLC</t>
  </si>
  <si>
    <t>AMERICAN ADVISORS GROUP</t>
  </si>
  <si>
    <t>UMPQUA HOLDINGS CORPORATION</t>
  </si>
  <si>
    <t>Medical Business Bureau</t>
  </si>
  <si>
    <t>FourLeaf Federal Credit Union</t>
  </si>
  <si>
    <t>Kinum, Inc., Indianapolis, IN Branch</t>
  </si>
  <si>
    <t>Park Hill Holdings</t>
  </si>
  <si>
    <t>Herbert P. Sears Co., Inc.</t>
  </si>
  <si>
    <t>American Collections Enterprise, Inc.</t>
  </si>
  <si>
    <t>USCB Corporation</t>
  </si>
  <si>
    <t>Patient Accounting Service Center</t>
  </si>
  <si>
    <t>Atlantic Recovery Solutions LLC</t>
  </si>
  <si>
    <t>First Associates Loan Servicing LLC</t>
  </si>
  <si>
    <t>FULTON FINANCIAL CORPORATION</t>
  </si>
  <si>
    <t>CARD Corporation</t>
  </si>
  <si>
    <t>Financial Recovery Services, Inc.</t>
  </si>
  <si>
    <t>Applied Data Finance, LLC</t>
  </si>
  <si>
    <t>Verisk Analytics Inc</t>
  </si>
  <si>
    <t>American Profit Recovery, Inc., Marlborough, MA Branch</t>
  </si>
  <si>
    <t>Avadyne Health Holdings, Inc</t>
  </si>
  <si>
    <t>Goal Structured Solutions, LLC</t>
  </si>
  <si>
    <t>SUN WEST MORTGAGE COMPANY, INC.</t>
  </si>
  <si>
    <t>F.H. Cann &amp; Associates, Inc.</t>
  </si>
  <si>
    <t>PMAB,LLC</t>
  </si>
  <si>
    <t>Clark County Collection Service</t>
  </si>
  <si>
    <t>Second Round Limited Partnership, Austin, TX Branch</t>
  </si>
  <si>
    <t>Persolve, LLC - Legal - Series 2</t>
  </si>
  <si>
    <t>Central Research Inc</t>
  </si>
  <si>
    <t>Mid-Atlantic Finance Co., Inc.</t>
  </si>
  <si>
    <t>Stearns Ventures, LLC</t>
  </si>
  <si>
    <t>Clarity Services</t>
  </si>
  <si>
    <t>Skopos Financial, LLC</t>
  </si>
  <si>
    <t>Hunt &amp; Henriques</t>
  </si>
  <si>
    <t>HUNTINGTON NATIONAL BANK, THE - FIRSTMERIT BANK, N.A. BRANCH</t>
  </si>
  <si>
    <t>Advanced Collection Bureau, Inc.</t>
  </si>
  <si>
    <t>Pacific Union Financial, LLC</t>
  </si>
  <si>
    <t>GULF COAST COLLECTION BUREAU, INC.</t>
  </si>
  <si>
    <t>Sequoia Financial Services</t>
  </si>
  <si>
    <t>Equitable Acceptance Corp</t>
  </si>
  <si>
    <t>Williams, Rush &amp; Associates, LLC</t>
  </si>
  <si>
    <t>TIDEWATER FINANCE COMPANY, INC.</t>
  </si>
  <si>
    <t>Yamaha Motor Finance Corporation USA</t>
  </si>
  <si>
    <t>Holloway Credit Solutions</t>
  </si>
  <si>
    <t>Altisource Portfolio Solutions, S.√† r.l.</t>
  </si>
  <si>
    <t>Complete Credit Solutions, Inc.</t>
  </si>
  <si>
    <t>Omega RMS, LLC</t>
  </si>
  <si>
    <t>Southern Auto Finance Co</t>
  </si>
  <si>
    <t>Transfinancial Companies, Inc</t>
  </si>
  <si>
    <t>U.S. Collections West, Inc.</t>
  </si>
  <si>
    <t>Ideal Collection Services, Inc.</t>
  </si>
  <si>
    <t>Financial Data Systems</t>
  </si>
  <si>
    <t>Alliant Capital Management LLC</t>
  </si>
  <si>
    <t>Professional Credit Management, Inc</t>
  </si>
  <si>
    <t>Rozlin Financial Group, Inc.</t>
  </si>
  <si>
    <t>Uplift, Inc</t>
  </si>
  <si>
    <t>Professional Bureau of Collections of Maryland, Inc., GREENWOOD VILLAGE, CO Branch</t>
  </si>
  <si>
    <t>TRUSTMARK CORPORATION</t>
  </si>
  <si>
    <t>Webcollex, LLC</t>
  </si>
  <si>
    <t>TFS FINANCIAL CORPORATION</t>
  </si>
  <si>
    <t>Global Credit &amp; Collection Corporation</t>
  </si>
  <si>
    <t>Quality Asset Recovery LLC</t>
  </si>
  <si>
    <t>Express Recovery Services, Inc.</t>
  </si>
  <si>
    <t>HireRight Solutions, Inc.</t>
  </si>
  <si>
    <t>Messerli &amp; Kramer P.A.</t>
  </si>
  <si>
    <t>Select Management Resources, LLC</t>
  </si>
  <si>
    <t>Fairway Independent Mortgage Corporation</t>
  </si>
  <si>
    <t>Better Mortgage, Inc.</t>
  </si>
  <si>
    <t>A.R.M. Solutions, Inc.</t>
  </si>
  <si>
    <t>2288984 Ontario Inc.</t>
  </si>
  <si>
    <t>Consumer Collection Management. Inc</t>
  </si>
  <si>
    <t>Arbor Residential Mortgage LLC</t>
  </si>
  <si>
    <t>Perfection Collection</t>
  </si>
  <si>
    <t>Cascade Capital, LLC</t>
  </si>
  <si>
    <t>Phillips &amp; Cohen Associates, Ltd.</t>
  </si>
  <si>
    <t>North Shore Agency, LLC</t>
  </si>
  <si>
    <t>Elevate Recoveries, LLC</t>
  </si>
  <si>
    <t>Windham Professionals, Inc.</t>
  </si>
  <si>
    <t>Mountain Run Solutions, LLC</t>
  </si>
  <si>
    <t>Collection Information Bureau, Inc.</t>
  </si>
  <si>
    <t>D&amp;A Services, LLC</t>
  </si>
  <si>
    <t>Fidelity National Financial, Inc</t>
  </si>
  <si>
    <t>GREENSKY OPERATIONS, LLC</t>
  </si>
  <si>
    <t>Advantage Credit, Inc.</t>
  </si>
  <si>
    <t>Quality Loan Service Corporation</t>
  </si>
  <si>
    <t>Lloyd &amp; McDaniel, PLC</t>
  </si>
  <si>
    <t>Revolut Technologies Inc.</t>
  </si>
  <si>
    <t>Stenger &amp; Stenger, P.C</t>
  </si>
  <si>
    <t>Pendrick Capital Partners Holding, LLC</t>
  </si>
  <si>
    <t>AUTOMOTIVE CREDIT CORPORATION</t>
  </si>
  <si>
    <t>Grant Mercantile Agency</t>
  </si>
  <si>
    <t>Tribal Lending Enterprise, Inc.</t>
  </si>
  <si>
    <t>Receivables Management Corporation</t>
  </si>
  <si>
    <t>HIGHER EDUCATION STUDENT ASSISTANCE AUTHORITY (HESAA)</t>
  </si>
  <si>
    <t>Summit A*R, Inc.</t>
  </si>
  <si>
    <t>SOUTHSTATE BANK CORPORATION</t>
  </si>
  <si>
    <t>N.A.R., Inc.</t>
  </si>
  <si>
    <t>Remex, Inc.</t>
  </si>
  <si>
    <t>International Computer Systems, Inc.</t>
  </si>
  <si>
    <t>Viking Client Services</t>
  </si>
  <si>
    <t>Receivable Management Group, Inc. (GA)</t>
  </si>
  <si>
    <t>Western-Shamrock Corporation</t>
  </si>
  <si>
    <t>BANKUNITED, NATIONAL ASSOCIATION</t>
  </si>
  <si>
    <t>PLAZA HOME MORTGAGE, INC.</t>
  </si>
  <si>
    <t>SG and Associates</t>
  </si>
  <si>
    <t>Rubin &amp; Rothman, LLC</t>
  </si>
  <si>
    <t>Account Resolution Corporation</t>
  </si>
  <si>
    <t>Data Mortgage Inc.</t>
  </si>
  <si>
    <t>Commercial Acceptance Company</t>
  </si>
  <si>
    <t>P.S.C., Inc</t>
  </si>
  <si>
    <t>BANK OF HAWAII CORPORATION</t>
  </si>
  <si>
    <t>FACTUAL DATA CORP.</t>
  </si>
  <si>
    <t>SERVICEMAC, LLC</t>
  </si>
  <si>
    <t>MNE Services, Inc</t>
  </si>
  <si>
    <t>Volvo Car Financial Services U.S., LLC</t>
  </si>
  <si>
    <t>SIMMONS FIRST NATIONAL CORPORATION</t>
  </si>
  <si>
    <t>Climb Credit Inc.</t>
  </si>
  <si>
    <t>First Investors Servicing Corporation, Atlanta, GA Branch</t>
  </si>
  <si>
    <t>ONEMAIN FINANCE CORPORATION</t>
  </si>
  <si>
    <t>Seattle Service Bureau, Inc</t>
  </si>
  <si>
    <t>Shepherd Outsourcing, LLC</t>
  </si>
  <si>
    <t>Collection Consultants of California</t>
  </si>
  <si>
    <t>UNIVERSAL ACCEPTANCE CORPORATION (NE)</t>
  </si>
  <si>
    <t>Torriere Holdings INC</t>
  </si>
  <si>
    <t>Merchants and Professional Bureau, Inc.</t>
  </si>
  <si>
    <t>Johnson Mark LLC</t>
  </si>
  <si>
    <t>Contemporary Information Corp</t>
  </si>
  <si>
    <t>Sentry Recovery and Collections, Inc.</t>
  </si>
  <si>
    <t>Ascendium Education Group</t>
  </si>
  <si>
    <t>Nelson Cruz &amp; Associates LLC</t>
  </si>
  <si>
    <t>American Accounts &amp; Advisers, Inc.</t>
  </si>
  <si>
    <t>PREFERRED CREDIT INC</t>
  </si>
  <si>
    <t>ASTORIA BANK</t>
  </si>
  <si>
    <t>Texas Guaranteed</t>
  </si>
  <si>
    <t>Tate and Kirlin Assoc</t>
  </si>
  <si>
    <t>Key 2 Recovery, Inc.</t>
  </si>
  <si>
    <t>XOOM CORPORATION</t>
  </si>
  <si>
    <t>E*TRADE BANK</t>
  </si>
  <si>
    <t>BYL Collection Services</t>
  </si>
  <si>
    <t>Forster &amp; Garbus LLP</t>
  </si>
  <si>
    <t>Finance of America Holdings LLC</t>
  </si>
  <si>
    <t>Kansas Counselors, Inc.</t>
  </si>
  <si>
    <t>Knight Adjustment Bureau</t>
  </si>
  <si>
    <t>FIRST HAWAIIAN, INC.</t>
  </si>
  <si>
    <t>Selip &amp; Stylianou, LLP</t>
  </si>
  <si>
    <t>Oliphant United, Inc.</t>
  </si>
  <si>
    <t>FMA Alliance, Ltd.</t>
  </si>
  <si>
    <t>Fig Tech Inc.</t>
  </si>
  <si>
    <t>TomoCredit Inc.</t>
  </si>
  <si>
    <t>Financial Management Solutions, LLC</t>
  </si>
  <si>
    <t>WAFD BANK</t>
  </si>
  <si>
    <t>Blockchain.com, Inc.</t>
  </si>
  <si>
    <t>Healthcare Finance Direct LLC.</t>
  </si>
  <si>
    <t>KLS Financial Services, Inc</t>
  </si>
  <si>
    <t>Kingston Data &amp; Credit International Inc.</t>
  </si>
  <si>
    <t>CAC Financial Corp</t>
  </si>
  <si>
    <t>Media Collections, Inc</t>
  </si>
  <si>
    <t>Credit Bureau Collection Services, Inc.</t>
  </si>
  <si>
    <t>Payfare International Inc.</t>
  </si>
  <si>
    <t>GOLD KEY CREDIT, INC.</t>
  </si>
  <si>
    <t>Newport Intermediate Inc.</t>
  </si>
  <si>
    <t>Aspen National Financial, Inc.</t>
  </si>
  <si>
    <t>Credit Bureau Systems, Inc., Paducah, KY Branch</t>
  </si>
  <si>
    <t>Braviant¬†Holdings,¬†LLC</t>
  </si>
  <si>
    <t>Dyck-O'Neal, Inc.</t>
  </si>
  <si>
    <t>Telerecovery Corporation</t>
  </si>
  <si>
    <t>Maury Cobb, Attorney at Law, LLC</t>
  </si>
  <si>
    <t>Glasser and Glasser, PLC</t>
  </si>
  <si>
    <t>Capstone Credit &amp; Collection, LLC.</t>
  </si>
  <si>
    <t>Happy Money, Inc.</t>
  </si>
  <si>
    <t>FIRSTBANK</t>
  </si>
  <si>
    <t>Brock &amp; Scott, PLLC</t>
  </si>
  <si>
    <t>GFS II, LLC</t>
  </si>
  <si>
    <t>Javitch, Block &amp; Rathbone LLC</t>
  </si>
  <si>
    <t>GLOBAL CLIENT SOLUTIONS, LLC</t>
  </si>
  <si>
    <t>Collection Bureau of Fort Walton Beach, Inc</t>
  </si>
  <si>
    <t>Franklin Credit Management Corporation</t>
  </si>
  <si>
    <t>PDQ Services, Inc.</t>
  </si>
  <si>
    <t>Automated Collection Services, Inc.</t>
  </si>
  <si>
    <t>MIB Group, Inc.</t>
  </si>
  <si>
    <t>DataMax Corporation</t>
  </si>
  <si>
    <t>Securus J Holdings, LLC</t>
  </si>
  <si>
    <t>GATEWAY FIRST BANK</t>
  </si>
  <si>
    <t>PARAMOUNT RESIDENTIAL MORTGAGE GROUP</t>
  </si>
  <si>
    <t>PROSPERITY BANCSHARES, INC.</t>
  </si>
  <si>
    <t>Sigue Corp.</t>
  </si>
  <si>
    <t>Financial Assistance Inc</t>
  </si>
  <si>
    <t>R.A.Rogers, Inc.</t>
  </si>
  <si>
    <t>ADIR INTERNATIONAL LLC</t>
  </si>
  <si>
    <t>BANKMOBILE TECHNOLOGIES, INC</t>
  </si>
  <si>
    <t>Atlantic Credit &amp; Finance, Inc.</t>
  </si>
  <si>
    <t>FIRST HORIZON BANK - WEST CONGRESS STREET BRANCH</t>
  </si>
  <si>
    <t>Medical-Commercial Audit Inc</t>
  </si>
  <si>
    <t>RGS Financial, Inc.</t>
  </si>
  <si>
    <t>Financial Asset Management Systems Inc</t>
  </si>
  <si>
    <t>PRIMARY RESIDENTIAL MORTGAGE</t>
  </si>
  <si>
    <t>Suttell, Hammer &amp; White, P.S</t>
  </si>
  <si>
    <t>Scott Fetzer Financial Group Inc.</t>
  </si>
  <si>
    <t>Rausch, Sturm, Israel, Enerson &amp; Hornik, LLP</t>
  </si>
  <si>
    <t>William D. Meeker Enterprises, Inc.</t>
  </si>
  <si>
    <t>Idaho Housing And Finance Association</t>
  </si>
  <si>
    <t>Kashable LLC</t>
  </si>
  <si>
    <t>Utah System of Higher Education</t>
  </si>
  <si>
    <t>CADENCE BANK</t>
  </si>
  <si>
    <t>Bepensa Capital, Inc.</t>
  </si>
  <si>
    <t>Pavilion Payments US BuyerCo, LLC</t>
  </si>
  <si>
    <t>Torres Credit Services, Inc.</t>
  </si>
  <si>
    <t>Accurate Background</t>
  </si>
  <si>
    <t>Entrata Inc.</t>
  </si>
  <si>
    <t>Alpha Recovery Corp</t>
  </si>
  <si>
    <t>Delta Management Associates, Inc.</t>
  </si>
  <si>
    <t>Earnest Inc.</t>
  </si>
  <si>
    <t>ALCHRO INC.</t>
  </si>
  <si>
    <t>Kashia Services</t>
  </si>
  <si>
    <t>FIRST AMERICAN FINANCIAL CORPORATION</t>
  </si>
  <si>
    <t>Gatestone &amp; Co. International Inc.</t>
  </si>
  <si>
    <t>Meade &amp; Associates, Inc.</t>
  </si>
  <si>
    <t>COLUMBIA BANKING SYSTEM, INC.</t>
  </si>
  <si>
    <t>Collins Asset Group, LLC</t>
  </si>
  <si>
    <t>Great American Finance Co</t>
  </si>
  <si>
    <t>WorldRemit Corp.</t>
  </si>
  <si>
    <t>Receivable Recovery Services, LLC</t>
  </si>
  <si>
    <t>Georgia Student Finance Authority</t>
  </si>
  <si>
    <t>LANIER COLLECTIONS AGENCY AND SERVICES INC</t>
  </si>
  <si>
    <t>Valor Intelligent Processing, LLC</t>
  </si>
  <si>
    <t>American Financial Network Inc.</t>
  </si>
  <si>
    <t>Nationwide Credit &amp; Collection, Inc.</t>
  </si>
  <si>
    <t>BANK OZK</t>
  </si>
  <si>
    <t>Cooling &amp; Winter LLC</t>
  </si>
  <si>
    <t>C/C Financial</t>
  </si>
  <si>
    <t>Nicholas Financial Inc.</t>
  </si>
  <si>
    <t>DFC Global Corp.</t>
  </si>
  <si>
    <t>Solidus Group LLC.</t>
  </si>
  <si>
    <t>Eastern Revenue, Inc.</t>
  </si>
  <si>
    <t>Siggi LLC</t>
  </si>
  <si>
    <t>Medical Society Business Services, Inc.</t>
  </si>
  <si>
    <t>FRANKLIN AMERICAN MORTGAGE CO.</t>
  </si>
  <si>
    <t>RSI Enterprises, Inc.</t>
  </si>
  <si>
    <t>Bridge IT, Inc.</t>
  </si>
  <si>
    <t>Transform Credit Inc.</t>
  </si>
  <si>
    <t>Allied International Credit Corp., (US)</t>
  </si>
  <si>
    <t>BC SERVICES, INC.</t>
  </si>
  <si>
    <t>Driveway Finance Corporation</t>
  </si>
  <si>
    <t>Credit Management Control, Inc.</t>
  </si>
  <si>
    <t>Pendrick Capital Partners</t>
  </si>
  <si>
    <t>Senex Services Corp.</t>
  </si>
  <si>
    <t>Enhanced Acquisitions, LLC</t>
  </si>
  <si>
    <t>BANCORPSOUTH BANK</t>
  </si>
  <si>
    <t>Wilber and Associates, P.C.</t>
  </si>
  <si>
    <t>Premier¬†Student¬†Loan¬†Center</t>
  </si>
  <si>
    <t>CapitalJ Inc. dba Juno</t>
  </si>
  <si>
    <t>M.A.R.S., Inc.</t>
  </si>
  <si>
    <t>Mercury Financial Intermediate LLC</t>
  </si>
  <si>
    <t>Machol &amp; Johannes, LLC</t>
  </si>
  <si>
    <t>Kelsting Group, Inc.</t>
  </si>
  <si>
    <t>Professional Placement Services, LLC</t>
  </si>
  <si>
    <t>Palm Beach Credit Adjustors, Inc</t>
  </si>
  <si>
    <t>CHERRY TECHNOLOGIES INC.</t>
  </si>
  <si>
    <t>DigniFi</t>
  </si>
  <si>
    <t>Lennar Financial Services, LLC</t>
  </si>
  <si>
    <t>Credit Technologies, Inc.</t>
  </si>
  <si>
    <t>The J. G. Wentworth Company</t>
  </si>
  <si>
    <t>Receivable Solutions, Inc.</t>
  </si>
  <si>
    <t>Louisiana Recovery Services Inc.</t>
  </si>
  <si>
    <t>Collections Acquisition Company, Inc.</t>
  </si>
  <si>
    <t>One Source Technology</t>
  </si>
  <si>
    <t>Sortis Financial, Inc.</t>
  </si>
  <si>
    <t>InDebted Corporation</t>
  </si>
  <si>
    <t>CREDIT BUREAU OF NAPA COUNTY, INC.</t>
  </si>
  <si>
    <t>Chime Inc.</t>
  </si>
  <si>
    <t>Premium Credit Bureau</t>
  </si>
  <si>
    <t>Turning Point Solutions LLC</t>
  </si>
  <si>
    <t>Green Square Company LLC.</t>
  </si>
  <si>
    <t>Frederick J. Hanna &amp; Associates, P.C. (closed)</t>
  </si>
  <si>
    <t>Van Ru Credit Corporation</t>
  </si>
  <si>
    <t>Central States Recovery, Inc.</t>
  </si>
  <si>
    <t>United Student Aid (USA) Funds</t>
  </si>
  <si>
    <t>CONGRESS COLLECTION CORP</t>
  </si>
  <si>
    <t>Progressive Financial Services, Inc.</t>
  </si>
  <si>
    <t>Wolf River Development Company</t>
  </si>
  <si>
    <t>Credit Service International Corp</t>
  </si>
  <si>
    <t>Leafy Financial, LLC</t>
  </si>
  <si>
    <t>Commercial Recovery Systems</t>
  </si>
  <si>
    <t>Admin Recovery, LLC</t>
  </si>
  <si>
    <t>CITY NATIONAL BANK</t>
  </si>
  <si>
    <t>BlockFi Inc</t>
  </si>
  <si>
    <t>NORTHWEST BANCSHARES INC</t>
  </si>
  <si>
    <t>Auto Trakk, LLC</t>
  </si>
  <si>
    <t>J J Marshall &amp; Associates, Inc</t>
  </si>
  <si>
    <t>LAND HOME FINANCIAL SERVICES</t>
  </si>
  <si>
    <t>Chrysalis Holdings LLC</t>
  </si>
  <si>
    <t>Credit Card Acquisitions Group</t>
  </si>
  <si>
    <t>Ameritech Financial</t>
  </si>
  <si>
    <t>ARC Management Group, LLC</t>
  </si>
  <si>
    <t>PLS GROUP, INC</t>
  </si>
  <si>
    <t>SMITH, ROUCHON &amp; ASSOCIATES, INC.</t>
  </si>
  <si>
    <t>Waterfall Revenue Group</t>
  </si>
  <si>
    <t>Sa-Vit Enterprises, Inc.</t>
  </si>
  <si>
    <t>Immediate Credit Recovery</t>
  </si>
  <si>
    <t>MiraMed Revenue Group LLC</t>
  </si>
  <si>
    <t>Federal Adjustment Bureau, Inc.</t>
  </si>
  <si>
    <t>Vital Solutions, Inc.</t>
  </si>
  <si>
    <t>U.S. Auto Sales Inc.</t>
  </si>
  <si>
    <t>CrossCheck, Inc.</t>
  </si>
  <si>
    <t>National Business Factors</t>
  </si>
  <si>
    <t>Nationwide Capital Services, LLC</t>
  </si>
  <si>
    <t>Arcadia Holdings, LLC</t>
  </si>
  <si>
    <t>Sarma</t>
  </si>
  <si>
    <t>Sunlight Financial LLC</t>
  </si>
  <si>
    <t>SECURITY CREDIT SYSTEMS INC</t>
  </si>
  <si>
    <t>North American Credit Services</t>
  </si>
  <si>
    <t>STERLING BANCORP</t>
  </si>
  <si>
    <t>Valon Technologies, Inc.</t>
  </si>
  <si>
    <t>MidAmerica Mortgage Inc</t>
  </si>
  <si>
    <t>Integrated Recovery Services</t>
  </si>
  <si>
    <t>Uprova Credit, LLC</t>
  </si>
  <si>
    <t>Property Receivables, Corp</t>
  </si>
  <si>
    <t>PRIMELENDING, A PLAINSCAPITAL COMPANY</t>
  </si>
  <si>
    <t>The Thomas Agency, Inc.</t>
  </si>
  <si>
    <t>Informative Research</t>
  </si>
  <si>
    <t>Nationwide Credit Corporation</t>
  </si>
  <si>
    <t>AMERICAN ADJUSTMENT BUREAU,INC.</t>
  </si>
  <si>
    <t>Activehours</t>
  </si>
  <si>
    <t>NATIONAL DEBT RELIEF LLC</t>
  </si>
  <si>
    <t>Valentine and Kebartas, Inc.</t>
  </si>
  <si>
    <t>Crow Creek Sioux Tribe</t>
  </si>
  <si>
    <t>Oliver Adjustment Co.</t>
  </si>
  <si>
    <t>SECURITY SERVICE FEDERAL CREDIT UNION</t>
  </si>
  <si>
    <t>Hollis Cobb Associates</t>
  </si>
  <si>
    <t>Kohn Law Firm S.C.</t>
  </si>
  <si>
    <t>Thunderbird Collection Specialists, Inc.</t>
  </si>
  <si>
    <t>Alliance Collection Agencies, Inc.</t>
  </si>
  <si>
    <t>IOWA STUDENT LOAN LIQUIDITY CORPORATION</t>
  </si>
  <si>
    <t>First Financial Resources, Inc.</t>
  </si>
  <si>
    <t>ASTA FUNDING INC.</t>
  </si>
  <si>
    <t>Sunset Management, Inc</t>
  </si>
  <si>
    <t>FIRST INTERSTATE BANCSYSTEM, INC.</t>
  </si>
  <si>
    <t>PINNACLE RECOVERY, INC.</t>
  </si>
  <si>
    <t>VIRTUOSO SOURCING GROUP, LLC.</t>
  </si>
  <si>
    <t>Sensible Auto Lending, LLC</t>
  </si>
  <si>
    <t>Klima, Peters &amp; Daly, P.A.</t>
  </si>
  <si>
    <t>Community Health Investment Company, LLC.</t>
  </si>
  <si>
    <t>NOVAD Management Consulting, LLC</t>
  </si>
  <si>
    <t>Innovate Managed Holdings, LLC</t>
  </si>
  <si>
    <t>Aldridge Pite, LLP</t>
  </si>
  <si>
    <t>LendUp Loans LLC</t>
  </si>
  <si>
    <t>INVESTORS BANK</t>
  </si>
  <si>
    <t>Revenue Recovery Corporation</t>
  </si>
  <si>
    <t>Solomon and Solomon, P.C.</t>
  </si>
  <si>
    <t>Professional Medical Management, Inc.</t>
  </si>
  <si>
    <t>Oracle Financial Group LLC.</t>
  </si>
  <si>
    <t>Accscient, LLC</t>
  </si>
  <si>
    <t>Profit Services Group</t>
  </si>
  <si>
    <t>Credit Service Company, INC</t>
  </si>
  <si>
    <t>Mountain Land Collections, Inc.</t>
  </si>
  <si>
    <t>Healthcare Collections-I, LLC</t>
  </si>
  <si>
    <t>CCM Finance LLC</t>
  </si>
  <si>
    <t>UNITED BANKSHARES, INC.</t>
  </si>
  <si>
    <t>Brown and Joseph, Ltd</t>
  </si>
  <si>
    <t>Revenue Assistance Corporation dba Revenue Group</t>
  </si>
  <si>
    <t>SCOTTRADE BANK</t>
  </si>
  <si>
    <t>All State Credit Bureau, Inc.</t>
  </si>
  <si>
    <t>Oklahoma Student Loan Authority</t>
  </si>
  <si>
    <t>Porsche Financial Services, Inc.</t>
  </si>
  <si>
    <t>DHI Mortgage Company</t>
  </si>
  <si>
    <t>Grow Credit Inc</t>
  </si>
  <si>
    <t>FRESNO CREDIT BUREAU</t>
  </si>
  <si>
    <t>Aldridge PIte Haan, LLP</t>
  </si>
  <si>
    <t>CUSTOMERS BANCORP, INC</t>
  </si>
  <si>
    <t>Atlantic Union Bankshares, Inc.</t>
  </si>
  <si>
    <t>Investment Retrievers, Inc.</t>
  </si>
  <si>
    <t>Data and Contact Management Solutions, LLC</t>
  </si>
  <si>
    <t>Consumer Financial Services Solutions, Inc.</t>
  </si>
  <si>
    <t>National Commercial Services, Inc</t>
  </si>
  <si>
    <t>AmeriCash Holding LLC</t>
  </si>
  <si>
    <t>Galaxy Capital Acquisitions, LLC</t>
  </si>
  <si>
    <t>APEX Asset Management, LLC</t>
  </si>
  <si>
    <t>Nelson and Kennard</t>
  </si>
  <si>
    <t>Ceannate</t>
  </si>
  <si>
    <t>CashRepublic Holdings, Inc.</t>
  </si>
  <si>
    <t>Accelerated Financial Solutions, LLC</t>
  </si>
  <si>
    <t>APPLE FINANCIAL HOLDINGS, INC.</t>
  </si>
  <si>
    <t>M. G. Credit, Inc.</t>
  </si>
  <si>
    <t>American Financial Resources, Inc.</t>
  </si>
  <si>
    <t>Stillman, P.C. d.b.a. Stillman Law Office</t>
  </si>
  <si>
    <t>Alabama Housing Finance Authority</t>
  </si>
  <si>
    <t>EZCORP, INC.</t>
  </si>
  <si>
    <t>United Consumers Inc</t>
  </si>
  <si>
    <t>Credit Bureau Services Association</t>
  </si>
  <si>
    <t>Zip Co US Inc.</t>
  </si>
  <si>
    <t>BANKERS HEALTHCARE GROUP LLC</t>
  </si>
  <si>
    <t>D2 Management LLC</t>
  </si>
  <si>
    <t>QC HOLDINGS INC</t>
  </si>
  <si>
    <t>Unlimited Progress Corp</t>
  </si>
  <si>
    <t>COMMUNITY FINANCIAL SYSTEM, INC.</t>
  </si>
  <si>
    <t>COLLECTION SERVICES OF ATHENS, INC.</t>
  </si>
  <si>
    <t>FIRST MIDWEST BANCORP, INC.</t>
  </si>
  <si>
    <t>LendingUSA</t>
  </si>
  <si>
    <t>NVR INC.</t>
  </si>
  <si>
    <t>Union Home Mortgage Corp</t>
  </si>
  <si>
    <t>RMS-Recovery Management Services, Inc.</t>
  </si>
  <si>
    <t>Lewis, McDonnell &amp; Associates</t>
  </si>
  <si>
    <t>Renton Collections Inc.</t>
  </si>
  <si>
    <t>U.S. Auto Credit Corporation</t>
  </si>
  <si>
    <t>GMA Investments, LLC</t>
  </si>
  <si>
    <t>Foursight Holding LLC</t>
  </si>
  <si>
    <t>RENASANT CORPORATION</t>
  </si>
  <si>
    <t>EVERGREEN PROFESSIONAL RECOVERIES, INC.</t>
  </si>
  <si>
    <t>Southwest Business Corporation</t>
  </si>
  <si>
    <t>McCalla Raymer Leibert Pierce, LLC</t>
  </si>
  <si>
    <t>S&amp;S Physician Services, Inc.</t>
  </si>
  <si>
    <t>Massachusetts Educational Financing Authority</t>
  </si>
  <si>
    <t>Love, Beal &amp; Nixon, P.C.</t>
  </si>
  <si>
    <t>Glass Mountain Capital, LLC</t>
  </si>
  <si>
    <t>Cawley &amp; Bergmann, LLP</t>
  </si>
  <si>
    <t>Coast to Coast Financial Solutions, Inc.</t>
  </si>
  <si>
    <t>MIDCOUNTRY FINANCIAL CORP</t>
  </si>
  <si>
    <t>States Recovery Systems, Inc.</t>
  </si>
  <si>
    <t>Hayt Hayt &amp; Landau, P.L. (FL)</t>
  </si>
  <si>
    <t>Law Offices of Robert J. Colclough, III</t>
  </si>
  <si>
    <t>IMPAC MORTGAGE HOLDINGS, INC.</t>
  </si>
  <si>
    <t>Absolute Recovery Services, LLC</t>
  </si>
  <si>
    <t>Supreme Lending</t>
  </si>
  <si>
    <t>BCA Financial Services, Inc.</t>
  </si>
  <si>
    <t>Tenaglia &amp; Hunt, PA</t>
  </si>
  <si>
    <t>Porania, LLC</t>
  </si>
  <si>
    <t>FIRST HERITAGE CREDIT LLC</t>
  </si>
  <si>
    <t>Kentucky Higher Education Assistance Authority</t>
  </si>
  <si>
    <t>Levy &amp; Associates, LLC</t>
  </si>
  <si>
    <t>SAN DIEGO COUNTY CREDIT UNION</t>
  </si>
  <si>
    <t>RJM ACQUISITION LLC</t>
  </si>
  <si>
    <t>MB FINANCIAL, INC.</t>
  </si>
  <si>
    <t>Orions Management Group, LLC</t>
  </si>
  <si>
    <t>RAS LaVrar, LLC</t>
  </si>
  <si>
    <t>Cornerstone Home Lending Inc.</t>
  </si>
  <si>
    <t>Credit Collections U.S.A., L.L.C.</t>
  </si>
  <si>
    <t>MORTGAGE SOLUTIONS OF COLORADO</t>
  </si>
  <si>
    <t>Terrill Outsourcing Group</t>
  </si>
  <si>
    <t>Service Finance Holdings, LLC</t>
  </si>
  <si>
    <t>AC AutoPay LLC, Denver, CO Branch</t>
  </si>
  <si>
    <t>Branch Messenger, Inc.</t>
  </si>
  <si>
    <t>Academy Mortgage Corporation</t>
  </si>
  <si>
    <t>The Stark Collection Agency, Inc.</t>
  </si>
  <si>
    <t>Nations Direct Mortgage, LLC</t>
  </si>
  <si>
    <t>Consolidated Information Services Solutions, LLC</t>
  </si>
  <si>
    <t>Apelles, LLC</t>
  </si>
  <si>
    <t>The Moore Law Group</t>
  </si>
  <si>
    <t>D. SCOTT CARRUTHERS</t>
  </si>
  <si>
    <t>QUALITY ACCEPTANCE LLC</t>
  </si>
  <si>
    <t>GLOBAL CREDIT UNION</t>
  </si>
  <si>
    <t>CreditNinja Lending, LLC</t>
  </si>
  <si>
    <t>AMERICAN INTERNET MORTGAGE</t>
  </si>
  <si>
    <t>Integrity Solution Services, Inc.</t>
  </si>
  <si>
    <t>Go Capital Holdings, LLC</t>
  </si>
  <si>
    <t>SANTANDER BANCORP</t>
  </si>
  <si>
    <t>COLLECTIONS USA, INC.</t>
  </si>
  <si>
    <t>Americor Funding, LLC</t>
  </si>
  <si>
    <t>Continental Credit Control</t>
  </si>
  <si>
    <t>College Ave Student Loan Servicing, LLC</t>
  </si>
  <si>
    <t>Denefits LLC</t>
  </si>
  <si>
    <t>Marauder Corporation</t>
  </si>
  <si>
    <t>Financial Corporation of America</t>
  </si>
  <si>
    <t>Worldwide Processing Group, LLC</t>
  </si>
  <si>
    <t>Universal Recovery Corporation</t>
  </si>
  <si>
    <t>Law Office of Brett M. Borland, P.C.</t>
  </si>
  <si>
    <t>Weber &amp; Olcese, PLC</t>
  </si>
  <si>
    <t>HEAD MERCANTILE CO., INC.</t>
  </si>
  <si>
    <t>Eagle Accounts Group, Inc.</t>
  </si>
  <si>
    <t>Midwest Fidelity Services, LLC</t>
  </si>
  <si>
    <t>Paradigm Assets, LLC</t>
  </si>
  <si>
    <t>Arbor Professional Solutions, Inc.</t>
  </si>
  <si>
    <t>Deinde Online Services, LLC</t>
  </si>
  <si>
    <t>AppFolio, Inc.</t>
  </si>
  <si>
    <t>Finance of America Mortgage LLC</t>
  </si>
  <si>
    <t>Bay Area Receivables, Inc</t>
  </si>
  <si>
    <t>Avid Acceptance, LLC</t>
  </si>
  <si>
    <t>FIRST REPUBLIC BANK</t>
  </si>
  <si>
    <t>PulteGroup, Inc.</t>
  </si>
  <si>
    <t>KeyBridge Medical Revenue Management</t>
  </si>
  <si>
    <t>Mercury Technologies, Inc.</t>
  </si>
  <si>
    <t>KINGS CREDIT SERVICES</t>
  </si>
  <si>
    <t>Lyons, Doughty &amp; Veldhuis, PC</t>
  </si>
  <si>
    <t>UHG, LLC</t>
  </si>
  <si>
    <t>Blakely-Witt and Associates, Inc.</t>
  </si>
  <si>
    <t>Suburban Credit Corporation</t>
  </si>
  <si>
    <t>STONEGATE MORTGAGE CORPORATION</t>
  </si>
  <si>
    <t>FEDChex Recovery, LLC</t>
  </si>
  <si>
    <t>Servatus Corporation</t>
  </si>
  <si>
    <t>Retail Merchants Associates</t>
  </si>
  <si>
    <t>Bright Capital Inc</t>
  </si>
  <si>
    <t>Pollack &amp; Rosen, P.A.</t>
  </si>
  <si>
    <t>WINN LAW GROUP, APC</t>
  </si>
  <si>
    <t>Deutsche Bank</t>
  </si>
  <si>
    <t>STONELEIGH RECOVERY ASSOCIATES, LLC</t>
  </si>
  <si>
    <t>Ascension Point Recovery Services, LLC</t>
  </si>
  <si>
    <t>WESBANCO BANK, INC.</t>
  </si>
  <si>
    <t>Nevada Credico, Inc.</t>
  </si>
  <si>
    <t>Arnold Scott Harris, P.C.</t>
  </si>
  <si>
    <t>Professional Adjustment Corp. of S.W. FL., Inc.</t>
  </si>
  <si>
    <t>United Resource Systems, Inc</t>
  </si>
  <si>
    <t>Merchants &amp; Medical Adjustment Bureau, Inc. dba Credit Bureau Associates</t>
  </si>
  <si>
    <t>Roadrunner Account Services, LLC</t>
  </si>
  <si>
    <t>EMCC Holdings, LLC</t>
  </si>
  <si>
    <t>Lincoln Educational Services Corporation</t>
  </si>
  <si>
    <t>Stuart-Lippman and Associates, Inc</t>
  </si>
  <si>
    <t>Applied Business Services, Inc.</t>
  </si>
  <si>
    <t>FlexShopper, Inc</t>
  </si>
  <si>
    <t>Global Trust Management LLC</t>
  </si>
  <si>
    <t>FMS Inc.</t>
  </si>
  <si>
    <t>Rent Recover, LLC</t>
  </si>
  <si>
    <t>Keynote Consulting, Inc.</t>
  </si>
  <si>
    <t>Merchants Credit Corporation</t>
  </si>
  <si>
    <t>Recovery One, LLC</t>
  </si>
  <si>
    <t>COLLECTECH DIVERSIFIED, INC.</t>
  </si>
  <si>
    <t>Eagle Financial Services, Inc.</t>
  </si>
  <si>
    <t>TriVerity, Inc.</t>
  </si>
  <si>
    <t>NBT BANCORP INC.</t>
  </si>
  <si>
    <t>ZARVAD III S.A.</t>
  </si>
  <si>
    <t>Oxford Law, LLC</t>
  </si>
  <si>
    <t>National Recoveries, Inc.</t>
  </si>
  <si>
    <t>HILLTOP HOLDINGS, INC</t>
  </si>
  <si>
    <t>ACCESS GROUP INC.</t>
  </si>
  <si>
    <t>Minto Financial dba Minto Money</t>
  </si>
  <si>
    <t>EMBRACE HOME LOANS</t>
  </si>
  <si>
    <t>Figure Technologies, Inc</t>
  </si>
  <si>
    <t>Arivo Acceptance, LLC</t>
  </si>
  <si>
    <t>Account Discovery Systems, LLC</t>
  </si>
  <si>
    <t>National Principal Group, LLC</t>
  </si>
  <si>
    <t>Servicing Solutions, LLC</t>
  </si>
  <si>
    <t>Fairway Capital Recovery, LLC</t>
  </si>
  <si>
    <t>The Regional Adjustment Bureau, Incorporated</t>
  </si>
  <si>
    <t>SIERRA PACIFIC MORTGAGE</t>
  </si>
  <si>
    <t>Fein, Such, Kahn &amp; Shepard, P.C.</t>
  </si>
  <si>
    <t>Diaz &amp; Associates, Inc.</t>
  </si>
  <si>
    <t>Mar Joe Enterprises</t>
  </si>
  <si>
    <t>Metro Collection Service Inc.</t>
  </si>
  <si>
    <t>Atlas Credit Company, Inc.</t>
  </si>
  <si>
    <t>CREDIGY USA CORP.</t>
  </si>
  <si>
    <t>Green &amp; Sons Agency, Inc.</t>
  </si>
  <si>
    <t>Overton, Russell, Doerr and Donovan, LLP</t>
  </si>
  <si>
    <t>Manhattan Beach Venture, LLC</t>
  </si>
  <si>
    <t>JTM Capital Management, LLC</t>
  </si>
  <si>
    <t>National Recovery Solutions, LLC</t>
  </si>
  <si>
    <t>AUTOMOBILE ACCEPTANCE CORPORATION</t>
  </si>
  <si>
    <t>MUTUAL OF OMAHA MORTGAGE, LLC</t>
  </si>
  <si>
    <t>High Point Asset Inc</t>
  </si>
  <si>
    <t>Fidelity Properties Inc.</t>
  </si>
  <si>
    <t>Nations Recovery Center</t>
  </si>
  <si>
    <t>BANNER CORPORATION</t>
  </si>
  <si>
    <t>Nationwide Biweekly Administration, Inc.</t>
  </si>
  <si>
    <t>Access Receivables of NC Inc.</t>
  </si>
  <si>
    <t>Castle Credit Co Holdings, LLC, Chicago, IL Branch</t>
  </si>
  <si>
    <t>Preferred Collection and Management, Inc.</t>
  </si>
  <si>
    <t>Starmark Financial LLC</t>
  </si>
  <si>
    <t>Pacific Credit Exchange Corporation</t>
  </si>
  <si>
    <t>NEW YORK STATE HIGHER EDUCATION SERVICES CORPORATION (HESC)‚Äî</t>
  </si>
  <si>
    <t>Consumer Financial Services</t>
  </si>
  <si>
    <t>Ballybunion Enterprises, Inc</t>
  </si>
  <si>
    <t>YSA ARM LLC DBA Oxygen XL</t>
  </si>
  <si>
    <t>Flexible Finance, Inc.</t>
  </si>
  <si>
    <t>CASH AMERICA INTERNATIONAL, INC.</t>
  </si>
  <si>
    <t>Creditor's Collection Service, Inc.</t>
  </si>
  <si>
    <t>American Student Assistance</t>
  </si>
  <si>
    <t>NEW CITY FUNDING CORP.</t>
  </si>
  <si>
    <t>Essential Lending Inc</t>
  </si>
  <si>
    <t>AMERICAN PACIFIC MORTGAGE</t>
  </si>
  <si>
    <t>Collection Professionals, Inc.</t>
  </si>
  <si>
    <t>Kirschenbaum &amp; Phillips P.C</t>
  </si>
  <si>
    <t>Brightfunders, LLC</t>
  </si>
  <si>
    <t>UNITED COMMUNITY BANK</t>
  </si>
  <si>
    <t>ARM WNY LLC</t>
  </si>
  <si>
    <t>GRANITE STATE MANAGEMENT &amp; RESOURCES</t>
  </si>
  <si>
    <t>COLORADO HOUSING AND FINANCE AUTHORITY</t>
  </si>
  <si>
    <t>Eastpoint Recovery Group, Inc</t>
  </si>
  <si>
    <t>Southern Credit Recovery, Inc.</t>
  </si>
  <si>
    <t>Neighborhood Assistance Corporation of America ("NACA")</t>
  </si>
  <si>
    <t>Collection Receivables, Inc.</t>
  </si>
  <si>
    <t>Reliable Credit Association, Inc.</t>
  </si>
  <si>
    <t>Mutual Management Services LLC</t>
  </si>
  <si>
    <t>SoLo Funds Inc.</t>
  </si>
  <si>
    <t>Amscot Corporation</t>
  </si>
  <si>
    <t>Lendbuzz Inc.</t>
  </si>
  <si>
    <t>DRB-40, LLC</t>
  </si>
  <si>
    <t>NATIONWIDE ACCEPTANCE LLC</t>
  </si>
  <si>
    <t>UBS BANK USA</t>
  </si>
  <si>
    <t>Mcburberod Financial, Inc. d/b/a SeedFi</t>
  </si>
  <si>
    <t>First Help Financial, LLC</t>
  </si>
  <si>
    <t>Vengroff Williams, Inc</t>
  </si>
  <si>
    <t>Med-1 Solutions, LLC</t>
  </si>
  <si>
    <t>Express Collections, Inc.</t>
  </si>
  <si>
    <t>Northern Trust Company, The</t>
  </si>
  <si>
    <t>Andreu, Palma &amp; Andreu, PL</t>
  </si>
  <si>
    <t>Global Recovery Group</t>
  </si>
  <si>
    <t>USI Solutions Inc.</t>
  </si>
  <si>
    <t>TCF FINANCIAL CORPORATION</t>
  </si>
  <si>
    <t>REVERSE MORTGAGE INVESTMENT TR</t>
  </si>
  <si>
    <t>LendKey Technologies, Inc.</t>
  </si>
  <si>
    <t>United Credit and Collections Inc.</t>
  </si>
  <si>
    <t>Credit Adjustments Inc</t>
  </si>
  <si>
    <t>Relay Financial (US), Corp.</t>
  </si>
  <si>
    <t>BEACON FINANCIAL CORPORATION</t>
  </si>
  <si>
    <t>American Recovery Service Incorporated</t>
  </si>
  <si>
    <t>TRIAD FINANCIAL SERVICES, INC.</t>
  </si>
  <si>
    <t>Mullooly Jeffrey Rooney &amp; Flynn</t>
  </si>
  <si>
    <t>The Aligned Company DBA Extra</t>
  </si>
  <si>
    <t>Ingo Money, Inc.</t>
  </si>
  <si>
    <t>Constar Financial Services, LLC</t>
  </si>
  <si>
    <t>Cornerstone Holdings, Inc.</t>
  </si>
  <si>
    <t>Universal Account Servicing, LLC</t>
  </si>
  <si>
    <t>Peter Roberts &amp; Associates, Inc.</t>
  </si>
  <si>
    <t>TEXAS CAPITAL BANCSHARES, INC.</t>
  </si>
  <si>
    <t>Alpine Credit, Inc</t>
  </si>
  <si>
    <t>Kramer &amp; Frank, P.C.</t>
  </si>
  <si>
    <t>Stallings Financial Group, Inc.</t>
  </si>
  <si>
    <t>Tilt Finance, Inc.</t>
  </si>
  <si>
    <t>Stanislaus Credit Control Service, Inc.</t>
  </si>
  <si>
    <t>Armada Corp.</t>
  </si>
  <si>
    <t>NCSPLUS INCORPORATED</t>
  </si>
  <si>
    <t>Concord Resolution Inc (Closed)</t>
  </si>
  <si>
    <t>Business &amp; Professional Collection Service Inc</t>
  </si>
  <si>
    <t>On-Site Manager, Inc.</t>
  </si>
  <si>
    <t>Receivables Outsourcing, Inc.</t>
  </si>
  <si>
    <t>Coastal Credit, LLC</t>
  </si>
  <si>
    <t>Everest Receivable Services Inc.</t>
  </si>
  <si>
    <t>JAMES B. NUTTER &amp; COMPANY</t>
  </si>
  <si>
    <t>Lien Enforcement Inc</t>
  </si>
  <si>
    <t>Meta Payments Inc.</t>
  </si>
  <si>
    <t>DOLLAR MUTUAL BANCORP</t>
  </si>
  <si>
    <t>Forest Recovery Services LLC</t>
  </si>
  <si>
    <t>LENDER LIVE</t>
  </si>
  <si>
    <t>MS SERVICES LLC</t>
  </si>
  <si>
    <t>NPAS, Inc.</t>
  </si>
  <si>
    <t>HOME BANCSHARES, INC.</t>
  </si>
  <si>
    <t>CATHAY BANK</t>
  </si>
  <si>
    <t>Cash Express, LLC</t>
  </si>
  <si>
    <t>FIRST FINANCIAL BANCORP</t>
  </si>
  <si>
    <t>Gitsit Solutions, LLC.</t>
  </si>
  <si>
    <t>Shermeta Law Group, PLLC</t>
  </si>
  <si>
    <t>Paramount Capital Group, Inc.</t>
  </si>
  <si>
    <t>JDJ Investments, INC.</t>
  </si>
  <si>
    <t>Eagle Home Mortgage, LLC</t>
  </si>
  <si>
    <t>Mid-South Adjustment Co., Inc.</t>
  </si>
  <si>
    <t>Financial Accounts Service Team Inc.</t>
  </si>
  <si>
    <t>Capital Link Management, LLC</t>
  </si>
  <si>
    <t>Finance System of Richmond, Inc.</t>
  </si>
  <si>
    <t>Trojan Professional Services, Inc.</t>
  </si>
  <si>
    <t>OpenRoad Lending</t>
  </si>
  <si>
    <t>BWW Law Group, LLC</t>
  </si>
  <si>
    <t>Roosen, Varchetti &amp; Olivier, PLLC</t>
  </si>
  <si>
    <t>AAA Auto Title Loans, LLC</t>
  </si>
  <si>
    <t>C.Tech Collections, Inc.</t>
  </si>
  <si>
    <t>State Home Mortgage</t>
  </si>
  <si>
    <t>Ridge &amp; Valley Realty, Inc.</t>
  </si>
  <si>
    <t>Law Offices of Hayt, Hayt &amp; Landau, LLC</t>
  </si>
  <si>
    <t>Garrison Investment Group</t>
  </si>
  <si>
    <t>Sierra Holdings LLC</t>
  </si>
  <si>
    <t>LAKE MICHIGAN CREDIT UNION</t>
  </si>
  <si>
    <t>AUSSRQ Holdings, LLC</t>
  </si>
  <si>
    <t>LOAN TO LEARN</t>
  </si>
  <si>
    <t>CARCO Group, Inc.</t>
  </si>
  <si>
    <t>GLOBAL SOLUTION BIZ LLC.</t>
  </si>
  <si>
    <t>SF VAGO, LLC</t>
  </si>
  <si>
    <t>College Foundation, Inc.</t>
  </si>
  <si>
    <t>DLC, LLC</t>
  </si>
  <si>
    <t>Stern Recovery Services, Inc.</t>
  </si>
  <si>
    <t>CREDICO. INC</t>
  </si>
  <si>
    <t>North State Acceptance, LLC</t>
  </si>
  <si>
    <t>DailyPay, Inc</t>
  </si>
  <si>
    <t>ClearOne Advantage, LLC</t>
  </si>
  <si>
    <t>FIRST MERCHANTS CORPORATION</t>
  </si>
  <si>
    <t>COOLEY ENTERPRISES INC</t>
  </si>
  <si>
    <t>TSC Accounts Receivable Solutions</t>
  </si>
  <si>
    <t>Recovery Solutions Group, LLC</t>
  </si>
  <si>
    <t>ESCALLATE, LLC</t>
  </si>
  <si>
    <t>Round Up Ventures, L.P.</t>
  </si>
  <si>
    <t>Prospect Mortgage, LLC</t>
  </si>
  <si>
    <t>Tormey Bewley Corporation</t>
  </si>
  <si>
    <t>Consolidated Recovery Group, LLC</t>
  </si>
  <si>
    <t>National Credit Services, Inc.</t>
  </si>
  <si>
    <t>NATIONS LENDING CORPORATION</t>
  </si>
  <si>
    <t>Sparrow Financial, Inc.</t>
  </si>
  <si>
    <t>Steel River Systems, LLC</t>
  </si>
  <si>
    <t>Clear Debt Solutions, LLC</t>
  </si>
  <si>
    <t>Caneel Capital, LLC</t>
  </si>
  <si>
    <t>McNeil &amp; Meyers Asset Management Group, LLC</t>
  </si>
  <si>
    <t>FIRST HOME MORTGAGE CORPORATION</t>
  </si>
  <si>
    <t>Loqbox US Inc</t>
  </si>
  <si>
    <t>ROC Asset Solutions, LLC</t>
  </si>
  <si>
    <t>Security National Automotive Acceptance</t>
  </si>
  <si>
    <t>Automatic Data Processing, Inc.</t>
  </si>
  <si>
    <t>ZuntaFi Corp</t>
  </si>
  <si>
    <t>The Savings Group, Inc.</t>
  </si>
  <si>
    <t>CARVANT FINANCIAL LLC</t>
  </si>
  <si>
    <t>LCO Financial Services, LLC</t>
  </si>
  <si>
    <t>Garcadia Financial LLC</t>
  </si>
  <si>
    <t>Smith Debnam Narron Drake Saintsing &amp; Myers LLP</t>
  </si>
  <si>
    <t>Critical Resolution Mediation LLC</t>
  </si>
  <si>
    <t>Capital Markets Cooporative, LLC</t>
  </si>
  <si>
    <t>A &amp; O Recovery Solutions, LLC</t>
  </si>
  <si>
    <t>TFC Credit Corporation of California</t>
  </si>
  <si>
    <t>CARS Acquisition, LLC</t>
  </si>
  <si>
    <t>Farrell Holdings, LLC</t>
  </si>
  <si>
    <t>RockLoans Holdings LLC</t>
  </si>
  <si>
    <t>Dream Center Education Holdings</t>
  </si>
  <si>
    <t>Momnt Technologies, Inc.</t>
  </si>
  <si>
    <t>Pinnacle Asset Management, LLC</t>
  </si>
  <si>
    <t>MAJR Financial Corp</t>
  </si>
  <si>
    <t>RABOBANK, NATIONAL ASSOCIATION</t>
  </si>
  <si>
    <t>Midwest Loan Services, Inc.</t>
  </si>
  <si>
    <t>Midstate Collection Solutions, Inc.</t>
  </si>
  <si>
    <t>360 MORTGAGE GROUP LLC</t>
  </si>
  <si>
    <t>Credit International Corporation</t>
  </si>
  <si>
    <t>Healthcare Receivables Group, Inc.</t>
  </si>
  <si>
    <t>Auto Now Financial Services, Inc., Phoenix, AZ Branch</t>
  </si>
  <si>
    <t>American Collection Services, Inc. (OK, TX)</t>
  </si>
  <si>
    <t>Southern Oregon Credit Service, Inc.</t>
  </si>
  <si>
    <t>Weinberg Mediation Group LLC</t>
  </si>
  <si>
    <t>EQUITY LOANS LLC</t>
  </si>
  <si>
    <t>Click n' Close, Inc.</t>
  </si>
  <si>
    <t>RICHLAND HOLDINGS, INC.</t>
  </si>
  <si>
    <t>Blatt, Hasenmiller, Leibsker &amp; Moore, LLC</t>
  </si>
  <si>
    <t>Phelan Hallinan Diamond &amp; Jones, PC</t>
  </si>
  <si>
    <t>Hatfield, Inc.</t>
  </si>
  <si>
    <t>AR Resources, Inc. (FL)</t>
  </si>
  <si>
    <t>AAA Collections</t>
  </si>
  <si>
    <t>Nathan &amp; Nathan, P.C.</t>
  </si>
  <si>
    <t>MST Financial Services, L.L.C.</t>
  </si>
  <si>
    <t>New Century Financial Services, Inc.</t>
  </si>
  <si>
    <t>Revenue Enterprises, LLC</t>
  </si>
  <si>
    <t>AMERICAN NEIGHBORHOOD MORTGAGE</t>
  </si>
  <si>
    <t>Sherloq Group, Inc</t>
  </si>
  <si>
    <t>Diversified Acceptance Corporation</t>
  </si>
  <si>
    <t>Tulsa Adjustment Bureau</t>
  </si>
  <si>
    <t>INTERCONTINENTAL CAPITAL GROUP</t>
  </si>
  <si>
    <t>Lentegrity Management, LLC</t>
  </si>
  <si>
    <t>EASTERN BANKSHARES INC</t>
  </si>
  <si>
    <t>MEI AUTO FINANCE INC</t>
  </si>
  <si>
    <t>American Capital Enterprises, Inc.</t>
  </si>
  <si>
    <t>Credit Counsel, Inc.</t>
  </si>
  <si>
    <t>Credit Bureau of the South, Inc.</t>
  </si>
  <si>
    <t>JNR Adjustment Company, Inc</t>
  </si>
  <si>
    <t>GREENSTATE CREDIT UNION</t>
  </si>
  <si>
    <t>Commercial Trade, Inc.</t>
  </si>
  <si>
    <t>ROYAL UNITED MORTGAGE LLC</t>
  </si>
  <si>
    <t>Credit Bureau of Carbon County</t>
  </si>
  <si>
    <t>Debt Co LLC</t>
  </si>
  <si>
    <t>Merchants Acceptance Corp</t>
  </si>
  <si>
    <t>Certified Credit Reporting, Inc.</t>
  </si>
  <si>
    <t>Uetsa Tsakits, Inc. d/b/a MaxLend</t>
  </si>
  <si>
    <t>Mediation Recovery Center</t>
  </si>
  <si>
    <t>Account Management Resources</t>
  </si>
  <si>
    <t>Premier Auto Credit</t>
  </si>
  <si>
    <t>DIRECMANAGEMENT, INC.</t>
  </si>
  <si>
    <t>ATLANTIC BAY MORTGAGE GROUP LLC</t>
  </si>
  <si>
    <t>Focused Recovery Solutions, Inc.</t>
  </si>
  <si>
    <t>TEXAS HIGHER EDUCATION COORDINATING BOARD</t>
  </si>
  <si>
    <t>United Accounts, Inc.</t>
  </si>
  <si>
    <t>JP RECOVERY SERVICES, INC.</t>
  </si>
  <si>
    <t>AMERINATIONAL COMMUNITY SERVICES, INC.</t>
  </si>
  <si>
    <t>Berman &amp; Rabin, P.A.</t>
  </si>
  <si>
    <t>Strategic Financial Solutions, LLC</t>
  </si>
  <si>
    <t>BRite Financial Services, Inc.</t>
  </si>
  <si>
    <t>Advance Bureau of Collections</t>
  </si>
  <si>
    <t>CENTRAL BANCOMPANY, INC</t>
  </si>
  <si>
    <t>Collection Management Company</t>
  </si>
  <si>
    <t>BALANCED HEALTHCARE RECEIVABLES, LLC</t>
  </si>
  <si>
    <t>COLLECTION ASSOCIATES, LTD.</t>
  </si>
  <si>
    <t>CONRAD CREDIT CORPORATION</t>
  </si>
  <si>
    <t>Mortgage Lenders Investment Trading Corp</t>
  </si>
  <si>
    <t>NCP Holdings, L.P.</t>
  </si>
  <si>
    <t>Action Collection Service</t>
  </si>
  <si>
    <t>NETWORK CAPITAL FUNDING CORP</t>
  </si>
  <si>
    <t>Jacob Law Group, PLLC</t>
  </si>
  <si>
    <t>Nationwide Debt Management Solutions, LLC</t>
  </si>
  <si>
    <t>FINEX Group LLC</t>
  </si>
  <si>
    <t>Screening Reports Inc.</t>
  </si>
  <si>
    <t>Collection Service of Nevada</t>
  </si>
  <si>
    <t>Indie Technology DBA Found</t>
  </si>
  <si>
    <t>Delray Capital, LLC</t>
  </si>
  <si>
    <t>WESTERN ALLIANCE BANCORPORATION</t>
  </si>
  <si>
    <t>S &amp; S Recovery, Inc.</t>
  </si>
  <si>
    <t>Mnet Financial Inc</t>
  </si>
  <si>
    <t>Augusta Collection Agency, Inc.</t>
  </si>
  <si>
    <t>Account Services Collections, Inc</t>
  </si>
  <si>
    <t>Novo Platform Inc.</t>
  </si>
  <si>
    <t>Granite Edvance Corporation</t>
  </si>
  <si>
    <t>Malen &amp; Associates, p.c.</t>
  </si>
  <si>
    <t>Scheer, Green &amp; Burke L.P.A.</t>
  </si>
  <si>
    <t>Autovest, L.L.C.</t>
  </si>
  <si>
    <t>Todd, Bremer &amp; Lawson, Inc.</t>
  </si>
  <si>
    <t>UNITED AUTO ACCEPTANCE</t>
  </si>
  <si>
    <t>Tri-State Adjustments, Inc.</t>
  </si>
  <si>
    <t>Orion Capital Solutions LLC</t>
  </si>
  <si>
    <t>VIRGINIA HOUSING DEVELOPMENT AUTHORITY</t>
  </si>
  <si>
    <t>SRA Associates, Inc.</t>
  </si>
  <si>
    <t>CB1, Inc.</t>
  </si>
  <si>
    <t>National Account Systems of Omaha, LLC</t>
  </si>
  <si>
    <t>United Debt Holdings, LLC</t>
  </si>
  <si>
    <t>Acra Intermediate Holdings, LLC</t>
  </si>
  <si>
    <t>STANDARD MORTGAGE CORPORATION</t>
  </si>
  <si>
    <t>BetterNOI, LLC</t>
  </si>
  <si>
    <t>Special Financing Company, LLC</t>
  </si>
  <si>
    <t>Credit Consulting Services, Inc.</t>
  </si>
  <si>
    <t>ULRS, Inc.</t>
  </si>
  <si>
    <t>RSH &amp; Associates, LLC</t>
  </si>
  <si>
    <t>Receivable Collection Services, LLC</t>
  </si>
  <si>
    <t>Arcon Credit Solutions LLC</t>
  </si>
  <si>
    <t>Automated Accounts Management Services</t>
  </si>
  <si>
    <t>Siwell Inc</t>
  </si>
  <si>
    <t>NATIONWIDE ADVANTAGE MORTGAGE COMPANY</t>
  </si>
  <si>
    <t>Voss &amp; Klein, LLC</t>
  </si>
  <si>
    <t>3rd Generation, Inc.</t>
  </si>
  <si>
    <t>eToro USA LLC</t>
  </si>
  <si>
    <t>Professional Claims Bureau, Inc.</t>
  </si>
  <si>
    <t>PatientFi, LLC</t>
  </si>
  <si>
    <t>Sunnova Energy Corporation</t>
  </si>
  <si>
    <t>N26 Inc.</t>
  </si>
  <si>
    <t>TOWNE MORTGAGE COMPANY</t>
  </si>
  <si>
    <t>Bronstein &amp; Weiss Arbitration</t>
  </si>
  <si>
    <t>Glacier Bancorp Inc.</t>
  </si>
  <si>
    <t>CREDIT WORLD SERVICES, INC.</t>
  </si>
  <si>
    <t>Green Trust Cash, LLC</t>
  </si>
  <si>
    <t>Eaton Group Attorneys LLC</t>
  </si>
  <si>
    <t>Miller, Stark, Klein and Associates</t>
  </si>
  <si>
    <t>Lustig, Glaser &amp; Wilson, P.C.</t>
  </si>
  <si>
    <t>Merchants Credit Bureau, Inc.</t>
  </si>
  <si>
    <t>NAM National Arbitration and Mediation</t>
  </si>
  <si>
    <t>Specialized Collection Systems, Inc.</t>
  </si>
  <si>
    <t>Lamont, Hanley &amp; Associates, Inc.</t>
  </si>
  <si>
    <t>Unique Management Services, Inc</t>
  </si>
  <si>
    <t>CarFinance Capital LLC, Irvine, CA Branch</t>
  </si>
  <si>
    <t>Rauch-Milliken International, Inc.</t>
  </si>
  <si>
    <t>PCR Group</t>
  </si>
  <si>
    <t>Finance System of Toledo, Inc.</t>
  </si>
  <si>
    <t>Guglielmo and Associates</t>
  </si>
  <si>
    <t>Illinois Collection Service, Inc.</t>
  </si>
  <si>
    <t>Ascent Holding Co</t>
  </si>
  <si>
    <t>RELIANCE FIRST CAPITAL LLC</t>
  </si>
  <si>
    <t>OUT TECH, INC.</t>
  </si>
  <si>
    <t>CountryPlace Acceptance Corporation</t>
  </si>
  <si>
    <t>Veripro Solutions Inc.</t>
  </si>
  <si>
    <t>Hauge Associates, Inc.</t>
  </si>
  <si>
    <t>Revenue Assurance Professionals LLC</t>
  </si>
  <si>
    <t>Midwest Credit &amp; Collection, Inc.</t>
  </si>
  <si>
    <t>INDEPENDENT BANK CORP.</t>
  </si>
  <si>
    <t>Debt Management Incorporated</t>
  </si>
  <si>
    <t>Synter Resource Group, LLC.</t>
  </si>
  <si>
    <t>Flatonia Investments, LLC</t>
  </si>
  <si>
    <t>Benuck &amp; Rainey, Inc.</t>
  </si>
  <si>
    <t>LCS FINANCIAL SERVICES CORPORATION</t>
  </si>
  <si>
    <t>Centron Services</t>
  </si>
  <si>
    <t>HOPE BANCORP, INC.</t>
  </si>
  <si>
    <t>Circle Internet Financial</t>
  </si>
  <si>
    <t>Perpay, Inc.</t>
  </si>
  <si>
    <t>Law Offices Howard Lee Schiff, P.C.</t>
  </si>
  <si>
    <t>SUMMIT FUNDING, INC.</t>
  </si>
  <si>
    <t>CIBC BANCORP USA INC.</t>
  </si>
  <si>
    <t>Concentric Receivables Management, Ltd.</t>
  </si>
  <si>
    <t>Fundo LLC</t>
  </si>
  <si>
    <t>Action Financial Services, LLC</t>
  </si>
  <si>
    <t>ALEXANDER-ROSE ASSOC, INC.</t>
  </si>
  <si>
    <t>DApps Platform, Inc.</t>
  </si>
  <si>
    <t>Account Management Services, Inc.</t>
  </si>
  <si>
    <t>Collection Service Center, Inc.</t>
  </si>
  <si>
    <t>Abra</t>
  </si>
  <si>
    <t>RevSolve, Inc.</t>
  </si>
  <si>
    <t>FIRST UNITED BANK AND TRUST COMPANY</t>
  </si>
  <si>
    <t>Business Revenue Systems, Inc.</t>
  </si>
  <si>
    <t>Wallace Management Company, LLC</t>
  </si>
  <si>
    <t>Moss Law Firm, P.C.</t>
  </si>
  <si>
    <t>Equidata, Inc.</t>
  </si>
  <si>
    <t>Post Lake Lending Inc.</t>
  </si>
  <si>
    <t>CRESCO CAPITAL INC.</t>
  </si>
  <si>
    <t>Tromberg, Miller, Morris &amp; Partners, PLLC</t>
  </si>
  <si>
    <t>Allgate Financial, LLC</t>
  </si>
  <si>
    <t>CCB Credit Serivces, Inc</t>
  </si>
  <si>
    <t>Zenith Financial Network Inc</t>
  </si>
  <si>
    <t>Modern Adjustment Bureau</t>
  </si>
  <si>
    <t>Sessoms &amp; Rogers, P.A.</t>
  </si>
  <si>
    <t>Universal Fidelity LP</t>
  </si>
  <si>
    <t>MAS FINANCIAL SERVICES, INC.</t>
  </si>
  <si>
    <t>AA Recovery Solutions, Inc.</t>
  </si>
  <si>
    <t>Global Payments Check Services, Inc.</t>
  </si>
  <si>
    <t>National Management Recovery Corp. (NMRC)</t>
  </si>
  <si>
    <t>Tally Technologies</t>
  </si>
  <si>
    <t>Walwick, Inc</t>
  </si>
  <si>
    <t>NIC, Inc.</t>
  </si>
  <si>
    <t>DYNAMIC RECOVERY SERVICES, INC.</t>
  </si>
  <si>
    <t>The Leviton Law Firm, Ltd.</t>
  </si>
  <si>
    <t>American Credit Bureau, Inc.</t>
  </si>
  <si>
    <t>The Law Offices of Jennifer McCoy, PC</t>
  </si>
  <si>
    <t>Heritage Financial Group, Inc.</t>
  </si>
  <si>
    <t>Southwest Stage Funding</t>
  </si>
  <si>
    <t>Credit Center, LLC</t>
  </si>
  <si>
    <t>Eltman Law, P.C.</t>
  </si>
  <si>
    <t>Lazega &amp; Johanson LLC</t>
  </si>
  <si>
    <t>PINNACLE FINANCIAL PARTNERS, INC.</t>
  </si>
  <si>
    <t>Michel Law, LLC d/b/a Level One Law</t>
  </si>
  <si>
    <t>HABITAT FOR HUMANITY INTERNATIONAL, INC.</t>
  </si>
  <si>
    <t>Payactiv, Inc.</t>
  </si>
  <si>
    <t>Dobberstein Law Firm, LLC</t>
  </si>
  <si>
    <t>BILL.COM, LLC</t>
  </si>
  <si>
    <t>Stephens and Michaels Associates, Inc.</t>
  </si>
  <si>
    <t>FBC MORTGAGE, LLC</t>
  </si>
  <si>
    <t>Guidiville Indian Rancheria</t>
  </si>
  <si>
    <t>Agency of Credit Control</t>
  </si>
  <si>
    <t>Accounts Receivable Management, Inc (NJ) (Closed)</t>
  </si>
  <si>
    <t>MORTGAGE INVESTORS CORPORATION</t>
  </si>
  <si>
    <t>Progrexion Holdings, Inc.</t>
  </si>
  <si>
    <t>Action Collection Agencies, Inc.</t>
  </si>
  <si>
    <t>CAROLINA FINANCE, LLC</t>
  </si>
  <si>
    <t>Betterment LLC</t>
  </si>
  <si>
    <t>Mercari, Inc.</t>
  </si>
  <si>
    <t>Bass &amp; Associates, P.C., Attorneys at Law</t>
  </si>
  <si>
    <t>Huntington Debt Holding LLC</t>
  </si>
  <si>
    <t>FIRST GUARANTY MORTGAGE CORP</t>
  </si>
  <si>
    <t>Gordon, Aylworth &amp; Tami, P.C.</t>
  </si>
  <si>
    <t>Action Revenue Recovery, LLC</t>
  </si>
  <si>
    <t>Summit Financial Corp.</t>
  </si>
  <si>
    <t>Computer Credit, Inc.</t>
  </si>
  <si>
    <t>Data Search NY, Inc.</t>
  </si>
  <si>
    <t>MacDowell &amp; Associates, Ltd.</t>
  </si>
  <si>
    <t>VELO LAW OFFICE</t>
  </si>
  <si>
    <t>WEICHERT FINANCIAL SERVICES</t>
  </si>
  <si>
    <t>Quality Recovery Services, Inc.</t>
  </si>
  <si>
    <t>Professional Collection Service Inc (GA)</t>
  </si>
  <si>
    <t>Unisa, Inc</t>
  </si>
  <si>
    <t>Northwood Asset Management Group</t>
  </si>
  <si>
    <t>Municipal Collections of America Inc.</t>
  </si>
  <si>
    <t>Security National Financial Corp</t>
  </si>
  <si>
    <t>Brennan &amp; Clark, Ltd., LLC</t>
  </si>
  <si>
    <t>GB Collects, LLC</t>
  </si>
  <si>
    <t>Partners Financial Services Inc</t>
  </si>
  <si>
    <t>Birchwood Credit Services, Inc.</t>
  </si>
  <si>
    <t>Stevens Business Service, Inc.</t>
  </si>
  <si>
    <t>NEXA Mortgage, LLC</t>
  </si>
  <si>
    <t>Leading Edge Recovery Solutions, LLC</t>
  </si>
  <si>
    <t>Statewide Credit Services Corp.</t>
  </si>
  <si>
    <t>Global Tel*Link Corporation</t>
  </si>
  <si>
    <t>Self Lender Inc</t>
  </si>
  <si>
    <t>Genesis Credit Management, LLC</t>
  </si>
  <si>
    <t>Rodenburg LLP</t>
  </si>
  <si>
    <t>Check Security Associates, LLC</t>
  </si>
  <si>
    <t>TapTap Send Inc.</t>
  </si>
  <si>
    <t>Malcolm S. Gerald and Associates, Inc.</t>
  </si>
  <si>
    <t>COLLECTION BUREAU INCORPORATED</t>
  </si>
  <si>
    <t>OFG BANCORP</t>
  </si>
  <si>
    <t>Turner Acceptance Corp.</t>
  </si>
  <si>
    <t>DCN Holdings Inc.</t>
  </si>
  <si>
    <t>ZENCO COLLECTION, LLC</t>
  </si>
  <si>
    <t>Professional Collectors Corp.</t>
  </si>
  <si>
    <t>Valley Collection Service, LLC</t>
  </si>
  <si>
    <t>Northwest Collectors Inc.</t>
  </si>
  <si>
    <t>GREAT WESTERN BANCORP, INC.</t>
  </si>
  <si>
    <t>Jonathan Neil &amp; Associates, Inc</t>
  </si>
  <si>
    <t>PayTomorrow, LLC</t>
  </si>
  <si>
    <t>WESTSTAR MORTGAGE CORPORATION</t>
  </si>
  <si>
    <t>National Auto Lenders, Inc.</t>
  </si>
  <si>
    <t>Michael Harrison, Attorney at Law</t>
  </si>
  <si>
    <t>United Check Recovery Bureau, Inc.</t>
  </si>
  <si>
    <t>Recovery Partners, LLC</t>
  </si>
  <si>
    <t>Columbia Collection Service, Inc.</t>
  </si>
  <si>
    <t>Arete Financial Group</t>
  </si>
  <si>
    <t>FIRST COMMONWEALTH FINANCIAL CORPORATION</t>
  </si>
  <si>
    <t>Medical-Dental-Hospital Bureau of San Antonio</t>
  </si>
  <si>
    <t>R.T.R. Financial Services, Inc.</t>
  </si>
  <si>
    <t>National Check Resolution Inc.</t>
  </si>
  <si>
    <t>Credit Solutions, LLC (KY)</t>
  </si>
  <si>
    <t>Armcon Corp</t>
  </si>
  <si>
    <t>Giggle Finance Inc.</t>
  </si>
  <si>
    <t>Credit Clearing House of America, Inc.</t>
  </si>
  <si>
    <t>Reel Time Capital LLC</t>
  </si>
  <si>
    <t>SKO Brenner American, Inc.</t>
  </si>
  <si>
    <t>Columbia Recovery Group LLC</t>
  </si>
  <si>
    <t>FB FINANCIAL CORPORATION</t>
  </si>
  <si>
    <t>Fuel Capital Group</t>
  </si>
  <si>
    <t>PACIFIC PREMIER BANCORP, INC.</t>
  </si>
  <si>
    <t>Adelante, Inc</t>
  </si>
  <si>
    <t>TAG Intermediate Holding Company, LLC</t>
  </si>
  <si>
    <t>Accelerated Servicing Group LLC</t>
  </si>
  <si>
    <t>Abbott Osborn Jacobs PLC</t>
  </si>
  <si>
    <t>CHALLENGE FINANCIAL SERVICES</t>
  </si>
  <si>
    <t>Recovery Management Solutions LLC</t>
  </si>
  <si>
    <t>Brelvis Consulting, LLC</t>
  </si>
  <si>
    <t>Robinson, Reagan and Young PLLC</t>
  </si>
  <si>
    <t>Account Managers, Inc.</t>
  </si>
  <si>
    <t>Accelerated Receivables Management, Inc.</t>
  </si>
  <si>
    <t>Commonwealth Health Corporation</t>
  </si>
  <si>
    <t>Credit Management Services, Inc.</t>
  </si>
  <si>
    <t>MIDWEST RECEIVABLE SOLUTIONS LLC</t>
  </si>
  <si>
    <t>Resurgence Legal Group, PC</t>
  </si>
  <si>
    <t>SOP Pioneer Partners LP</t>
  </si>
  <si>
    <t>Healthcare Management, LLC</t>
  </si>
  <si>
    <t>Professional Receivables Network</t>
  </si>
  <si>
    <t>Works &amp; Lentz of Tulsa, Inc.</t>
  </si>
  <si>
    <t>Credit Bureau of York, Inc.</t>
  </si>
  <si>
    <t>United Group Inc.</t>
  </si>
  <si>
    <t>Vision Financial Corp.</t>
  </si>
  <si>
    <t>Motolease, LLC</t>
  </si>
  <si>
    <t>Student Loan Finance Corporation</t>
  </si>
  <si>
    <t>Premier Portfolio Group</t>
  </si>
  <si>
    <t>Longbridge Financial, LLC</t>
  </si>
  <si>
    <t>Independent Recovery Resources, Inc.</t>
  </si>
  <si>
    <t>Long &amp; Foster Financial Services, Inc.</t>
  </si>
  <si>
    <t>Acceptance Solutions Group, INC</t>
  </si>
  <si>
    <t>BLINCLOANS, INC.</t>
  </si>
  <si>
    <t>Panorama Mortgage Group, LLC</t>
  </si>
  <si>
    <t>RC Willey</t>
  </si>
  <si>
    <t>Zarzaur and Schwartz, PC</t>
  </si>
  <si>
    <t>SANDY SPRING BANCORP, INC.</t>
  </si>
  <si>
    <t>Dakota Financial, LLC</t>
  </si>
  <si>
    <t>Andrews &amp; Cox, P.C.</t>
  </si>
  <si>
    <t>Midwest Acceptance Corp.</t>
  </si>
  <si>
    <t>Global Asset Management Group, Inc.</t>
  </si>
  <si>
    <t>TOLEDO FINANCE CORPORATION</t>
  </si>
  <si>
    <t>HF Holdings</t>
  </si>
  <si>
    <t>BUSEY BANK</t>
  </si>
  <si>
    <t>The Affiliated Group, Inc</t>
  </si>
  <si>
    <t>Clear Recovery, Inc.</t>
  </si>
  <si>
    <t>SunTx Capital Partners</t>
  </si>
  <si>
    <t>Reliant Financial Corporation</t>
  </si>
  <si>
    <t>South Carolina Student Loan Corp</t>
  </si>
  <si>
    <t>Rickart Collection Systems, Inc.</t>
  </si>
  <si>
    <t>Celsius US Holding LLC</t>
  </si>
  <si>
    <t>United Collection Service, Inc (FL)</t>
  </si>
  <si>
    <t>Kross, Lieberman &amp; Stone, Inc.</t>
  </si>
  <si>
    <t>Red Cedar Services, Inc</t>
  </si>
  <si>
    <t>Orion Portfolio Services, LLC</t>
  </si>
  <si>
    <t>Ragan &amp; Ragan, PC</t>
  </si>
  <si>
    <t>General Information Services, Inc</t>
  </si>
  <si>
    <t>SFS, Inc</t>
  </si>
  <si>
    <t>QuickClick Loans of Illinois, LLC</t>
  </si>
  <si>
    <t>Razor Capital, LLC</t>
  </si>
  <si>
    <t>Fenton &amp; McGarvey Law Firm, P.S.C.</t>
  </si>
  <si>
    <t>Rushmore Service Center, LLC</t>
  </si>
  <si>
    <t>Law Offices of Robert A. Schuerger Co., LPA</t>
  </si>
  <si>
    <t>JPL Recovery Solutions</t>
  </si>
  <si>
    <t>eMoneyUSA Holdings, LLC</t>
  </si>
  <si>
    <t>Credit Technology, Inc.</t>
  </si>
  <si>
    <t>Audit &amp; Adjustment Co. Inc.</t>
  </si>
  <si>
    <t>Keith D. Weiner &amp; Associates Co., L.P.A.</t>
  </si>
  <si>
    <t>Talbot, Adams, &amp; Moore, Inc.</t>
  </si>
  <si>
    <t>Couch Lambert LLC</t>
  </si>
  <si>
    <t>ALTERNATIVE DISPUTE RESOLUTIONS</t>
  </si>
  <si>
    <t>UNITED GUARANTY CORPORATION</t>
  </si>
  <si>
    <t>Royal Pacific Funding Corporation</t>
  </si>
  <si>
    <t>AG AH LLC</t>
  </si>
  <si>
    <t>South Mississippi Collection Services Inc.</t>
  </si>
  <si>
    <t>HONOR FINANCE, LLC</t>
  </si>
  <si>
    <t>Certified Solutions, Inc</t>
  </si>
  <si>
    <t>MISSION FINANCIAL SERVICES CORPORATION</t>
  </si>
  <si>
    <t>Viva Finance Inc.</t>
  </si>
  <si>
    <t>EDvantage LLC</t>
  </si>
  <si>
    <t>DSR HOLDINGS GROUP, LLC</t>
  </si>
  <si>
    <t>NFM, INC</t>
  </si>
  <si>
    <t>National Medical Administrators, Inc</t>
  </si>
  <si>
    <t>Apothaker &amp; Associates, PC</t>
  </si>
  <si>
    <t>WATERSTONE MORTGAGE CORPORATION</t>
  </si>
  <si>
    <t>Mendelson Law Firm</t>
  </si>
  <si>
    <t>M1 Holdings Inc.</t>
  </si>
  <si>
    <t>North American Asset Services, LLC</t>
  </si>
  <si>
    <t>Results Unlimited, Inc.</t>
  </si>
  <si>
    <t>Midwestern Health Management INC</t>
  </si>
  <si>
    <t>Charlottesville Bureau of Credits, Inc</t>
  </si>
  <si>
    <t>Crossroads Systems Inc.</t>
  </si>
  <si>
    <t>Compass Recovery Group, LLC</t>
  </si>
  <si>
    <t>CBM Services, Inc.</t>
  </si>
  <si>
    <t>CONDOR CAPITAL CORP</t>
  </si>
  <si>
    <t>PENNSYLVANIA HOUSING FINANCE AGENCY</t>
  </si>
  <si>
    <t>TradeStation Group, Inc.</t>
  </si>
  <si>
    <t>DCI Credit Services, Inc.</t>
  </si>
  <si>
    <t>BCI FINANCIAL GROUP, INC.</t>
  </si>
  <si>
    <t>Mid-America Accounts Control Bureau, Inc.</t>
  </si>
  <si>
    <t>West Coast Servicing, Inc.</t>
  </si>
  <si>
    <t>INTERFIRST MORTGAGE COMPANY</t>
  </si>
  <si>
    <t>Independence Capital Recovery, LLC</t>
  </si>
  <si>
    <t>Law Office of Harris &amp; Zide</t>
  </si>
  <si>
    <t>Exto Inc.</t>
  </si>
  <si>
    <t>GENERATION MORTGAGE COMPANY</t>
  </si>
  <si>
    <t>Milliman, Inc.</t>
  </si>
  <si>
    <t>Citi Management Group, LLC</t>
  </si>
  <si>
    <t>Collection Technology Incorporated</t>
  </si>
  <si>
    <t>General Service Bureau, Inc.</t>
  </si>
  <si>
    <t>Richland Bureau of Credits Medical Service Bureau Inc.</t>
  </si>
  <si>
    <t>Gold Star Finance, Inc.</t>
  </si>
  <si>
    <t>Roycroft Management</t>
  </si>
  <si>
    <t>RAB, INC.</t>
  </si>
  <si>
    <t>Northeast Recovery Solutions, LLC</t>
  </si>
  <si>
    <t>Hiday &amp; Ricke, P.A.</t>
  </si>
  <si>
    <t>Net Pay Advance, Inc.</t>
  </si>
  <si>
    <t>Southern Financial Systems, Inc.</t>
  </si>
  <si>
    <t>Bilt Technologies, Inc.</t>
  </si>
  <si>
    <t>Asset Recovery Bureau LLC</t>
  </si>
  <si>
    <t>Williams, Alexander &amp; Associates, Inc</t>
  </si>
  <si>
    <t>LHR Inc.</t>
  </si>
  <si>
    <t>Certified Services, Inc.</t>
  </si>
  <si>
    <t>Midwest Service Bureau, Inc.</t>
  </si>
  <si>
    <t>Uber Technologies Inc.</t>
  </si>
  <si>
    <t>Global Portfolio Recovery, LLC</t>
  </si>
  <si>
    <t>Team Recovery Inc.</t>
  </si>
  <si>
    <t>ABR Recovery Services LLC.</t>
  </si>
  <si>
    <t>Collection Bureau Services, Inc.</t>
  </si>
  <si>
    <t>CSO Financial</t>
  </si>
  <si>
    <t>MILLENNIUM FINANCIAL GROUP, L.L.C.</t>
  </si>
  <si>
    <t>Flandreau Santee Sioux Tribe</t>
  </si>
  <si>
    <t>Ready Capital Corporation</t>
  </si>
  <si>
    <t>Accounts Receivable Inc.</t>
  </si>
  <si>
    <t>Bureau of Accounts Control</t>
  </si>
  <si>
    <t>California Accounts Service</t>
  </si>
  <si>
    <t>Big City Finance, LLLP</t>
  </si>
  <si>
    <t>Biehl &amp; Biehl, Inc</t>
  </si>
  <si>
    <t>Consolidated Management Group, LLC</t>
  </si>
  <si>
    <t>Earm LLC</t>
  </si>
  <si>
    <t>Danco Financial Services, LLC</t>
  </si>
  <si>
    <t>United Recovery Group, LLC (Closed)</t>
  </si>
  <si>
    <t>Collection Management Services, Inc.</t>
  </si>
  <si>
    <t>SOUTHWEST COLLECTION SERVICES INC.</t>
  </si>
  <si>
    <t>Dominion Law Associates, P.L.L.C.</t>
  </si>
  <si>
    <t>Advantage Collection Professionals, Inc.</t>
  </si>
  <si>
    <t>Gravamen Asset Management Group LLC</t>
  </si>
  <si>
    <t>PRONTO FINANCE INC.</t>
  </si>
  <si>
    <t>Credit Service Company</t>
  </si>
  <si>
    <t>4M Collections, LLC</t>
  </si>
  <si>
    <t>Omnipoint Capital</t>
  </si>
  <si>
    <t>Evergreen Financial Services Inc.</t>
  </si>
  <si>
    <t>We Collect Inc</t>
  </si>
  <si>
    <t>Mary Jane M. Elliott, P.C. Attorneys At Law</t>
  </si>
  <si>
    <t>Ark-La-Tex Financial Services, LLC</t>
  </si>
  <si>
    <t>BUDGET CONTROL SERVICES, INC.</t>
  </si>
  <si>
    <t>Paxful Holdings, Inc.</t>
  </si>
  <si>
    <t>CREDIT CONCEPTS, INC.</t>
  </si>
  <si>
    <t>The Law Offices of Gerald E Moore &amp; Associates, PC</t>
  </si>
  <si>
    <t>Capital Credit and Collection Service, Inc.</t>
  </si>
  <si>
    <t>NCD Financial, LLC</t>
  </si>
  <si>
    <t>Resolve Partners, LLC</t>
  </si>
  <si>
    <t>Avantus, LLC</t>
  </si>
  <si>
    <t>Optima Recovery Services LLC.</t>
  </si>
  <si>
    <t>Professional Credit Analysts of MN, Inc.</t>
  </si>
  <si>
    <t>Titan Receivables, Inc.</t>
  </si>
  <si>
    <t>Liberty Holdings, LLC</t>
  </si>
  <si>
    <t>First Recovery Solutions, Inc.</t>
  </si>
  <si>
    <t>Account Recovery Specialists, Inc.</t>
  </si>
  <si>
    <t>FIRST MORTGAGE CORPORATION</t>
  </si>
  <si>
    <t>Abrahamsen Gindin LLC</t>
  </si>
  <si>
    <t>Bilateral Credit Corp, LLC</t>
  </si>
  <si>
    <t>Nationwide Financial Group</t>
  </si>
  <si>
    <t>CHECKredi of Kentucky, LLC</t>
  </si>
  <si>
    <t>HOMESTAR FINANCIAL CORPORATION</t>
  </si>
  <si>
    <t>TRUHOME SOLUTIONS, LLC</t>
  </si>
  <si>
    <t>Hatfield Portfolio Group LLC.</t>
  </si>
  <si>
    <t>Michael J Adams PC</t>
  </si>
  <si>
    <t>Future Judgement Solutions</t>
  </si>
  <si>
    <t>Debt Collectors International, Inc.</t>
  </si>
  <si>
    <t>Second Alliance, Inc.</t>
  </si>
  <si>
    <t>The Law Offices of Kenosian &amp; Miele, LLP</t>
  </si>
  <si>
    <t>Four Directions Lending LLC</t>
  </si>
  <si>
    <t>Express Aviation</t>
  </si>
  <si>
    <t>Advantage Financial Service LLC (Idaho)</t>
  </si>
  <si>
    <t>Home American Mortgage Corp</t>
  </si>
  <si>
    <t>MJ Altman Companies, Inc.</t>
  </si>
  <si>
    <t>Stephen Einstein &amp; Associates, P.C.</t>
  </si>
  <si>
    <t>Municipal Collections Services, Inc.</t>
  </si>
  <si>
    <t>Schreiber Law LLC</t>
  </si>
  <si>
    <t>Kirkland Asset Management LLC</t>
  </si>
  <si>
    <t>ClearPath Lending</t>
  </si>
  <si>
    <t>Collection Resources, Inc.</t>
  </si>
  <si>
    <t>Praxis Financial Solutions, Incorporated</t>
  </si>
  <si>
    <t>Affiliated Acceptance Corporation</t>
  </si>
  <si>
    <t>SecurityNational Mortgage Company</t>
  </si>
  <si>
    <t>Delivery Financial Services, LLC</t>
  </si>
  <si>
    <t>Loan Science, LLC</t>
  </si>
  <si>
    <t>BAM Financial, LLC</t>
  </si>
  <si>
    <t>MID FLORIDA FINANCING LLC</t>
  </si>
  <si>
    <t>Acceptance Rentals, Inc.</t>
  </si>
  <si>
    <t>Acrisure Mortgage Partners, LLC</t>
  </si>
  <si>
    <t>DreamSpring</t>
  </si>
  <si>
    <t>Bayside Capital Services, LLC</t>
  </si>
  <si>
    <t>Business Processing Solutions, LLC</t>
  </si>
  <si>
    <t>Assured Financial Partners</t>
  </si>
  <si>
    <t>On Q Financial</t>
  </si>
  <si>
    <t>National Financial LLC</t>
  </si>
  <si>
    <t>Vericred Solutions LLC</t>
  </si>
  <si>
    <t>Arena Investors, LP</t>
  </si>
  <si>
    <t>Slovin &amp; Council Co., L.P.A.</t>
  </si>
  <si>
    <t>Campus Student Funding, LLC</t>
  </si>
  <si>
    <t>Nav Technologies, Inc.</t>
  </si>
  <si>
    <t>Worth Finance Corporation</t>
  </si>
  <si>
    <t>Transcontinental Credit &amp; Collection Corp</t>
  </si>
  <si>
    <t>AMERICAN FINANCING CORPORATION</t>
  </si>
  <si>
    <t>PERDUE BRANDON FIELDER COLLINS &amp; MOTT LLP</t>
  </si>
  <si>
    <t>AUDIT SYSTEMS,INC</t>
  </si>
  <si>
    <t>National Arbitration Forum</t>
  </si>
  <si>
    <t>Thrift Investment Corp.</t>
  </si>
  <si>
    <t>MarkOne Holdings, LLC</t>
  </si>
  <si>
    <t>OCEANSIDE MORTGAGE COMPANY</t>
  </si>
  <si>
    <t>1803 Capital, LLC</t>
  </si>
  <si>
    <t>Vermont Student Assistance Corporation</t>
  </si>
  <si>
    <t>Jana Ferrell &amp; Associates LLC</t>
  </si>
  <si>
    <t>Credit Bureau of Lancaster County, Inc.</t>
  </si>
  <si>
    <t>MNS &amp; Associates LLC</t>
  </si>
  <si>
    <t>Chaplain Financial Services LLC</t>
  </si>
  <si>
    <t>FCC Finance, LLC</t>
  </si>
  <si>
    <t>GCFS, INC.</t>
  </si>
  <si>
    <t>J.S Resolution Group, Inc.</t>
  </si>
  <si>
    <t>Hewitt-Capital</t>
  </si>
  <si>
    <t>Pro Com Services of Illinois, Inc.</t>
  </si>
  <si>
    <t>MCMC Auto LTD</t>
  </si>
  <si>
    <t>Broward Adjustment Services</t>
  </si>
  <si>
    <t>Esusu, Inc.</t>
  </si>
  <si>
    <t>Financial Filing &amp; Reporting, Inc.</t>
  </si>
  <si>
    <t>All Debt Solutions Inc. dba: 1st Class Agency</t>
  </si>
  <si>
    <t>Richard Sokoloff, Attorney At Law</t>
  </si>
  <si>
    <t>Fedloan Help</t>
  </si>
  <si>
    <t>Friendly Finance Corporation</t>
  </si>
  <si>
    <t>Continental Central Credit, Inc.</t>
  </si>
  <si>
    <t>Palmar, Inc.</t>
  </si>
  <si>
    <t>TAYLOR MORRISON HOME FUNDING, INC.</t>
  </si>
  <si>
    <t>McCullough Payne &amp; Haan, LLC</t>
  </si>
  <si>
    <t>Kentucky Housing Corporation</t>
  </si>
  <si>
    <t>Collection Professionals, Inc. (Macomb, IL)</t>
  </si>
  <si>
    <t>PACIFIC WESTERN BANK</t>
  </si>
  <si>
    <t>Protas, Spivok &amp; Collins. LLC</t>
  </si>
  <si>
    <t>Silverman Theologou, LLP</t>
  </si>
  <si>
    <t>Primary Financial Services L.L.C.</t>
  </si>
  <si>
    <t>Federated Student Loan Services</t>
  </si>
  <si>
    <t>Paul Michael Marketing Service</t>
  </si>
  <si>
    <t>Integrity Funding Ohio, LLC</t>
  </si>
  <si>
    <t>Systematic National Collection, Inc.</t>
  </si>
  <si>
    <t>Charleston Area Medical Center</t>
  </si>
  <si>
    <t>Credova Holdings Inc</t>
  </si>
  <si>
    <t>GMFS, LLC</t>
  </si>
  <si>
    <t>United Acceptance Inc.</t>
  </si>
  <si>
    <t>BOGMAN, INC</t>
  </si>
  <si>
    <t>United Consumer Finance, Inc.</t>
  </si>
  <si>
    <t>CARMEL FINANCIAL CORPORATION, INC.</t>
  </si>
  <si>
    <t>DRS Financial LLC</t>
  </si>
  <si>
    <t>Rubin &amp; Yates, LLC</t>
  </si>
  <si>
    <t>Fleet Financial, Inc.</t>
  </si>
  <si>
    <t>AmeriFirst Financial Corporation</t>
  </si>
  <si>
    <t>BELMONT FINANCE LLC</t>
  </si>
  <si>
    <t>Solutions To Portfolios, LLC</t>
  </si>
  <si>
    <t>RevMD Partners, LLC.</t>
  </si>
  <si>
    <t>Gragil Associates, Inc.</t>
  </si>
  <si>
    <t>TOLL BROTHERS INC</t>
  </si>
  <si>
    <t>Legal Recovery Law Offices, Inc</t>
  </si>
  <si>
    <t>Majority USA, LLC</t>
  </si>
  <si>
    <t>Lac Courte Oreilles Financial Services II</t>
  </si>
  <si>
    <t>Cooper Hoffman Klein Associates</t>
  </si>
  <si>
    <t>WATERMARK CAPITAL, INC.</t>
  </si>
  <si>
    <t>Markoff Law LLC</t>
  </si>
  <si>
    <t>Accounts Management, Inc</t>
  </si>
  <si>
    <t>WYNDHAM CAPITAL MORTGAGE, INC.</t>
  </si>
  <si>
    <t>AAS Debt Recovery, Inc.</t>
  </si>
  <si>
    <t>Justice Finance Company</t>
  </si>
  <si>
    <t>Account Brokers Inc.</t>
  </si>
  <si>
    <t>Eagle Recovery Associates, Inc.</t>
  </si>
  <si>
    <t>Community Cash Management Corp.</t>
  </si>
  <si>
    <t>Integrated Asset Recovery LLC</t>
  </si>
  <si>
    <t>Loan South Finance &amp; Tax Service of Troy, LLC</t>
  </si>
  <si>
    <t>Credit Wise Recovery Solution LLC</t>
  </si>
  <si>
    <t>Propel, Inc.</t>
  </si>
  <si>
    <t>PRANCER CAPITAL CORP</t>
  </si>
  <si>
    <t>O&amp;L LAW GROUP, P.L.</t>
  </si>
  <si>
    <t>Affiliated Collection Services, LLC</t>
  </si>
  <si>
    <t>Couch Conville &amp; Blitt LLC</t>
  </si>
  <si>
    <t>Coastline Financial Resources, LLC</t>
  </si>
  <si>
    <t>Universal Payment Corporation</t>
  </si>
  <si>
    <t>Credit Glory LLC</t>
  </si>
  <si>
    <t>Hanwha QCells USA Corp</t>
  </si>
  <si>
    <t>NCS, Inc</t>
  </si>
  <si>
    <t>Skagit Bonded Collectors, LLC</t>
  </si>
  <si>
    <t>Armor Systems Corporation</t>
  </si>
  <si>
    <t>Commerce Home Mortgage, Inc</t>
  </si>
  <si>
    <t>TOWNEBANK</t>
  </si>
  <si>
    <t>Valarity, LLC</t>
  </si>
  <si>
    <t>MLD MORTGAGE INC</t>
  </si>
  <si>
    <t>New Era Asset Management, LLC</t>
  </si>
  <si>
    <t>KILOWATT FINANCIAL, LLC, A SPRUCE FINANCE COMPANY</t>
  </si>
  <si>
    <t>RMB, Inc.</t>
  </si>
  <si>
    <t>Volunteer Mortgage Loan Servicing</t>
  </si>
  <si>
    <t>Reimer, Arnovitz, Chernek &amp;Jeffrey Co., LPA</t>
  </si>
  <si>
    <t>TRINITY HOPE ASSOCIATES</t>
  </si>
  <si>
    <t>Lazarus Financial Group, Inc.(Closed)</t>
  </si>
  <si>
    <t>Asset Recovery Group, Inc.</t>
  </si>
  <si>
    <t>Signature Bank (NY)</t>
  </si>
  <si>
    <t>CALCON MUTUAL MORTGAGE LLC DBA ONETRUST HOME LOANS</t>
  </si>
  <si>
    <t>Moneytree Inc</t>
  </si>
  <si>
    <t>Interstate Recovery Service, Inc.</t>
  </si>
  <si>
    <t>UNIVERSAL COLLECTION SYSTEMS, INC</t>
  </si>
  <si>
    <t>A-1 Premium Acceptance, Inc.</t>
  </si>
  <si>
    <t>E-Backgroundchecks.com, Inc.</t>
  </si>
  <si>
    <t>Allegiant Capital Recovery LLC</t>
  </si>
  <si>
    <t>Time Investment Corporation</t>
  </si>
  <si>
    <t>New Century Auto Sales, Inc.</t>
  </si>
  <si>
    <t>Advanced Recovery Systems, Inc.</t>
  </si>
  <si>
    <t>CADENCE BANCORPORATION</t>
  </si>
  <si>
    <t>VANDYK MORTGAGE CORPORATION</t>
  </si>
  <si>
    <t>Stewart Information Services</t>
  </si>
  <si>
    <t>Northeast Collection Bureau</t>
  </si>
  <si>
    <t>Komyatte &amp; Casbon, P.C.</t>
  </si>
  <si>
    <t>COLLECTIONS UNLIMITED OF TEXAS INC</t>
  </si>
  <si>
    <t>Tebo Financial Services, Inc.</t>
  </si>
  <si>
    <t>Falls Collection Service Inc.</t>
  </si>
  <si>
    <t>BQ &amp; Associates, P.C., L.L.O.</t>
  </si>
  <si>
    <t>JMD,LLC</t>
  </si>
  <si>
    <t>IMC Capital, LLC</t>
  </si>
  <si>
    <t>Kenneth, Eisen &amp; Associates, LTD.</t>
  </si>
  <si>
    <t>Insikt, Inc.</t>
  </si>
  <si>
    <t>Greenberg, Grant &amp; Richards Inc.</t>
  </si>
  <si>
    <t>Island Finance Puerto Rico</t>
  </si>
  <si>
    <t>Snow and Sauerteig LLP</t>
  </si>
  <si>
    <t>Convergys</t>
  </si>
  <si>
    <t>Professional Recovery Consultants, Inc.</t>
  </si>
  <si>
    <t>Main Street Personal Finance</t>
  </si>
  <si>
    <t>Access Credit Management, Inc.</t>
  </si>
  <si>
    <t>Trans-Fast Remittance LLC</t>
  </si>
  <si>
    <t>Denali Capital Holdings, LLC</t>
  </si>
  <si>
    <t>Mid-Atlantic Consumer Services</t>
  </si>
  <si>
    <t>Law Offices of Timothy M. Sullivan</t>
  </si>
  <si>
    <t>Pacific Retrieval LLC</t>
  </si>
  <si>
    <t>Butler and Associates, PA</t>
  </si>
  <si>
    <t>Scratch Financial, Inc.</t>
  </si>
  <si>
    <t>Federal Pacific Credit Company, LLC</t>
  </si>
  <si>
    <t>BHFC Financial Services INC</t>
  </si>
  <si>
    <t>Madison Management Services, LLC</t>
  </si>
  <si>
    <t>Live Well Financial, Inc.</t>
  </si>
  <si>
    <t>Kornerstone Credit,  LLC.</t>
  </si>
  <si>
    <t>SACOR FINANCIAL, INC</t>
  </si>
  <si>
    <t>Kubota North America Corporation</t>
  </si>
  <si>
    <t>STATE STREET BANK AND TRUST COMPANY</t>
  </si>
  <si>
    <t>Sulphur Bank Rancheria Enterprises</t>
  </si>
  <si>
    <t>CFM Group LLC</t>
  </si>
  <si>
    <t>Collectibles Management Resources</t>
  </si>
  <si>
    <t>Southern Credit Adjusters, Inc.</t>
  </si>
  <si>
    <t>Russell W Richardson, Attorney at Law</t>
  </si>
  <si>
    <t>Element Global Services</t>
  </si>
  <si>
    <t>Capital Alliance Financial, LLC</t>
  </si>
  <si>
    <t>Zillow Group Inc.</t>
  </si>
  <si>
    <t>CRED Technologies dba cred.ai</t>
  </si>
  <si>
    <t>CIR, Law Offices</t>
  </si>
  <si>
    <t>FIRST CONTINENTAL MORTGAGE LTD</t>
  </si>
  <si>
    <t>Rhode Island Student Loan Authority</t>
  </si>
  <si>
    <t>Union Credit Corporation</t>
  </si>
  <si>
    <t>Benht: Economic Development Corporation</t>
  </si>
  <si>
    <t>Fair Financial Corp.</t>
  </si>
  <si>
    <t>AmWest Funding Corp.</t>
  </si>
  <si>
    <t>Elite Financial Services, Inc.</t>
  </si>
  <si>
    <t>Allied Account Services, Inc.</t>
  </si>
  <si>
    <t>Oasis Legal Finance Holding Company, LLC</t>
  </si>
  <si>
    <t>L.B.Gray LLC A Debt Collection Agency</t>
  </si>
  <si>
    <t>Check City Partnership, LLC</t>
  </si>
  <si>
    <t>A-L FINANCIAL CORP</t>
  </si>
  <si>
    <t>HIGHLAND FINANCIAL SERVICES (Closed)</t>
  </si>
  <si>
    <t>USA DISCOUNTERS LTD</t>
  </si>
  <si>
    <t>ALLIED MORTGAGE GROUP</t>
  </si>
  <si>
    <t>Finance System of Green Bay, Inc.</t>
  </si>
  <si>
    <t>KP ASSET CONSULTING LLC</t>
  </si>
  <si>
    <t>Money Management International, Inc.</t>
  </si>
  <si>
    <t>Prime Recovery LLC</t>
  </si>
  <si>
    <t>Titanium Funds</t>
  </si>
  <si>
    <t>Troy Capital, LLC</t>
  </si>
  <si>
    <t>CAB Receivables, Inc.</t>
  </si>
  <si>
    <t>Regional Acquisition Group, Inc.</t>
  </si>
  <si>
    <t>Bay Equity LLC</t>
  </si>
  <si>
    <t>Meridian ARG Inc.</t>
  </si>
  <si>
    <t>Trust Financial LLC</t>
  </si>
  <si>
    <t>SEACOAST BANKING CORPORATION OF FLORIDA</t>
  </si>
  <si>
    <t>Lotane &amp; Associates, P.A.</t>
  </si>
  <si>
    <t>Scratch Services, Inc.</t>
  </si>
  <si>
    <t>SOUTHSTATE BANK, N.A. - 520 GERVAIS STREET BRANCH</t>
  </si>
  <si>
    <t>COLLECTION PROFESSIONALS INC (Illinois)</t>
  </si>
  <si>
    <t>Lil' Wave Financial, Inc.</t>
  </si>
  <si>
    <t>Mitsubishi Motors North America, Inc.</t>
  </si>
  <si>
    <t>B9, Inc.</t>
  </si>
  <si>
    <t>Emergent Business Group, Inc.</t>
  </si>
  <si>
    <t>RateGenius Loan Services Inc</t>
  </si>
  <si>
    <t>CDI Affiliated Services, Inc.</t>
  </si>
  <si>
    <t>H. Kent Hollins, Attorney at Law, P.A</t>
  </si>
  <si>
    <t>MINNESOTA LIFE INSURANCE CO., THE</t>
  </si>
  <si>
    <t>Credit Bureau Services of Iowa Inc.</t>
  </si>
  <si>
    <t>Ratchford Law Group, P.C.</t>
  </si>
  <si>
    <t>Axela Technologies, Inc</t>
  </si>
  <si>
    <t>Healthcare Financial Services, LLC</t>
  </si>
  <si>
    <t>Emerald Canyon Capital, LLC</t>
  </si>
  <si>
    <t>BREMER BANK, NATIONAL ASSOCIATION</t>
  </si>
  <si>
    <t>Receivable Solutions LLC</t>
  </si>
  <si>
    <t>ACI Worldwide, Corp.</t>
  </si>
  <si>
    <t>Global Processing Services, LLC</t>
  </si>
  <si>
    <t>E Mortgage Capital, Inc.</t>
  </si>
  <si>
    <t>Daniels Norelli Scully &amp; Cecere, P.C.</t>
  </si>
  <si>
    <t>FIRST COMMUNITY MORTGAGE, INC.</t>
  </si>
  <si>
    <t>JFQ Lending, LLC</t>
  </si>
  <si>
    <t>CHS, Inc.</t>
  </si>
  <si>
    <t>Roquemore Holdings LLC</t>
  </si>
  <si>
    <t>RUOFF MORTGAGE</t>
  </si>
  <si>
    <t>College Assist</t>
  </si>
  <si>
    <t>Alliance CAS, LLC</t>
  </si>
  <si>
    <t>American Credit Resolution, Incorporated</t>
  </si>
  <si>
    <t>GSF MORTGAGE CORP</t>
  </si>
  <si>
    <t>Coastal Financial Solutions, LLC</t>
  </si>
  <si>
    <t>Direct Capital</t>
  </si>
  <si>
    <t>Rhode Island Housing and Mortgage Finance Corporation</t>
  </si>
  <si>
    <t>Forster, Garbus and Garbus</t>
  </si>
  <si>
    <t>VANGUARD FUNDING LLC</t>
  </si>
  <si>
    <t>Debois, Inc.</t>
  </si>
  <si>
    <t>InvestiNet LLC</t>
  </si>
  <si>
    <t>Student Loan Financial Assistance</t>
  </si>
  <si>
    <t>Vertical Screen</t>
  </si>
  <si>
    <t>Carmichael &amp; Frost LLC</t>
  </si>
  <si>
    <t>Schachter Portnoy, L.L.C.</t>
  </si>
  <si>
    <t>RMA Credit Association</t>
  </si>
  <si>
    <t>Pathfinder Credit Services</t>
  </si>
  <si>
    <t>FEARON FINANCIAL LLC</t>
  </si>
  <si>
    <t>Global Credit Union</t>
  </si>
  <si>
    <t>American Finance LLC</t>
  </si>
  <si>
    <t>Estate Information Services, LLC</t>
  </si>
  <si>
    <t>Xtreme Products LLC</t>
  </si>
  <si>
    <t>Cheadle Law Firm</t>
  </si>
  <si>
    <t>Capital Mitigation Services, LLC</t>
  </si>
  <si>
    <t>Brightwater Capital, LLC</t>
  </si>
  <si>
    <t>ONE REVERSE MORTGAGE, LLC</t>
  </si>
  <si>
    <t>Works &amp; Lentz, Inc</t>
  </si>
  <si>
    <t>Auto Advantage Finance, LLC</t>
  </si>
  <si>
    <t>Lake City Credit</t>
  </si>
  <si>
    <t>Kora Financial</t>
  </si>
  <si>
    <t>Alliance Recovery Group</t>
  </si>
  <si>
    <t>GAMACHE &amp; MYERS, PC</t>
  </si>
  <si>
    <t>National Healthcare Collections, LLC</t>
  </si>
  <si>
    <t>YKS Acceptance, Inc.</t>
  </si>
  <si>
    <t>CommonBond, Inc.</t>
  </si>
  <si>
    <t>Michael Wayne Investment</t>
  </si>
  <si>
    <t>New Hampshire Northeast Credit Services, Inc.</t>
  </si>
  <si>
    <t>Bitstamp USA, Inc.</t>
  </si>
  <si>
    <t>Peterson Enterprises, Inc.</t>
  </si>
  <si>
    <t>Affiliated Management Services</t>
  </si>
  <si>
    <t>Global Asset Agency, Inc.</t>
  </si>
  <si>
    <t>MID-ISLAND MORTGAGE CORP.</t>
  </si>
  <si>
    <t>Marcadis Singer PA</t>
  </si>
  <si>
    <t>IDAHO CENTRAL CREDIT UNION</t>
  </si>
  <si>
    <t>Local Management, LLC</t>
  </si>
  <si>
    <t>STEWARD FINANCIAL SERVICES LLC</t>
  </si>
  <si>
    <t>Benworth Capital Partners LLC</t>
  </si>
  <si>
    <t>Robinson &amp; Hoover</t>
  </si>
  <si>
    <t>MOUNTAIN WEST FINANCIAL, INC.</t>
  </si>
  <si>
    <t>Amcap Investments, LLC</t>
  </si>
  <si>
    <t>Bursey &amp; Associates, P.C.</t>
  </si>
  <si>
    <t>Fulton Friedman &amp; Gullace LLP</t>
  </si>
  <si>
    <t>Ygrene Energy Fund Inc.</t>
  </si>
  <si>
    <t>Medical Financial Services, Inc.</t>
  </si>
  <si>
    <t>Michigan Mutual, Inc.</t>
  </si>
  <si>
    <t>FIRST FINANCIAL SERVICES, INC.</t>
  </si>
  <si>
    <t>Greene &amp; Cooper Collections LLC</t>
  </si>
  <si>
    <t>Armstrong and Associates, Inc</t>
  </si>
  <si>
    <t>MSW Capital, LLC</t>
  </si>
  <si>
    <t>R&amp;R Professional Recovery, Inc.</t>
  </si>
  <si>
    <t>CONTRACT RESOLVE GROUP LLC</t>
  </si>
  <si>
    <t>DTA GROUP LLC</t>
  </si>
  <si>
    <t>Physicians &amp; Dentists Credit Bureau</t>
  </si>
  <si>
    <t>Cognition Financial Corporation</t>
  </si>
  <si>
    <t>Spring Equity LLC</t>
  </si>
  <si>
    <t>MSCB, Inc.</t>
  </si>
  <si>
    <t>Mutual Financial Partners</t>
  </si>
  <si>
    <t>King of Credit Financial, Inc</t>
  </si>
  <si>
    <t>C &amp; M Associates Group, Inc.</t>
  </si>
  <si>
    <t>A&amp;D Mortgage LLC</t>
  </si>
  <si>
    <t>Evergreen Moneysource Mortgage Company</t>
  </si>
  <si>
    <t>DAS ACQUISITION COMPANY, LLC</t>
  </si>
  <si>
    <t>Brown‚Äôs New Credit Bureau Inc.</t>
  </si>
  <si>
    <t>Credit Bureau of Jamestown, Inc.</t>
  </si>
  <si>
    <t>Medical &amp; Professional Collection Services, Inc. NC.</t>
  </si>
  <si>
    <t>Genesys National Recovery, Inc.</t>
  </si>
  <si>
    <t>Nexum Group Inc</t>
  </si>
  <si>
    <t>Dividend Finance Inc.</t>
  </si>
  <si>
    <t>Phoenix Health Care Management Services, Inc.</t>
  </si>
  <si>
    <t>Credit Sage LLC</t>
  </si>
  <si>
    <t>United Recovery Solutions</t>
  </si>
  <si>
    <t>Freeway Funding, Inc.</t>
  </si>
  <si>
    <t>DIME COMMUNITY BANCSHARES, INC.</t>
  </si>
  <si>
    <t>Pioneer Credit Company, Inc</t>
  </si>
  <si>
    <t>The LGM Co., Inc.</t>
  </si>
  <si>
    <t>MFP, inc.</t>
  </si>
  <si>
    <t>Modlin Slinsky, P.A.</t>
  </si>
  <si>
    <t>Professional Choice Recovery, Inc.</t>
  </si>
  <si>
    <t>Law Offices of Les Zieve</t>
  </si>
  <si>
    <t>HoldCo LLC</t>
  </si>
  <si>
    <t>Delta Outsource Group, Inc.</t>
  </si>
  <si>
    <t>EMG ACQUISITION GROUP, LLC</t>
  </si>
  <si>
    <t>Sound Collection Services</t>
  </si>
  <si>
    <t>Accurate Financial Partners</t>
  </si>
  <si>
    <t>Overland Bond &amp; Investment Corporation</t>
  </si>
  <si>
    <t>Clearview Resolution Services</t>
  </si>
  <si>
    <t>Model Finance Company</t>
  </si>
  <si>
    <t>Armed Forces Loans of Nevada Inc.</t>
  </si>
  <si>
    <t>OCEANFIRST FINANCIAL CORP.</t>
  </si>
  <si>
    <t>Centralized Business Solutions Company</t>
  </si>
  <si>
    <t>Mid-Michigan Collection Bureau</t>
  </si>
  <si>
    <t>NPG Associates, Inc.</t>
  </si>
  <si>
    <t>HomeTown Lenders, LLC</t>
  </si>
  <si>
    <t>Patrick K Willis Company Inc</t>
  </si>
  <si>
    <t>KAHRS LAW OFFICES, PA</t>
  </si>
  <si>
    <t>LEADER ONE FINANCIAL CORPORATION</t>
  </si>
  <si>
    <t>Premier Holdings</t>
  </si>
  <si>
    <t>Valley Credit Service, Inc. (OR)</t>
  </si>
  <si>
    <t>TOTAL MORTGAGE SERVICES LLC</t>
  </si>
  <si>
    <t>SET Financial Corporation</t>
  </si>
  <si>
    <t>De Lage Landen Finance, LLC</t>
  </si>
  <si>
    <t>World Recovery Service, LLC</t>
  </si>
  <si>
    <t>PROVIDENT FINANCIAL SERVICES, INC.</t>
  </si>
  <si>
    <t>Finkelstein, Kern, Steinberg &amp; Cunningham, PC</t>
  </si>
  <si>
    <t>Zakheim Law Group, P.A.</t>
  </si>
  <si>
    <t>Russell Collection Agency, Inc</t>
  </si>
  <si>
    <t>United Debt Counselors, LLC</t>
  </si>
  <si>
    <t>GENERAL BUSINESS RECOVERIES, INC.</t>
  </si>
  <si>
    <t>Cascade Collections, Inc.</t>
  </si>
  <si>
    <t>Mel S. Harris and Associates, LLC</t>
  </si>
  <si>
    <t>Streamline Recovery Inc</t>
  </si>
  <si>
    <t>UNITED SECURITY FINANCIAL</t>
  </si>
  <si>
    <t>INTERCONTINENTAL EXCHANGE, INC.</t>
  </si>
  <si>
    <t>HOME FINANCING CENTER</t>
  </si>
  <si>
    <t>Receivables Management Corporation of America</t>
  </si>
  <si>
    <t>MORTGAGE CENTER, LC</t>
  </si>
  <si>
    <t>Child Support Recovery Services, Inc.</t>
  </si>
  <si>
    <t>Student Services</t>
  </si>
  <si>
    <t>Quantum Servicing Corporation</t>
  </si>
  <si>
    <t>First Service Residential, Nevada, LLC</t>
  </si>
  <si>
    <t>Concorde Auto Management, LLC  DBA  Concorde Auto Acceptance</t>
  </si>
  <si>
    <t>Heartland Resolution Group, LLC</t>
  </si>
  <si>
    <t>GFS, Inc.</t>
  </si>
  <si>
    <t>Union Adjustment Company, Inc.</t>
  </si>
  <si>
    <t>NATIONS RELIABLE LENDING LLC</t>
  </si>
  <si>
    <t>ALASKA COMMISSION ON POST SECONDARY EDUCATION</t>
  </si>
  <si>
    <t>ADR ARBITRATION SERVICES (Closed)</t>
  </si>
  <si>
    <t>GUARDIAN CAPITAL MANAGEMENT HAWAII, LLC</t>
  </si>
  <si>
    <t>Essential Retrieval Group</t>
  </si>
  <si>
    <t>Intermex Wire Transfer, LLC</t>
  </si>
  <si>
    <t>Credible Labs Inc.</t>
  </si>
  <si>
    <t>Pendleton Capital Management</t>
  </si>
  <si>
    <t>Northwest Trustee Services, Inc.</t>
  </si>
  <si>
    <t>Rocky Mountain Capital Management</t>
  </si>
  <si>
    <t>Dunlap Gardiner LLP</t>
  </si>
  <si>
    <t>CITYWORTH MORTGAGE LLC</t>
  </si>
  <si>
    <t>Receivable Solutions Specialist, Inc.</t>
  </si>
  <si>
    <t>BUCKEYE FINANCIAL SERVICES OF ALLIANCE INC.</t>
  </si>
  <si>
    <t>StellarFinance, Inc.</t>
  </si>
  <si>
    <t>CONTOUR MORTGAGE CORPORATION</t>
  </si>
  <si>
    <t>Lending Solutions Mortgage/ LSI Mortgage</t>
  </si>
  <si>
    <t>MORTGAGE LENDERS OF AMERICA</t>
  </si>
  <si>
    <t>Schrier, Tolin and Wagman, LLC</t>
  </si>
  <si>
    <t>Harmon Law Offices, P.C.</t>
  </si>
  <si>
    <t>Robinson Economic Development Corporation</t>
  </si>
  <si>
    <t>Weinman Acquisition Group</t>
  </si>
  <si>
    <t>Collection Bureau of Walla Walla</t>
  </si>
  <si>
    <t>Hameroff Law Group, P.C.</t>
  </si>
  <si>
    <t>NCP Finance</t>
  </si>
  <si>
    <t>Cadillac Accounts Receivable Management</t>
  </si>
  <si>
    <t>Performance Settlement, LLC</t>
  </si>
  <si>
    <t>Plastiq Inc.</t>
  </si>
  <si>
    <t>AMALGAMATED TOKEN SERVICES, INC.</t>
  </si>
  <si>
    <t>Recovco Mortgage Management, LLC</t>
  </si>
  <si>
    <t>Accelerated Receivables Solutions</t>
  </si>
  <si>
    <t>Liberty Home Equity Solutions, Inc.</t>
  </si>
  <si>
    <t>GRANDVIEW FINANCIAL SERVICES INC.</t>
  </si>
  <si>
    <t>First Step Group, LLC</t>
  </si>
  <si>
    <t>Cohn, Goldberg &amp; Deutsch,LLC</t>
  </si>
  <si>
    <t>Alco Collections, Inc.</t>
  </si>
  <si>
    <t>Western Portfolio Assets</t>
  </si>
  <si>
    <t>Triton Management Group, Inc</t>
  </si>
  <si>
    <t>First Choice Assets LLC.</t>
  </si>
  <si>
    <t>Lima One Capital, LLC</t>
  </si>
  <si>
    <t>Muskegon Car Credit, Inc.</t>
  </si>
  <si>
    <t>E. A. Uffman &amp; Associates, Inc</t>
  </si>
  <si>
    <t>TH Professional &amp; Medical Collections LTD</t>
  </si>
  <si>
    <t>Cogent Road, Inc.</t>
  </si>
  <si>
    <t>AMERIFIRST FINANCIAL, INC.</t>
  </si>
  <si>
    <t>Controlled Credit Corporation</t>
  </si>
  <si>
    <t>G&amp;P Enterprises, LLC</t>
  </si>
  <si>
    <t>Sprechman &amp; Associates, P.A.</t>
  </si>
  <si>
    <t>Goldcar Lending Inc.</t>
  </si>
  <si>
    <t>Law Office of James R. Vaughan, P.C.</t>
  </si>
  <si>
    <t>Sovereign Lending Group, Incorporated</t>
  </si>
  <si>
    <t>E MORTGAGE MANAGEMENT, LLC</t>
  </si>
  <si>
    <t>MortgagePros, LLC</t>
  </si>
  <si>
    <t>Reach Financial LLC</t>
  </si>
  <si>
    <t>FirstCredit, Inc.</t>
  </si>
  <si>
    <t>Leaders Financial Company</t>
  </si>
  <si>
    <t>United Military Mortgage, LLC</t>
  </si>
  <si>
    <t>Certified Bureau of the South, Inc</t>
  </si>
  <si>
    <t>Financial Asset Management, Inc.</t>
  </si>
  <si>
    <t>STATE BANKSHARES, INC.</t>
  </si>
  <si>
    <t>PLATINUM HOME MORTGAGE CORPORATION</t>
  </si>
  <si>
    <t>Pioneer Capital Solutions Inc</t>
  </si>
  <si>
    <t>Revolution Financial Inc.</t>
  </si>
  <si>
    <t>Mark A. Kirkorsky, PC</t>
  </si>
  <si>
    <t>Atlantic Collection Agency, Inc.</t>
  </si>
  <si>
    <t>Law Office of J.A. Cambece</t>
  </si>
  <si>
    <t>Triton Recovery Group</t>
  </si>
  <si>
    <t>Helm Associates</t>
  </si>
  <si>
    <t>Helbing Law Group</t>
  </si>
  <si>
    <t>Niagara Portfolio Solutions LLC</t>
  </si>
  <si>
    <t>MoneySpot USA LLC DBA Sunshine Loans</t>
  </si>
  <si>
    <t>Collection Attorneys USA LLC</t>
  </si>
  <si>
    <t>Receivable Asset Management</t>
  </si>
  <si>
    <t>Rubin &amp; Debski, P.A.</t>
  </si>
  <si>
    <t>McCarthy &amp; Holthus, LLP</t>
  </si>
  <si>
    <t>INDEPENDENT BANK GROUP, INC.</t>
  </si>
  <si>
    <t>Cash Time Title Loans, Inc.</t>
  </si>
  <si>
    <t>Cordoba Legal Group, PLLC.</t>
  </si>
  <si>
    <t>One Technologies, LP</t>
  </si>
  <si>
    <t>STOCKTON MORTGAGE</t>
  </si>
  <si>
    <t>Opportunity Fund</t>
  </si>
  <si>
    <t>Thomas George Associates, Ltd.</t>
  </si>
  <si>
    <t>Rossman &amp; Co &amp; PCB</t>
  </si>
  <si>
    <t>INDUSTRIAL AND COMMERCIAL BANK OF CHINA (USA), NATIONAL ASSOCIATION</t>
  </si>
  <si>
    <t>ADP, LLC</t>
  </si>
  <si>
    <t>Hirshberg Acceptance Corporation</t>
  </si>
  <si>
    <t>Asset Management Professionals, LLC</t>
  </si>
  <si>
    <t>Diversified Recovery Services Inc.</t>
  </si>
  <si>
    <t>Kehoe Financial Group, LLC</t>
  </si>
  <si>
    <t>Lionstone Holdings Group</t>
  </si>
  <si>
    <t>SandP Solutions, Inc.</t>
  </si>
  <si>
    <t>New Mexico Educational Assistance Foundation</t>
  </si>
  <si>
    <t>McKellar &amp; Associates Group, Inc.</t>
  </si>
  <si>
    <t>Alliance Group &amp; Associates LLC</t>
  </si>
  <si>
    <t>Bristlecone, Inc.</t>
  </si>
  <si>
    <t>HIGHLANDS RESIDENTIAL MORTGAGE</t>
  </si>
  <si>
    <t>Medical Recovery Services, LLC</t>
  </si>
  <si>
    <t>Accounts Receivable Consultants Inc.</t>
  </si>
  <si>
    <t>Esser, James &amp; Associates</t>
  </si>
  <si>
    <t>Wealthfront Corporation</t>
  </si>
  <si>
    <t>Greystone Alliance LLC</t>
  </si>
  <si>
    <t>MEDCAH, Inc.</t>
  </si>
  <si>
    <t>First Direct Lending, LLC</t>
  </si>
  <si>
    <t>Scott Lowery Law Office, P.C.</t>
  </si>
  <si>
    <t>ACXIOM CORP.</t>
  </si>
  <si>
    <t>PMT Solutions, LLC.</t>
  </si>
  <si>
    <t>Accredited Collection Service, Inc.</t>
  </si>
  <si>
    <t>PROFICIO MORTGAGE VENTURES, LLC</t>
  </si>
  <si>
    <t>Point Digital Finance, Inc.</t>
  </si>
  <si>
    <t>Prizm Financial Company, LLC</t>
  </si>
  <si>
    <t>Credit Service, Inc</t>
  </si>
  <si>
    <t>Rock Creek Capital, LLC</t>
  </si>
  <si>
    <t>Sterling Credit Corp.</t>
  </si>
  <si>
    <t>CAPITAL RESOURCE MANAGEMENT, INC.</t>
  </si>
  <si>
    <t>Meritize Financial Inc.</t>
  </si>
  <si>
    <t>Castle and Cookie Mortgage LLC</t>
  </si>
  <si>
    <t>Greentree &amp; Associates</t>
  </si>
  <si>
    <t>Easy Finance, LLC</t>
  </si>
  <si>
    <t>Astra Business Services</t>
  </si>
  <si>
    <t>Prog Holdings, Inc.</t>
  </si>
  <si>
    <t>Makes Cents, Inc. dba Advance.Cash</t>
  </si>
  <si>
    <t>United We Collect, Inc.</t>
  </si>
  <si>
    <t>Vantage Sourcing, LLC</t>
  </si>
  <si>
    <t>Nationwide Mortgage Bankers, Inc.</t>
  </si>
  <si>
    <t>Titan Revenue Solutions</t>
  </si>
  <si>
    <t>Cactus Jacks Auto Sales</t>
  </si>
  <si>
    <t>STATE BANK OF INDIA - NEW YORK BRANCH</t>
  </si>
  <si>
    <t>Ashton &amp; Weinberg, Inc.</t>
  </si>
  <si>
    <t>Lugano Capital, Inc. d/b/a Start Auto Finance</t>
  </si>
  <si>
    <t>La Casa Bonita Investments</t>
  </si>
  <si>
    <t>Sokaogon Finance, Inc.</t>
  </si>
  <si>
    <t>Partners for Payment Relief</t>
  </si>
  <si>
    <t>Mitchell Rubenstein &amp; Associates, P.C.</t>
  </si>
  <si>
    <t>Vanguard Financial Services, Inc.</t>
  </si>
  <si>
    <t>Unified Global Group</t>
  </si>
  <si>
    <t>Relin, Goldstein &amp; Crane, LLP</t>
  </si>
  <si>
    <t>Higher Education Servicing Corporation, Inc.</t>
  </si>
  <si>
    <t>NETWORK FUNDING, L.P.</t>
  </si>
  <si>
    <t>Clasp Group, Inc.</t>
  </si>
  <si>
    <t>Account Recovery Services, Inc.</t>
  </si>
  <si>
    <t>Bankers Auto Acceptance</t>
  </si>
  <si>
    <t>Select Financial Services, Inc.</t>
  </si>
  <si>
    <t>SHABANA MOTORS</t>
  </si>
  <si>
    <t>Wakpamni Lake Community Corporation</t>
  </si>
  <si>
    <t>Pacific Rim Alliance Corporation</t>
  </si>
  <si>
    <t>WESTERN CONTROL SERVICES, INC.</t>
  </si>
  <si>
    <t>Automotive Management Services, Inc.</t>
  </si>
  <si>
    <t>Emmett L. Goodman, Jr., LLC</t>
  </si>
  <si>
    <t>The Law Office of Daniel Slane</t>
  </si>
  <si>
    <t>Roach &amp; Murtha, P.C.</t>
  </si>
  <si>
    <t>Cordoza &amp; Wexler Recovery Services</t>
  </si>
  <si>
    <t>CERTIFIED COLLECTORS, INC.</t>
  </si>
  <si>
    <t>Access Capital Services, Inc.</t>
  </si>
  <si>
    <t>Pintor Partners, LP</t>
  </si>
  <si>
    <t>Neighborhood Capital Funding, Inc.</t>
  </si>
  <si>
    <t>RESIDENTIAL HOME FUNDING CORP.</t>
  </si>
  <si>
    <t>International Recovery Associates, Inc.</t>
  </si>
  <si>
    <t>WINNPOINTE CORPORATION</t>
  </si>
  <si>
    <t>Smith, Cohen &amp; Rosenberg LLC</t>
  </si>
  <si>
    <t>Global Equity Finance, Inc.</t>
  </si>
  <si>
    <t>Fairway Collections, LLC</t>
  </si>
  <si>
    <t>Athena Bitcoin Inc</t>
  </si>
  <si>
    <t>National Default Servicing Corporation</t>
  </si>
  <si>
    <t>Paycheck Solutions llc</t>
  </si>
  <si>
    <t>Executive Credit Management, Inc</t>
  </si>
  <si>
    <t>HGREG.com</t>
  </si>
  <si>
    <t>NORTHWAY BROKER LTD.</t>
  </si>
  <si>
    <t>Meade Recovery Services, LLC</t>
  </si>
  <si>
    <t>eMortgage Funding LLC</t>
  </si>
  <si>
    <t>Quest Legal Group</t>
  </si>
  <si>
    <t>OKCoin USA Inc.</t>
  </si>
  <si>
    <t>DMB Financial, LLC</t>
  </si>
  <si>
    <t>Law Offices of Marvin S. C. Dang, LLC</t>
  </si>
  <si>
    <t>Uptain Group, Inc.</t>
  </si>
  <si>
    <t>Emerald AR Systems, LLC</t>
  </si>
  <si>
    <t>Camino Financial Inc.</t>
  </si>
  <si>
    <t>Rapid Auto Loans LLC</t>
  </si>
  <si>
    <t>Cash Link USA, LLC</t>
  </si>
  <si>
    <t>Western Mercantile Agency, Inc</t>
  </si>
  <si>
    <t>BANCFIRST CORPORATION</t>
  </si>
  <si>
    <t>Sterling &amp; Associates, LLC</t>
  </si>
  <si>
    <t>Credit Resolutions, LLC</t>
  </si>
  <si>
    <t>BOC LLC</t>
  </si>
  <si>
    <t>Columbia Collectors Inc</t>
  </si>
  <si>
    <t>National Debt Holdings, LLC</t>
  </si>
  <si>
    <t>Law Office of Linda Strumpf</t>
  </si>
  <si>
    <t>Snap Recovery, Inc.</t>
  </si>
  <si>
    <t>Legal Prevention Services, LLC.</t>
  </si>
  <si>
    <t>NPS GROUP</t>
  </si>
  <si>
    <t>Foreman Financial Inc.</t>
  </si>
  <si>
    <t>College Loan Corporation</t>
  </si>
  <si>
    <t>Federal Cash Advance, LLC of Oklahoma</t>
  </si>
  <si>
    <t>COMPUTER SCIENCES CORPORATION</t>
  </si>
  <si>
    <t>London &amp; London</t>
  </si>
  <si>
    <t>Peoples Commerce Inc</t>
  </si>
  <si>
    <t>Massachusetts Housing Finance Agency (MassHousing)</t>
  </si>
  <si>
    <t>Ascension Recovery Management</t>
  </si>
  <si>
    <t>Federated Law Group</t>
  </si>
  <si>
    <t>Financial Freedom Mortgage, LLC</t>
  </si>
  <si>
    <t>Everi Payments Inc.</t>
  </si>
  <si>
    <t>Hello Digit, LLC</t>
  </si>
  <si>
    <t>Advanced Call Center Technologies, LLC</t>
  </si>
  <si>
    <t>Syncapay, Inc</t>
  </si>
  <si>
    <t>Richard J. Boudreau &amp; Associates, LLC</t>
  </si>
  <si>
    <t>NOVA Financial Holding Company, LLC</t>
  </si>
  <si>
    <t>Bryant, Hodge &amp; Associates LLC</t>
  </si>
  <si>
    <t>Round Two Recovery</t>
  </si>
  <si>
    <t>AutoMoney, Inc.</t>
  </si>
  <si>
    <t>Red Target LLC</t>
  </si>
  <si>
    <t>Reliance Exchange Group</t>
  </si>
  <si>
    <t>EQUITY RESOURCES, INCORPORATED</t>
  </si>
  <si>
    <t>iQuantified Management Services, LLC</t>
  </si>
  <si>
    <t>Apple Financing LLC</t>
  </si>
  <si>
    <t>ACRANET INC</t>
  </si>
  <si>
    <t>Credit Solutions</t>
  </si>
  <si>
    <t>R &amp; R Collection Service, Inc.</t>
  </si>
  <si>
    <t>Ingenuity RM, LLC</t>
  </si>
  <si>
    <t>Jenkins, Wagnon &amp; Young, P.C.</t>
  </si>
  <si>
    <t>Crescent City Credit Recovery, Inc.</t>
  </si>
  <si>
    <t>FastBucks</t>
  </si>
  <si>
    <t>Protocol Recovery Service, Inc.</t>
  </si>
  <si>
    <t>4 Star Resolution LLC (Closed)</t>
  </si>
  <si>
    <t>Credit Bureau Data, Inc.</t>
  </si>
  <si>
    <t>Rocky Mountain Recovery Group</t>
  </si>
  <si>
    <t>Crown Holdings, LLC</t>
  </si>
  <si>
    <t>CBA of GA, Inc.</t>
  </si>
  <si>
    <t>Darnel Quick Recovery, Inc.</t>
  </si>
  <si>
    <t>The Collection Connection</t>
  </si>
  <si>
    <t>United Funding Logistics, LLC</t>
  </si>
  <si>
    <t>The Law Firm of Derek Williams, LLC d/b/a Infinite Law Group</t>
  </si>
  <si>
    <t>Douglas, Chancellor, Meyers and Associates, LLC</t>
  </si>
  <si>
    <t>PASCO, Inc</t>
  </si>
  <si>
    <t>Thrivepoint Financial Holdings, Inc.</t>
  </si>
  <si>
    <t>James E. Albertelli, P.A., a Florida professional association</t>
  </si>
  <si>
    <t>GENTRY FINANCE CORPORATION</t>
  </si>
  <si>
    <t>Specified Credit Association, Inc.</t>
  </si>
  <si>
    <t>Cohen &amp; Cohen Law, LLC</t>
  </si>
  <si>
    <t>Lincoln Financial Services</t>
  </si>
  <si>
    <t>NATIONAL ASSET MORTGAGE, LLC</t>
  </si>
  <si>
    <t>ACCELERATED COLLECTION SERVICE, INC</t>
  </si>
  <si>
    <t>Stephen L. Bruce, P.C.</t>
  </si>
  <si>
    <t>INTEGRAL RECOVERIES, INC.</t>
  </si>
  <si>
    <t>City Enterprises, LLC</t>
  </si>
  <si>
    <t>Olympic Collection Inc.</t>
  </si>
  <si>
    <t>FirstKey Holdings, LLC</t>
  </si>
  <si>
    <t>J&amp;L Collection Services</t>
  </si>
  <si>
    <t>Core Advisory Group, LLC</t>
  </si>
  <si>
    <t>Acquired Assets, Ltd.</t>
  </si>
  <si>
    <t>Nationwide Arbitration Services LLC</t>
  </si>
  <si>
    <t>Swe Homes LP</t>
  </si>
  <si>
    <t>Capital Recovery Systems, Inc.</t>
  </si>
  <si>
    <t>Podium Mortgage Capital LLC</t>
  </si>
  <si>
    <t>BANC OF CALIFORNIA, INC.</t>
  </si>
  <si>
    <t>FIRST FINANCIAL BANKSHARES, INC.</t>
  </si>
  <si>
    <t>Consumer Legal Group, P.C.</t>
  </si>
  <si>
    <t>Inflection.com, Inc.</t>
  </si>
  <si>
    <t>SCS Credit Corporation</t>
  </si>
  <si>
    <t>Barrett Financial Group, L.L.C.</t>
  </si>
  <si>
    <t>Creditors' Protection Service, Inc.</t>
  </si>
  <si>
    <t>UNITED CREDIT CORP. OF SOUTHAVEN</t>
  </si>
  <si>
    <t>MEMBER FIRST MORTGAGE, LLC</t>
  </si>
  <si>
    <t>Collection at Law, Inc. A.P.C.</t>
  </si>
  <si>
    <t>American Revenue Management, Inc.</t>
  </si>
  <si>
    <t>Norwich Commercial Group, Inc.</t>
  </si>
  <si>
    <t>American Collection Systems, Inc.</t>
  </si>
  <si>
    <t>Consumer Real Estate Finance Co.</t>
  </si>
  <si>
    <t>ALAMEDA MORTGAGE CORPORATION</t>
  </si>
  <si>
    <t>Data Check of America LLC</t>
  </si>
  <si>
    <t>ASSURANCE FINANCIAL GROUP, LLC</t>
  </si>
  <si>
    <t>Full Circle Financial Services, LLC</t>
  </si>
  <si>
    <t>WMC MORTGAGE, LLC</t>
  </si>
  <si>
    <t>DAIMLER TRUCK FINANCIAL SERVICES USA LLC</t>
  </si>
  <si>
    <t>CONST LLC</t>
  </si>
  <si>
    <t>Axiom Acquisition Ventures, LLC</t>
  </si>
  <si>
    <t>Texan Credit Corporation</t>
  </si>
  <si>
    <t>Goodman Frost, PLLC</t>
  </si>
  <si>
    <t>Professional Service Bureau</t>
  </si>
  <si>
    <t>FIRST MORTGAGE COMPANY</t>
  </si>
  <si>
    <t>Stern &amp; Stern. P.C.</t>
  </si>
  <si>
    <t>Franklin Financial  Corporation</t>
  </si>
  <si>
    <t>Total Auto Finance</t>
  </si>
  <si>
    <t>Miller and Steeno, P.C.</t>
  </si>
  <si>
    <t>Credit Union Mortgage Association, Inc.</t>
  </si>
  <si>
    <t>Veldos, LLC</t>
  </si>
  <si>
    <t>ACOPIA CAPITAL GROUP</t>
  </si>
  <si>
    <t>SFMC L.P.</t>
  </si>
  <si>
    <t>Credit Bureau of Bessemer, Inc</t>
  </si>
  <si>
    <t>Walter Lee &amp; Associates, LLC</t>
  </si>
  <si>
    <t>Carma Enterprises Inc</t>
  </si>
  <si>
    <t>McKenzie Paul &amp; Associates</t>
  </si>
  <si>
    <t>Revenue Cycle Associates, Inc.</t>
  </si>
  <si>
    <t>ASG Solutions LLC</t>
  </si>
  <si>
    <t>Michael &amp; Associates, PC</t>
  </si>
  <si>
    <t>Ashwood Financial Inc</t>
  </si>
  <si>
    <t>RSVP Lending, LLC dba RSVP Loans</t>
  </si>
  <si>
    <t>Niagara Restitution Service Inc</t>
  </si>
  <si>
    <t>Dynamic Collectors, Incorporated</t>
  </si>
  <si>
    <t>Alliance Asset Management, Inc (Closed)</t>
  </si>
  <si>
    <t>Student Loan Care, LLC</t>
  </si>
  <si>
    <t>Credit Bureau of Council Bluffs, Inc DBA Credit Information Systems</t>
  </si>
  <si>
    <t>RCS Recovery Services, LLC</t>
  </si>
  <si>
    <t>Health Services Asset Management, LLC.</t>
  </si>
  <si>
    <t>The Law Offices of Frederic I. Weinberg &amp; Associates, P.C.</t>
  </si>
  <si>
    <t>AMERICAN EQUITY MORTGAGE</t>
  </si>
  <si>
    <t>West Bay Acquisitions, LLC</t>
  </si>
  <si>
    <t>Middle Georgia Management Services</t>
  </si>
  <si>
    <t>Century Credit &amp; Collections, LLC</t>
  </si>
  <si>
    <t>Quick Bridge Funding, LLC</t>
  </si>
  <si>
    <t>Collection Services, Inc.</t>
  </si>
  <si>
    <t>Peoples Home Equity, Inc.</t>
  </si>
  <si>
    <t>Ralis Services Corporation</t>
  </si>
  <si>
    <t>Portfolio America Asset Management, LLC</t>
  </si>
  <si>
    <t>Prudent Law Group</t>
  </si>
  <si>
    <t>R J Baucum Enterprises, Inc.</t>
  </si>
  <si>
    <t>Resource Management Group</t>
  </si>
  <si>
    <t>B&amp;F Finance Corp.</t>
  </si>
  <si>
    <t>ABSOLUTE CREDIT  LLC</t>
  </si>
  <si>
    <t>OCMBC, Inc</t>
  </si>
  <si>
    <t>Leap Credit, LLC</t>
  </si>
  <si>
    <t>Improved Data Services LLC</t>
  </si>
  <si>
    <t>Credit Collection Partners, Inc.</t>
  </si>
  <si>
    <t>K. HOVNANIAN AMERICAN MORTGAGE, LLC</t>
  </si>
  <si>
    <t>Moore Legal Group, LLC</t>
  </si>
  <si>
    <t>MPOWER Financing, Public Benefit Corporation</t>
  </si>
  <si>
    <t>GOLD STAR MORTGAGE FINANCIAL</t>
  </si>
  <si>
    <t>Receivables Management Group, Inc. (MN)</t>
  </si>
  <si>
    <t>Home Servicing LLC</t>
  </si>
  <si>
    <t>UNITED MORTGAGE CORP</t>
  </si>
  <si>
    <t>The Sayer Law Group, P.C.</t>
  </si>
  <si>
    <t>McKenzie Management LLC</t>
  </si>
  <si>
    <t>Airtm Inc.</t>
  </si>
  <si>
    <t>Miller Davis &amp; Peoples</t>
  </si>
  <si>
    <t>Allen &amp; Withrow</t>
  </si>
  <si>
    <t>Law Office of Joe Pezzuto, LLC</t>
  </si>
  <si>
    <t>APPLE RECOVERY, LLC</t>
  </si>
  <si>
    <t>Delmarva Collections, Inc.</t>
  </si>
  <si>
    <t>Education Principle Foundation</t>
  </si>
  <si>
    <t>Regional Recovery Services</t>
  </si>
  <si>
    <t>Dealer Funding, LLC</t>
  </si>
  <si>
    <t>Global United Arbitration LLC</t>
  </si>
  <si>
    <t>PAID IN FULL, INC.</t>
  </si>
  <si>
    <t>West Central Texas Collection Bureau</t>
  </si>
  <si>
    <t>M.L. Zager P.C.</t>
  </si>
  <si>
    <t>Capital Collection Management LLC</t>
  </si>
  <si>
    <t>STUDENT ASSISTANCE FOUNDATION</t>
  </si>
  <si>
    <t>American Credit Financial</t>
  </si>
  <si>
    <t>eCon Credit LP</t>
  </si>
  <si>
    <t>2233 Paradise Road LLC</t>
  </si>
  <si>
    <t>Higher Level Processing</t>
  </si>
  <si>
    <t>ATLANTIC PACIFIC MORTGAGE CORP</t>
  </si>
  <si>
    <t>Flat Branch Mortgage, Inc.</t>
  </si>
  <si>
    <t>Lynx Asset Services, LLC</t>
  </si>
  <si>
    <t>Fair Capital</t>
  </si>
  <si>
    <t>Innovative Funding Services, L.L.C.</t>
  </si>
  <si>
    <t>Ricart Financial Services</t>
  </si>
  <si>
    <t>Credit Bureau Services Inc.</t>
  </si>
  <si>
    <t>Insight Management Partners, LLC</t>
  </si>
  <si>
    <t>W.J. BRADLEY MORTGAGE CAPITAL</t>
  </si>
  <si>
    <t>Northern Alliance Management, LLC</t>
  </si>
  <si>
    <t>BONDED ADJUSTMENT COMPANY</t>
  </si>
  <si>
    <t>Creditrepair.com, Inc.</t>
  </si>
  <si>
    <t>PROFICIO FINANCIAL SERVICES, LLC</t>
  </si>
  <si>
    <t>French Financial, Inc.</t>
  </si>
  <si>
    <t>CFW Holdings LLC</t>
  </si>
  <si>
    <t>The Schreiber Law Firm, PLLC</t>
  </si>
  <si>
    <t>RR Resource-Recovery</t>
  </si>
  <si>
    <t>NJ LENDERS CORP</t>
  </si>
  <si>
    <t>KEYSTONE EQUIPMENT FINANCE CORP.</t>
  </si>
  <si>
    <t>Independent Dealers' Advantage, LLC</t>
  </si>
  <si>
    <t>Greeting Team, LLC DBA Customer Care Global</t>
  </si>
  <si>
    <t>The Cherrington Firm PLLC</t>
  </si>
  <si>
    <t>RAB PERFORMANCE RECOVERIES, LLC</t>
  </si>
  <si>
    <t>Data-Central, LLC</t>
  </si>
  <si>
    <t>Capital Recovery Corporation</t>
  </si>
  <si>
    <t>Affiliated Creditors, Inc.</t>
  </si>
  <si>
    <t>M&amp;S Recovery Solutions</t>
  </si>
  <si>
    <t>FIRST CHOICE LOAN SERVICES INC.</t>
  </si>
  <si>
    <t>Churchill Holdings, Inc.</t>
  </si>
  <si>
    <t>CW Financial</t>
  </si>
  <si>
    <t>SAMC Honebee TRS, LLC</t>
  </si>
  <si>
    <t>Feldman &amp; Stern, LLC</t>
  </si>
  <si>
    <t>CFAM Financial Services, LLC</t>
  </si>
  <si>
    <t>Argon Credit</t>
  </si>
  <si>
    <t>CVB FINANCIAL CORP.</t>
  </si>
  <si>
    <t>CBV Collection Services Ltd.</t>
  </si>
  <si>
    <t>William C. Grossman Law, PLLC.</t>
  </si>
  <si>
    <t>Borenstein &amp; Associates, LLC</t>
  </si>
  <si>
    <t>Sklar Law LLC</t>
  </si>
  <si>
    <t>Maximum Title Loans, LLC</t>
  </si>
  <si>
    <t>Burke Moore Law Group, LLP</t>
  </si>
  <si>
    <t>Thomas, King &amp; Associates</t>
  </si>
  <si>
    <t>Webster Account Solutions LLC</t>
  </si>
  <si>
    <t>Luckmore Finance</t>
  </si>
  <si>
    <t>Giact Systems, LLC</t>
  </si>
  <si>
    <t>C B Merchant Services</t>
  </si>
  <si>
    <t>Creditors Specialty Service Inc</t>
  </si>
  <si>
    <t>The Nguyen Law Firm, PLC</t>
  </si>
  <si>
    <t>Shapiro, DiCaro &amp; Barak, LLC</t>
  </si>
  <si>
    <t>Meyer &amp; Njus, P.A.</t>
  </si>
  <si>
    <t>EA Holdings Corp.</t>
  </si>
  <si>
    <t>FinFit Holding Co, LLC</t>
  </si>
  <si>
    <t>BCG Equities, LLC</t>
  </si>
  <si>
    <t>Total Customer Service, Inc.</t>
  </si>
  <si>
    <t>Geneva Financial, LLC, Chandler, AZ Branch</t>
  </si>
  <si>
    <t>Imperial Recovery Consultants, LLC</t>
  </si>
  <si>
    <t>PARSON BISHOP SERVICES, INC</t>
  </si>
  <si>
    <t>STATEWIDE AUTO SALES</t>
  </si>
  <si>
    <t>NerdWallet, Inc.</t>
  </si>
  <si>
    <t>Cohen &amp; Associates</t>
  </si>
  <si>
    <t>HARBORONE MORTGAGE, LLC</t>
  </si>
  <si>
    <t>Law Offices of Timothy E. Baxter &amp; Associates, P.C.</t>
  </si>
  <si>
    <t>Camelot Financial Services, Inc.</t>
  </si>
  <si>
    <t>Riverview Law Office, PLLC</t>
  </si>
  <si>
    <t>The Lueder Law Firm, LLC</t>
  </si>
  <si>
    <t>Five Lakes Law Group PLLC</t>
  </si>
  <si>
    <t>JSZ Financial Co., Inc.</t>
  </si>
  <si>
    <t>NorthStar Technologies</t>
  </si>
  <si>
    <t>Allied Collection Service, Inc. (Indiana)</t>
  </si>
  <si>
    <t>Hodosh, Lyon &amp; Hammer, PC</t>
  </si>
  <si>
    <t>Windham Equity Company</t>
  </si>
  <si>
    <t>Internal Check Systems, LLC</t>
  </si>
  <si>
    <t>Palisades Funding Corporation</t>
  </si>
  <si>
    <t>Financial Freedom Group, LLC</t>
  </si>
  <si>
    <t>ASPIRE FINANCIAL INC.</t>
  </si>
  <si>
    <t>Pinebrook Holdings, LLC</t>
  </si>
  <si>
    <t>Lien Receivables LLC</t>
  </si>
  <si>
    <t>West Realm Shires Services Inc.</t>
  </si>
  <si>
    <t>COASTAL STATES MORTGAGE CORPORATION</t>
  </si>
  <si>
    <t>Parkway Financial Group, LLC</t>
  </si>
  <si>
    <t>National Budget Planners of South Florida, Inc</t>
  </si>
  <si>
    <t>Collection Center Inc</t>
  </si>
  <si>
    <t>Buffaloe &amp; Associates, PLC</t>
  </si>
  <si>
    <t>Federated Capital Corporation</t>
  </si>
  <si>
    <t>Celebrity Financial, Inc.</t>
  </si>
  <si>
    <t>MORTGAGE CLEARING CORPORATION</t>
  </si>
  <si>
    <t>Tenant Data Services Inc</t>
  </si>
  <si>
    <t>Rhojo Enterprises, LLC</t>
  </si>
  <si>
    <t>American Cycle Finance, Inc.</t>
  </si>
  <si>
    <t>UNIFOUR FINANCIAL SERVICES, LLC</t>
  </si>
  <si>
    <t>Receivables Management Associates</t>
  </si>
  <si>
    <t>TAMMAC HOLDINGS CORP</t>
  </si>
  <si>
    <t>Nair &amp; Levin, P.C.</t>
  </si>
  <si>
    <t>GOLDEN EMPIRE MORTGAGE INCORPORATED</t>
  </si>
  <si>
    <t>Central Mortgage Funding, LLC</t>
  </si>
  <si>
    <t>P&amp;L Acquisitions LLC</t>
  </si>
  <si>
    <t>CHRISTUS HEALTH</t>
  </si>
  <si>
    <t>Coast 2 Coast Financial Group, LLC</t>
  </si>
  <si>
    <t>FIDELIS RECOVERY MANAGEMENT, LLC</t>
  </si>
  <si>
    <t>Northwestern Mediation Services</t>
  </si>
  <si>
    <t>Abrahamsen Ratchford, P.C</t>
  </si>
  <si>
    <t>FLORIDA HOME TRUST MORTGAGE</t>
  </si>
  <si>
    <t>Bonded Business Services, Ltd.</t>
  </si>
  <si>
    <t>Independent Savings Plan Co.</t>
  </si>
  <si>
    <t>ACQ Holdings, LLC.</t>
  </si>
  <si>
    <t>Embassy Loans</t>
  </si>
  <si>
    <t>Lela Mae Portfolio Management Group</t>
  </si>
  <si>
    <t>90 Day Credit Experts</t>
  </si>
  <si>
    <t>RGL Associates, Inc.</t>
  </si>
  <si>
    <t>Advantage One Credit, LLC</t>
  </si>
  <si>
    <t>Flagship Financial Group</t>
  </si>
  <si>
    <t>Lakeside Recovery Solutions</t>
  </si>
  <si>
    <t>A &amp; E Futures LLC</t>
  </si>
  <si>
    <t>MEGASTAR FINANCIAL CORP</t>
  </si>
  <si>
    <t>Home Credit Corp. Inc.</t>
  </si>
  <si>
    <t>POM Recoveries, Inc.</t>
  </si>
  <si>
    <t>Midway Resolution Services LLC</t>
  </si>
  <si>
    <t>Unity Asset Management</t>
  </si>
  <si>
    <t>The Law Office of Edwin B. Parry</t>
  </si>
  <si>
    <t>ZINC Financial, Inc.,</t>
  </si>
  <si>
    <t>Innovative Collections, LLC</t>
  </si>
  <si>
    <t>Elite Recovery Group LLC</t>
  </si>
  <si>
    <t>Trademark Management Solutions, LLC.</t>
  </si>
  <si>
    <t>JAN (LendUSA) Holdings, Inc.</t>
  </si>
  <si>
    <t>Tennessee Credit Management, Inc</t>
  </si>
  <si>
    <t>Nationwide Title Clearing, Inc.</t>
  </si>
  <si>
    <t>Weber &amp; Associates, Inc.</t>
  </si>
  <si>
    <t>Scherr &amp; McClure</t>
  </si>
  <si>
    <t>Savvy Money, Inc.</t>
  </si>
  <si>
    <t>CEX.IO CORP.</t>
  </si>
  <si>
    <t>The Capital Good Fund</t>
  </si>
  <si>
    <t>Peoples Financial Corp.</t>
  </si>
  <si>
    <t>Creekside Recovery And Capital Management</t>
  </si>
  <si>
    <t>Business Financing Corporation</t>
  </si>
  <si>
    <t>RANLife, Inc.</t>
  </si>
  <si>
    <t>Expert Credit Sweeps</t>
  </si>
  <si>
    <t>SettlementOne Valuation, LLC</t>
  </si>
  <si>
    <t>Rosenberg &amp; Associates Recovery Services</t>
  </si>
  <si>
    <t>American Credit Adjusters</t>
  </si>
  <si>
    <t>Carter Business Service, Inc.</t>
  </si>
  <si>
    <t>Westhill Financial</t>
  </si>
  <si>
    <t>Credit Bureau Central, Inc (NV)</t>
  </si>
  <si>
    <t>Finmax Smart Capital LLC</t>
  </si>
  <si>
    <t>Cade Investments LLC</t>
  </si>
  <si>
    <t>ALPHA MIDCO INC</t>
  </si>
  <si>
    <t>MCCUE MORTGAGE COMPANY, THE</t>
  </si>
  <si>
    <t>HALLMARK HOME MORTGAGE LLC</t>
  </si>
  <si>
    <t>MCLEAN MORTGAGE CORPORATION</t>
  </si>
  <si>
    <t>Bison Recovery Group, Inc.</t>
  </si>
  <si>
    <t>Credit One LLC</t>
  </si>
  <si>
    <t>Sunset Solutions Group, LLC</t>
  </si>
  <si>
    <t>Brinkman Alliance Group</t>
  </si>
  <si>
    <t>JOHN GIBSON AUTO SALES, INC.</t>
  </si>
  <si>
    <t>Asset Maximization Group, Inc.</t>
  </si>
  <si>
    <t>HarrisLoftus, PLLC</t>
  </si>
  <si>
    <t>1ST ALLIANCE LENDING, LLC</t>
  </si>
  <si>
    <t>NOVA Financial &amp; Investment Corporation</t>
  </si>
  <si>
    <t>Pinnacle Financial Group, Inc.</t>
  </si>
  <si>
    <t>Servion, Inc.</t>
  </si>
  <si>
    <t>Peerless Credit Services Inc</t>
  </si>
  <si>
    <t>Fradkin &amp; Weber PA</t>
  </si>
  <si>
    <t>Top Asset Solutions, LLC</t>
  </si>
  <si>
    <t>Tsarouhis Law Group, LLC</t>
  </si>
  <si>
    <t>YALE MORTGAGE CORPORATION</t>
  </si>
  <si>
    <t>Student Assist Plus LLC</t>
  </si>
  <si>
    <t>Financial Recoveries, Inc.</t>
  </si>
  <si>
    <t>Quall Cardot LLP</t>
  </si>
  <si>
    <t>PLAID INC.</t>
  </si>
  <si>
    <t>TOP FLITE FINANCIAL INC</t>
  </si>
  <si>
    <t>Kwikcash, Inc.</t>
  </si>
  <si>
    <t>CHOICE CAPITAL FUND</t>
  </si>
  <si>
    <t>Hood &amp; Stacy, P.A.</t>
  </si>
  <si>
    <t>Payment Resolution Services</t>
  </si>
  <si>
    <t>Mid Continent Credit Services, Inc</t>
  </si>
  <si>
    <t>Blue Global Media, Inc.</t>
  </si>
  <si>
    <t>Bayview Solutions LLC</t>
  </si>
  <si>
    <t>Universal Credit Services, Inc</t>
  </si>
  <si>
    <t>Butte County Credit Bureau</t>
  </si>
  <si>
    <t>WOOD FINANCE INC DBA PREMIER ACCEPTANCE</t>
  </si>
  <si>
    <t>Amos Financial LLC</t>
  </si>
  <si>
    <t>JMS Associates, Inc.</t>
  </si>
  <si>
    <t>South River Mortgage, LLC</t>
  </si>
  <si>
    <t>Certified Recovery Systems, Inc.</t>
  </si>
  <si>
    <t>Afterpay US Services, LLC</t>
  </si>
  <si>
    <t>COINFLIP LLC</t>
  </si>
  <si>
    <t>MORTGAGE 1 INCORPORATION</t>
  </si>
  <si>
    <t>Blackrock Mitigation Group LLC</t>
  </si>
  <si>
    <t>Metropolitan Home Mortgage, Inc.</t>
  </si>
  <si>
    <t>Local Data Recovery, LLC</t>
  </si>
  <si>
    <t>Wilson, Riley &amp; Associates</t>
  </si>
  <si>
    <t>Bleier &amp; Cox APC</t>
  </si>
  <si>
    <t>THRIVE MORTGAGE, LLC</t>
  </si>
  <si>
    <t>Credit Systems of the Fox Valley, Inc.</t>
  </si>
  <si>
    <t>Affiliates Management Company</t>
  </si>
  <si>
    <t>Springer Collections Inc.</t>
  </si>
  <si>
    <t>Clay Chapman Iwamura Pulice &amp; Nervell</t>
  </si>
  <si>
    <t>State Finance Company</t>
  </si>
  <si>
    <t>Alliance Collection Service</t>
  </si>
  <si>
    <t>DEBT 0, INC</t>
  </si>
  <si>
    <t>Peak Acceptance, LLC.</t>
  </si>
  <si>
    <t>Bernhardt and Strawser, P.A.</t>
  </si>
  <si>
    <t>US MORTGAGE CORPORATION</t>
  </si>
  <si>
    <t>Phillips, Reinhard &amp; Associates</t>
  </si>
  <si>
    <t>Echelon Financial, Inc.</t>
  </si>
  <si>
    <t>D.S. Erickson &amp; Associates, PLLC</t>
  </si>
  <si>
    <t>Superior Holdings, LLC</t>
  </si>
  <si>
    <t>Student Loan Direct</t>
  </si>
  <si>
    <t>Genesis Financial &amp; Payment Systems Holdings, LLC</t>
  </si>
  <si>
    <t>SILVERGATE CAPITAL CORPORATION</t>
  </si>
  <si>
    <t>Metro Area Collection Service, Inc.</t>
  </si>
  <si>
    <t>TexCap Financial, LLC</t>
  </si>
  <si>
    <t>KBHS Home Loans, LLC</t>
  </si>
  <si>
    <t>Vehicle Solutions Corp</t>
  </si>
  <si>
    <t>Southwest Mediation Service</t>
  </si>
  <si>
    <t>Access Financial LLC</t>
  </si>
  <si>
    <t>Creditor Advocates Inc</t>
  </si>
  <si>
    <t>Lenmo Inc</t>
  </si>
  <si>
    <t>MCU Holdings, LLC</t>
  </si>
  <si>
    <t>Eastern Asset Services LLC</t>
  </si>
  <si>
    <t>iFreedom Direct Corporation</t>
  </si>
  <si>
    <t>Regional Processing Services</t>
  </si>
  <si>
    <t>Genpact Limited</t>
  </si>
  <si>
    <t>Instarem PTE Limited</t>
  </si>
  <si>
    <t>Skyline Financial Corp.</t>
  </si>
  <si>
    <t>Bayside Credit</t>
  </si>
  <si>
    <t>AURORA FINANCIAL GROUP INC</t>
  </si>
  <si>
    <t>Moria Development, Inc.</t>
  </si>
  <si>
    <t>RAYMOND JAMES BANK</t>
  </si>
  <si>
    <t>A+ Loans, Inc.</t>
  </si>
  <si>
    <t>Saturn Systems, Inc</t>
  </si>
  <si>
    <t>Pan Am Collections, Inc.</t>
  </si>
  <si>
    <t>Florida Financial Management dba Lend A Dollar</t>
  </si>
  <si>
    <t>Red Cedar Associates LLC</t>
  </si>
  <si>
    <t>Filings and Claims Inc.</t>
  </si>
  <si>
    <t>Keystone Credit Services LLC</t>
  </si>
  <si>
    <t>Kingston Financial, LLC</t>
  </si>
  <si>
    <t>BCO Consulting Services</t>
  </si>
  <si>
    <t>Approve Holdings, Inc</t>
  </si>
  <si>
    <t>Granite Bay Acceptance Inc.</t>
  </si>
  <si>
    <t>ISIS SECURITY INFORMATION SYSTEMS INC.</t>
  </si>
  <si>
    <t>GreenPath, Inc.</t>
  </si>
  <si>
    <t>Recuvery LLC</t>
  </si>
  <si>
    <t>Nationwide Debt Reduction Services, LLC</t>
  </si>
  <si>
    <t>Chainlink Services LLC</t>
  </si>
  <si>
    <t>MORTGAGE FIRM, INC., THE</t>
  </si>
  <si>
    <t>BAY COUNTRYCONSUMER FINANCE,INC.</t>
  </si>
  <si>
    <t>Citizens Savings &amp; Loan Corporation, Chattanooga, TN Branch</t>
  </si>
  <si>
    <t>Presto Loan Center, LLC</t>
  </si>
  <si>
    <t>Gotham Collection Services Corp.</t>
  </si>
  <si>
    <t>Mathew Aaron Holdings Inc.</t>
  </si>
  <si>
    <t>Red River Credit Corporation</t>
  </si>
  <si>
    <t>Ivy Street Development Corp.</t>
  </si>
  <si>
    <t>Stilt Inc</t>
  </si>
  <si>
    <t>General Credit Services</t>
  </si>
  <si>
    <t>RevNow LLC</t>
  </si>
  <si>
    <t>Niagara Credit Solutions, Inc</t>
  </si>
  <si>
    <t>Genuine Debt Solutions, LLC.</t>
  </si>
  <si>
    <t>C&amp;F MORTGAGE CORPORATION</t>
  </si>
  <si>
    <t>Summit AmeriFirst Holdings, Inc.</t>
  </si>
  <si>
    <t>SUCCESS MORTGAGE PARTNERS, INC</t>
  </si>
  <si>
    <t>ReliaMax Holding Company</t>
  </si>
  <si>
    <t>Advantage Auto Sales, Inc.</t>
  </si>
  <si>
    <t>Sierra Credit Corp</t>
  </si>
  <si>
    <t>PDQ Check Exchange LC</t>
  </si>
  <si>
    <t>Stone Higgs &amp; Drexler</t>
  </si>
  <si>
    <t>Sonnenschein Financial Services, Inc.</t>
  </si>
  <si>
    <t>OLD REPUBLIC TITLE HOLDING COMPANY, INC</t>
  </si>
  <si>
    <t>First Texas Auto Credit, Inc.</t>
  </si>
  <si>
    <t>DOLEX DOLLAR EXPRESS, INC.</t>
  </si>
  <si>
    <t>Marine One Acceptance Corporation</t>
  </si>
  <si>
    <t>United Revenue Collection Service</t>
  </si>
  <si>
    <t>BAY VALLEY MORTGAGE GROUP</t>
  </si>
  <si>
    <t>Associated Collectors, Inc.</t>
  </si>
  <si>
    <t>F&amp;M Capital LLC</t>
  </si>
  <si>
    <t>SOUTHWEST FUNDING, LP</t>
  </si>
  <si>
    <t>Eisenburg,Whitman and Associates</t>
  </si>
  <si>
    <t>PACE Funding Group, LLC</t>
  </si>
  <si>
    <t>Coinme Holdings, Inc.</t>
  </si>
  <si>
    <t>Lenox Financial Mortgage Corporation</t>
  </si>
  <si>
    <t>Francy Law Firm, P.C.</t>
  </si>
  <si>
    <t>InterLinc Mortgage Services, LLC</t>
  </si>
  <si>
    <t>Searay Portfolio Management</t>
  </si>
  <si>
    <t>Old Republic National Title Holding Co.</t>
  </si>
  <si>
    <t>First Direct Mediation</t>
  </si>
  <si>
    <t>Consumer Financial Debt Services, LLC</t>
  </si>
  <si>
    <t>National Finance Company, Inc.</t>
  </si>
  <si>
    <t>The Commercial Collection Corporation of New York, Inc.</t>
  </si>
  <si>
    <t>CashMax LLC</t>
  </si>
  <si>
    <t>Collections Inc</t>
  </si>
  <si>
    <t>Pacific Collections</t>
  </si>
  <si>
    <t>Paysend US LLC</t>
  </si>
  <si>
    <t>Chaparral Inc</t>
  </si>
  <si>
    <t>¬†Lippman Recupero, LLC</t>
  </si>
  <si>
    <t>LoanHero, Inc</t>
  </si>
  <si>
    <t>Professional Accounts Service, Inc. (Indiana)</t>
  </si>
  <si>
    <t>FRANKLIN FIRST FINANCIAL, LTD</t>
  </si>
  <si>
    <t>Law Offices of Palmer, Reifler &amp; Associates, P.A.</t>
  </si>
  <si>
    <t>INDEPENDENCE HOME LOANS LLC</t>
  </si>
  <si>
    <t>August Real Estate Investments, LLC</t>
  </si>
  <si>
    <t>Brookshaw Management, LLC</t>
  </si>
  <si>
    <t>Ghidotti | Berger LLP</t>
  </si>
  <si>
    <t>Splash Financial, Inc.</t>
  </si>
  <si>
    <t>Insight Capital LLC (NV)</t>
  </si>
  <si>
    <t>The Law Offices of Burr &amp; Reid, LLP</t>
  </si>
  <si>
    <t>PARKSIDE LENDING, LLC</t>
  </si>
  <si>
    <t>TRANSCARD, LLC</t>
  </si>
  <si>
    <t>Stein Law, P.C.</t>
  </si>
  <si>
    <t>TRUEBILL, INC</t>
  </si>
  <si>
    <t>Manley Deas &amp; Kochalski LLC</t>
  </si>
  <si>
    <t>Newman, Hesse &amp; Associates, P. A.</t>
  </si>
  <si>
    <t>Rossi Law Offices, Ltd</t>
  </si>
  <si>
    <t>Groundfloor Finance Inc.</t>
  </si>
  <si>
    <t>Roc Capital Holdings LLC</t>
  </si>
  <si>
    <t>Midwest Resale Specialist, Inc.</t>
  </si>
  <si>
    <t>Centric Asset Management Inc</t>
  </si>
  <si>
    <t>TaxServ, LLC</t>
  </si>
  <si>
    <t>REMAX</t>
  </si>
  <si>
    <t>Assured Financial LLC</t>
  </si>
  <si>
    <t>CRA Collections, Inc</t>
  </si>
  <si>
    <t>Summit Collection Services, Inc.</t>
  </si>
  <si>
    <t>RNN Group, Inc</t>
  </si>
  <si>
    <t>Quick Debt Services LLC</t>
  </si>
  <si>
    <t>Debt Management Partners LLC</t>
  </si>
  <si>
    <t>USA Service Finance LLC</t>
  </si>
  <si>
    <t>GREEN ROAD FINANCE INC.</t>
  </si>
  <si>
    <t>Optima Advocates</t>
  </si>
  <si>
    <t>Reese Law Group</t>
  </si>
  <si>
    <t>Credit Associates of Maui, LTD</t>
  </si>
  <si>
    <t>Toyota Credit De Puerto Rico Corp.</t>
  </si>
  <si>
    <t>Greenlight Financial Technology, Inc</t>
  </si>
  <si>
    <t>Portnoff Law Associates, Ltd.</t>
  </si>
  <si>
    <t>Yakima County Credit Service, INC</t>
  </si>
  <si>
    <t>SYNERGY ONE LENDING, INC.</t>
  </si>
  <si>
    <t>CIS DIRECT LENDING</t>
  </si>
  <si>
    <t>Common Wealth Mortgage Services</t>
  </si>
  <si>
    <t>Credit Associates, Inc. (MO)</t>
  </si>
  <si>
    <t>Creditech, Inc.</t>
  </si>
  <si>
    <t>Yes Online Inc</t>
  </si>
  <si>
    <t>LIVE OAK BANCSHARES, INC.</t>
  </si>
  <si>
    <t>Veem  Inc.</t>
  </si>
  <si>
    <t>Total Finance AC LLC</t>
  </si>
  <si>
    <t>Patient Account Services, LLC</t>
  </si>
  <si>
    <t>National Bond And Collection Associates, Inc.</t>
  </si>
  <si>
    <t>VeriCore, LLC</t>
  </si>
  <si>
    <t>DOUGLAS, KNIGHT &amp; ASSOCIATES, INC.</t>
  </si>
  <si>
    <t>GUIDANCE RESIDENTIAL, LLC</t>
  </si>
  <si>
    <t>Bryant Bryant &amp; Associates LLC</t>
  </si>
  <si>
    <t>John C. Bonewicz, P.C.</t>
  </si>
  <si>
    <t>Reliable Auto Finance, Inc.</t>
  </si>
  <si>
    <t>American Acceptance Co., LLC</t>
  </si>
  <si>
    <t>Smith &amp; Smith Investors LTD</t>
  </si>
  <si>
    <t>Ovation Financial Services, LLC</t>
  </si>
  <si>
    <t>Federal Financial Services Inc</t>
  </si>
  <si>
    <t>Weinstein &amp; Riley, P.S.</t>
  </si>
  <si>
    <t>Action Professionals, Inc.</t>
  </si>
  <si>
    <t>Khoury Alternative Claims Management</t>
  </si>
  <si>
    <t>Exodus Movement, Inc.</t>
  </si>
  <si>
    <t>Southwest Collection Services, LLC</t>
  </si>
  <si>
    <t>Lengenuity LLC</t>
  </si>
  <si>
    <t>National Recovery Service, Inc.</t>
  </si>
  <si>
    <t>Account Control Systems, Inc</t>
  </si>
  <si>
    <t>Lake Area Collections, LLC</t>
  </si>
  <si>
    <t>SoFi Mortgage, LLC</t>
  </si>
  <si>
    <t>U DRIVE ACCEPTANCE CORPORATION</t>
  </si>
  <si>
    <t>WRJ Holdings, LLC</t>
  </si>
  <si>
    <t>IMMEDIATE RECOVERY GROUP, INC</t>
  </si>
  <si>
    <t>Time Investment Company, Inc.</t>
  </si>
  <si>
    <t>FIRST CALIFORNIA MORTGAGE CO., INC.</t>
  </si>
  <si>
    <t>Kabompo Holdings, Ltd.</t>
  </si>
  <si>
    <t>Westside Recovery Services, LLC</t>
  </si>
  <si>
    <t>VERITAS FUNDING, LLC</t>
  </si>
  <si>
    <t>Account Liquidation Services Inc.</t>
  </si>
  <si>
    <t>Novea Portfolio Management LLC</t>
  </si>
  <si>
    <t>Allied Financial Group &amp; Associates (Closed)</t>
  </si>
  <si>
    <t>Hosto &amp; Buchan, PLLC</t>
  </si>
  <si>
    <t>Jonathan C. Frank &amp; Associates, LLC</t>
  </si>
  <si>
    <t>Financial Adjustment Bureau, Inc.</t>
  </si>
  <si>
    <t>Visio Financial Services Inc.</t>
  </si>
  <si>
    <t>BHA Services</t>
  </si>
  <si>
    <t>Consumer Asset Management (Texas)</t>
  </si>
  <si>
    <t>SL Finance LLC</t>
  </si>
  <si>
    <t>Capital Asset Recovery INC DBA Jacobson and Wright</t>
  </si>
  <si>
    <t>Allied Servicing Corporation</t>
  </si>
  <si>
    <t>NEW WORLD COLLECTIONS, INC.</t>
  </si>
  <si>
    <t>White Jacobs &amp; Associates</t>
  </si>
  <si>
    <t>Credimatico LLC</t>
  </si>
  <si>
    <t>Gross Polowy LLC</t>
  </si>
  <si>
    <t>Angel Oak Home Loans LLC</t>
  </si>
  <si>
    <t>Endpoint Resolution Services (ERS)</t>
  </si>
  <si>
    <t>The CFM Group</t>
  </si>
  <si>
    <t>Pacific Financial Group (Closed)</t>
  </si>
  <si>
    <t>All American Check Cashing, Inc.</t>
  </si>
  <si>
    <t>Global Consulting Agency LLC</t>
  </si>
  <si>
    <t>Wildhorse Financial Services, LLC</t>
  </si>
  <si>
    <t>ENTERPRISE FINANCIAL SERVICES CORP</t>
  </si>
  <si>
    <t>Bison Bucks Lending</t>
  </si>
  <si>
    <t>ADS Resolve LLC</t>
  </si>
  <si>
    <t>Keystone Law LLC</t>
  </si>
  <si>
    <t>Secure One Capital Corporation</t>
  </si>
  <si>
    <t>Buckles &amp; Buckles, P.L.C.</t>
  </si>
  <si>
    <t>Global Resolution Group, LLC</t>
  </si>
  <si>
    <t>United Built Homes LLC</t>
  </si>
  <si>
    <t>Fidem Baltimore Holdings LLC</t>
  </si>
  <si>
    <t>Drew Eckl &amp; Farnham, LLP</t>
  </si>
  <si>
    <t>Financial Asset Resolution, LLC</t>
  </si>
  <si>
    <t>Center Street Finance, LP dba CSF Servicing</t>
  </si>
  <si>
    <t>Altitude Community Law P.C.</t>
  </si>
  <si>
    <t>TICE ASSOCIATES INC</t>
  </si>
  <si>
    <t>D.B.F. COLLECTION CORP.</t>
  </si>
  <si>
    <t>APPLE RECOVERY SERVICES CORP</t>
  </si>
  <si>
    <t>Ladera Lending, Inc</t>
  </si>
  <si>
    <t>S.B.S. Trust Deed Network</t>
  </si>
  <si>
    <t>Law Offices of Robert S. Gitmeid &amp; Associates, PLLC</t>
  </si>
  <si>
    <t>Kass Shuler, P.A.</t>
  </si>
  <si>
    <t>Central Collection Corporation</t>
  </si>
  <si>
    <t>Schukei Chevrolet Volkswagen</t>
  </si>
  <si>
    <t>CREDIT BUREAU ASSOCIATES-NORTHEAST, INC.</t>
  </si>
  <si>
    <t>Wxw Investments, LLC</t>
  </si>
  <si>
    <t>Star Loans of Texas, Inc.</t>
  </si>
  <si>
    <t>Riverwalk Financial CORPORATION</t>
  </si>
  <si>
    <t>Pingora Holdings, LP</t>
  </si>
  <si>
    <t>Century First Credit Solutions</t>
  </si>
  <si>
    <t>LOAN SIMPLE INC.</t>
  </si>
  <si>
    <t>ROAD Auto Finance, LLC</t>
  </si>
  <si>
    <t>Peritus Portfolio Services II, LLC</t>
  </si>
  <si>
    <t>PCS Receivables Corp.</t>
  </si>
  <si>
    <t>Bessine Walterbach, LLP</t>
  </si>
  <si>
    <t>Service Bureau, Inc.</t>
  </si>
  <si>
    <t>Liberty Career Finance, LLC</t>
  </si>
  <si>
    <t>USForex Inc.</t>
  </si>
  <si>
    <t>Choice Money Transfer, Inc.</t>
  </si>
  <si>
    <t>Above Lending, Inc.</t>
  </si>
  <si>
    <t>Credit Control Company, Inc.</t>
  </si>
  <si>
    <t>Nationwide Intermediary Services llc</t>
  </si>
  <si>
    <t>Certified Recovery Inc</t>
  </si>
  <si>
    <t>Strategic Automotive Servicing, LLC</t>
  </si>
  <si>
    <t>Allied Consulting Services LLC</t>
  </si>
  <si>
    <t>FDR Asset USA LTD</t>
  </si>
  <si>
    <t>Clarity Debt Resolution, Inc</t>
  </si>
  <si>
    <t>WVH, LLC</t>
  </si>
  <si>
    <t>Next Financial Inc. dba Copper</t>
  </si>
  <si>
    <t>CBC Credit Services, Inc.</t>
  </si>
  <si>
    <t>Houston Finance Co.</t>
  </si>
  <si>
    <t>Global Financial Services Group</t>
  </si>
  <si>
    <t>High Performance Capital</t>
  </si>
  <si>
    <t>Easier Funding, LLC</t>
  </si>
  <si>
    <t>DEVAL LLC</t>
  </si>
  <si>
    <t>The Minacs Group (USA) Inc.</t>
  </si>
  <si>
    <t>BCB Investments LLC</t>
  </si>
  <si>
    <t>Consumer Recovery Solutions, LLC</t>
  </si>
  <si>
    <t>Berndt &amp; Associates, P.C.</t>
  </si>
  <si>
    <t>Co-Operative Adjustment Bureau, Inc.</t>
  </si>
  <si>
    <t>SmartCredit LLC</t>
  </si>
  <si>
    <t>Debt Relief Center</t>
  </si>
  <si>
    <t>HOMESTEAD FUNDING CORPORATION</t>
  </si>
  <si>
    <t>Hollins &amp; McVay, P.A.</t>
  </si>
  <si>
    <t>CHERRY CREEK MORTGAGE COMPANY INC.</t>
  </si>
  <si>
    <t>Executive Financial Consultants, Inc</t>
  </si>
  <si>
    <t>Absolute Collections Corp.</t>
  </si>
  <si>
    <t>Caribou Financial, Inc.</t>
  </si>
  <si>
    <t>Credit Bureau Services, LLC</t>
  </si>
  <si>
    <t>Ardmore Finance Corporation</t>
  </si>
  <si>
    <t>Lewis &amp; Clark Capital LLC</t>
  </si>
  <si>
    <t>Jason A Craig, PC</t>
  </si>
  <si>
    <t>ADVISORS MORTGAGE GROUP, LLC</t>
  </si>
  <si>
    <t>Accelerated Creditors Services, Inc</t>
  </si>
  <si>
    <t>Leachman Law, P.C.</t>
  </si>
  <si>
    <t>Greater Collection Agency Bureau, LLC</t>
  </si>
  <si>
    <t>Goldstein, Cruise and Smith LLC</t>
  </si>
  <si>
    <t>GENWORTH FINANCIAL INC.</t>
  </si>
  <si>
    <t>Simpson Law Firm, P.A.</t>
  </si>
  <si>
    <t>Blueshore Recovery</t>
  </si>
  <si>
    <t>Law Office of Rory W. Clark, APLC</t>
  </si>
  <si>
    <t>Portnoy Schneck, L.L.C.</t>
  </si>
  <si>
    <t>CENTERSTATE BANK CORPORATION</t>
  </si>
  <si>
    <t>Worldwide Recovery LLC</t>
  </si>
  <si>
    <t>River Heights Capital LLC</t>
  </si>
  <si>
    <t>American Payment Holdco, Inc.</t>
  </si>
  <si>
    <t>Credit &amp; Collection Recovery Services, Inc.</t>
  </si>
  <si>
    <t>INTERNATIONAL CITY MORTGAGE</t>
  </si>
  <si>
    <t>AR Solutions Inc</t>
  </si>
  <si>
    <t>FIRST CREDIT FINANCE</t>
  </si>
  <si>
    <t>South Carolina State Housing Finance and Development Authority</t>
  </si>
  <si>
    <t>Deca Financial Services LLC (Closed)</t>
  </si>
  <si>
    <t>Location Services Holdings, LLC</t>
  </si>
  <si>
    <t>Angel Oak Mortgage Solutions LLC</t>
  </si>
  <si>
    <t>Main Line Recovery Solutions, Inc.</t>
  </si>
  <si>
    <t>Henley, Lotterhos &amp; Henley, PLLC</t>
  </si>
  <si>
    <t>PAY-O-MATIC</t>
  </si>
  <si>
    <t>JMAC LENDING INCORPORATED</t>
  </si>
  <si>
    <t>Western Benefits Group, LLC</t>
  </si>
  <si>
    <t>Recreational Holdings Corp.</t>
  </si>
  <si>
    <t>Meadowbrook Financial Mortgage Bankers Corp.</t>
  </si>
  <si>
    <t>Michael Haynes &amp; Associates, LLC</t>
  </si>
  <si>
    <t>Retention Consulting Services Inc.</t>
  </si>
  <si>
    <t>Heavner, Beyers &amp; Mihlar LLC</t>
  </si>
  <si>
    <t>Allegiance Accounting Services, LLC</t>
  </si>
  <si>
    <t>Evergreen Recovery Solutions, LLC</t>
  </si>
  <si>
    <t>MMG Law Group, PLLC</t>
  </si>
  <si>
    <t>CORNERSTONE RESOLUTION GROUP, INC.</t>
  </si>
  <si>
    <t>Clarkson Law Firm, LLC</t>
  </si>
  <si>
    <t>Morgan &amp; Associates, P.C.</t>
  </si>
  <si>
    <t>RUI Credit Services, Inc.</t>
  </si>
  <si>
    <t>Account Recovery Services, Inc. (Texas)</t>
  </si>
  <si>
    <t>VIAMERICAS CORPORATION</t>
  </si>
  <si>
    <t>The Law Firm of Allan C. Smith</t>
  </si>
  <si>
    <t>CITYWIDE HOME LOANS A UTAH CORPORATION</t>
  </si>
  <si>
    <t>National Processing Group LLC</t>
  </si>
  <si>
    <t>ALL WESTERN MORTGAGE</t>
  </si>
  <si>
    <t>Randolph, Boyd, Cherry and Vaughan</t>
  </si>
  <si>
    <t>Jacobs, Marsh LLC</t>
  </si>
  <si>
    <t>Parnell &amp; Parnell, PA</t>
  </si>
  <si>
    <t>Equity Auto Finance, Inc.</t>
  </si>
  <si>
    <t>Barnhall Financial Services, Inc.</t>
  </si>
  <si>
    <t>Benjamin Chaise &amp; Associates</t>
  </si>
  <si>
    <t>MVBA, L.L.C.</t>
  </si>
  <si>
    <t>LPH, Inc.</t>
  </si>
  <si>
    <t>AMERICAN SOUTHWEST MORTGAGE CORP.</t>
  </si>
  <si>
    <t>Automated Accounts, Inc.</t>
  </si>
  <si>
    <t>Lenderfi, Inc.</t>
  </si>
  <si>
    <t>The Law Office of John P. Frye P.C.</t>
  </si>
  <si>
    <t>Williston Financial Group</t>
  </si>
  <si>
    <t>Saint Services LLC</t>
  </si>
  <si>
    <t>Hometap Equity Partners, LLC</t>
  </si>
  <si>
    <t>DOAN SOLUTIONS</t>
  </si>
  <si>
    <t>WILSON &amp; ASSOCIATES, PLLC</t>
  </si>
  <si>
    <t>Blackwater Capital Group LLC.</t>
  </si>
  <si>
    <t>Knight &amp; Hooper, PLLC</t>
  </si>
  <si>
    <t>B&amp;B Funding, LLC</t>
  </si>
  <si>
    <t>Redfin Corporation</t>
  </si>
  <si>
    <t>BYS, LLC. d/b/a Boost Your Score</t>
  </si>
  <si>
    <t>Gotmortgage.com</t>
  </si>
  <si>
    <t>Assigned Credit Solutions</t>
  </si>
  <si>
    <t>RCO Legal, P.S.</t>
  </si>
  <si>
    <t>Chek Cash, Inc.</t>
  </si>
  <si>
    <t>Auto Properties II, LLC</t>
  </si>
  <si>
    <t>United Credit Education Services</t>
  </si>
  <si>
    <t>Lacy Katzen LLP</t>
  </si>
  <si>
    <t>Davis &amp; Jones, LLC</t>
  </si>
  <si>
    <t>Apple Law Group, Inc.</t>
  </si>
  <si>
    <t>Portland Credit Inc</t>
  </si>
  <si>
    <t>Rhodes, Kelly Assoc Inc</t>
  </si>
  <si>
    <t>Express Cash Mart Management</t>
  </si>
  <si>
    <t>American Elite Recovery, LLC</t>
  </si>
  <si>
    <t>Citizens Debt relief LLC</t>
  </si>
  <si>
    <t>Hunt &amp; Kahn, P.A.</t>
  </si>
  <si>
    <t>Matthew Thomas &amp; Associates LLC</t>
  </si>
  <si>
    <t>Oklahoma Motor Credit Company</t>
  </si>
  <si>
    <t>ARM Professional Services LLC</t>
  </si>
  <si>
    <t>Advanced Portfolio Group LLC</t>
  </si>
  <si>
    <t>PARK NATIONAL CORPORATION</t>
  </si>
  <si>
    <t>HOMEOWNERS FINANCIAL GROUP USA</t>
  </si>
  <si>
    <t>Bonial &amp; Associates, P.C</t>
  </si>
  <si>
    <t>Mirand Response Systems, Inc.</t>
  </si>
  <si>
    <t>Westwood Legal</t>
  </si>
  <si>
    <t>Awar Holding Inc.</t>
  </si>
  <si>
    <t>AMERICAN PORTIFOLIO MORTGAGE</t>
  </si>
  <si>
    <t>Commercial Industries Services Company, Inc.</t>
  </si>
  <si>
    <t>GREATER SUBURBAN ACCEPTANCE CORPORATION</t>
  </si>
  <si>
    <t>Udren Law Offices, P.C.</t>
  </si>
  <si>
    <t>Arco Collection Services LLC</t>
  </si>
  <si>
    <t>The Cadle Company</t>
  </si>
  <si>
    <t>Butler, Butler &amp; Rowse-Oberle, P.L.L.C.</t>
  </si>
  <si>
    <t>AIH Receivables Management Inc.</t>
  </si>
  <si>
    <t>INTERNAL CREDIT SYSTEMS, INC</t>
  </si>
  <si>
    <t>Bank of China USA</t>
  </si>
  <si>
    <t>COMMUNITY REINVESTMENT FUND</t>
  </si>
  <si>
    <t>Vinci Law Office, LLC</t>
  </si>
  <si>
    <t>Fusion Auto Finance</t>
  </si>
  <si>
    <t>Stewart, Zlimen &amp; Jungers, Attorneys, Ltd.</t>
  </si>
  <si>
    <t>SameDay Auto Finance, LLC</t>
  </si>
  <si>
    <t>SOUTHEAST MORTGAGE OF GA INC</t>
  </si>
  <si>
    <t>Procollect Services LLC</t>
  </si>
  <si>
    <t>Allied Financial Services Inc</t>
  </si>
  <si>
    <t>Stratus Financial LLC</t>
  </si>
  <si>
    <t>LPSG</t>
  </si>
  <si>
    <t>Rose &amp; Associates, LLC.</t>
  </si>
  <si>
    <t>First Credit Corporation</t>
  </si>
  <si>
    <t>Nickel City Group LLC</t>
  </si>
  <si>
    <t>A/R CONCEPTS, INC.</t>
  </si>
  <si>
    <t>Burton Neil &amp; Associates, P.C.</t>
  </si>
  <si>
    <t>ACRE MORTGAGE</t>
  </si>
  <si>
    <t>CFS Holdings, Inc</t>
  </si>
  <si>
    <t>Southern Service Systems, Inc.</t>
  </si>
  <si>
    <t>Student Loan Solutions, LLC</t>
  </si>
  <si>
    <t>EXCEL FINANCE COMPANY</t>
  </si>
  <si>
    <t>FIRST CENTENNIAL MORTGAGE CORP</t>
  </si>
  <si>
    <t>TNT Financial, Inc.</t>
  </si>
  <si>
    <t>CHACON AUTOS, LTD.</t>
  </si>
  <si>
    <t>Golden State Collections LLC</t>
  </si>
  <si>
    <t>Michael Andrews &amp; Associates LLC</t>
  </si>
  <si>
    <t>Cohen McNeile &amp; Pappas, PC</t>
  </si>
  <si>
    <t>EAGLE BANCORP, INC.</t>
  </si>
  <si>
    <t>Residential Bancorp</t>
  </si>
  <si>
    <t>Creative Finance, Inc.</t>
  </si>
  <si>
    <t>Lowcountry Credit Inc.</t>
  </si>
  <si>
    <t>Zap Solutions, Inc.</t>
  </si>
  <si>
    <t>National Account Services Group, LLC.</t>
  </si>
  <si>
    <t>Secured Resolutions, LLC</t>
  </si>
  <si>
    <t>Century Financial Services, Inc.</t>
  </si>
  <si>
    <t>Financial Service Center of Ohio, LLC</t>
  </si>
  <si>
    <t>LoanUnited.com, LLC</t>
  </si>
  <si>
    <t>Neighborhood Autos, LLC</t>
  </si>
  <si>
    <t>Cherry Creek Strategic Advisors, LLC</t>
  </si>
  <si>
    <t>VALLEY CREDIT SERVICES, INC. (WI)</t>
  </si>
  <si>
    <t>MCT GROUP INC.</t>
  </si>
  <si>
    <t>APG Financial Inc</t>
  </si>
  <si>
    <t>Crosstown Law, LLC</t>
  </si>
  <si>
    <t>Chelseamac, LLC dba Briteside Solutions</t>
  </si>
  <si>
    <t>Creditors Collection Bureau, Inc.</t>
  </si>
  <si>
    <t>United Financial Service</t>
  </si>
  <si>
    <t>Courtesy Finance LLC</t>
  </si>
  <si>
    <t>Zebit, Inc.</t>
  </si>
  <si>
    <t>EMPIRE MEDIATION SERVICES LLC</t>
  </si>
  <si>
    <t>Oakridge Direct Solutions Inc.</t>
  </si>
  <si>
    <t>Apex Resolution Group LLC</t>
  </si>
  <si>
    <t>RIGHT START MORTGAGE, INC.</t>
  </si>
  <si>
    <t>Neuheisel Law Firm, P.C.</t>
  </si>
  <si>
    <t>Metacorp LLC</t>
  </si>
  <si>
    <t>Kiavi, Inc.</t>
  </si>
  <si>
    <t>Collection Bureau of Kansas, Inc.</t>
  </si>
  <si>
    <t>NORTHERN OHIO INVESTMENT COMPANY</t>
  </si>
  <si>
    <t>Northtown Capital Services Group LLC</t>
  </si>
  <si>
    <t>Consuegra &amp; Duffy, P.L.L.C.</t>
  </si>
  <si>
    <t>NQM Funding, LLC</t>
  </si>
  <si>
    <t>Accounts Receivable Services</t>
  </si>
  <si>
    <t>BAS Receivable Management Inc.</t>
  </si>
  <si>
    <t>Professional Collection Company</t>
  </si>
  <si>
    <t>Line Financial, PBC</t>
  </si>
  <si>
    <t>Accounts Research, Inc.</t>
  </si>
  <si>
    <t>Moxley &amp; Associates, LLC</t>
  </si>
  <si>
    <t>Paragon Subrogation Services, Inc</t>
  </si>
  <si>
    <t>Olympus1 LLC</t>
  </si>
  <si>
    <t>Taproot Financial, LLC</t>
  </si>
  <si>
    <t>Oak Harbor Capital, LLC</t>
  </si>
  <si>
    <t>SOUTHERN TRUST MORTGAGE LLC</t>
  </si>
  <si>
    <t>IPAC'S Inc.</t>
  </si>
  <si>
    <t>Renew Financial Holdings Inc</t>
  </si>
  <si>
    <t>E Mortgage</t>
  </si>
  <si>
    <t>Residential Mortgage Services Holdings, Inc.</t>
  </si>
  <si>
    <t>Featured Mediation, LLC</t>
  </si>
  <si>
    <t>CMK Investments Inc</t>
  </si>
  <si>
    <t>Asset Collections Inc</t>
  </si>
  <si>
    <t>Tona Mortgage, LLC</t>
  </si>
  <si>
    <t>HAMILTON GROUP FUNDING, INC.</t>
  </si>
  <si>
    <t>EarnUp Inc.</t>
  </si>
  <si>
    <t>Remit Corporation</t>
  </si>
  <si>
    <t>SecureNet Loan Services LLC</t>
  </si>
  <si>
    <t>Summit Horizon Financial Services</t>
  </si>
  <si>
    <t>Bastion Consumer Funding I, LLC</t>
  </si>
  <si>
    <t>SCV Inc.</t>
  </si>
  <si>
    <t>DRAPER AND KRAMER MORTGAGE CORP AND ECLIPSE MORTGAGE LLC</t>
  </si>
  <si>
    <t>A.C.S. Companies, Inc. I</t>
  </si>
  <si>
    <t>MORTGAGE CAPITAL ASSOCIATES, INC.</t>
  </si>
  <si>
    <t>Secure Capital Management, Inc.</t>
  </si>
  <si>
    <t>WestGen Lending, a DBA of Beckam Funding</t>
  </si>
  <si>
    <t>Palisade Legal Group, PLLC</t>
  </si>
  <si>
    <t>Credits, Incorporated</t>
  </si>
  <si>
    <t>Enium Capital Group LLC</t>
  </si>
  <si>
    <t>BROCKELBANK INC</t>
  </si>
  <si>
    <t>Aubrey Thrasher, LLC</t>
  </si>
  <si>
    <t>S&amp;N Debt Solutions, LLC</t>
  </si>
  <si>
    <t>Personal Cash Loans of SC, Inc.</t>
  </si>
  <si>
    <t>Ben Franklin Finance LLC</t>
  </si>
  <si>
    <t>Kason Credit Corporation</t>
  </si>
  <si>
    <t>Nagle &amp; Zaller, PC</t>
  </si>
  <si>
    <t>CBK, Inc.</t>
  </si>
  <si>
    <t>Universal Envoy Corporation</t>
  </si>
  <si>
    <t>T2 Financial LLC</t>
  </si>
  <si>
    <t>PROPEL FINANCIAL SERVICES LLC</t>
  </si>
  <si>
    <t>Association Capital Resources, LLC</t>
  </si>
  <si>
    <t>Erin Capital Management, LLC</t>
  </si>
  <si>
    <t>Montgomery County Credit Bureau</t>
  </si>
  <si>
    <t>Millsap &amp; Singer, LLC</t>
  </si>
  <si>
    <t>ALPAT COMPANY INC</t>
  </si>
  <si>
    <t>NORTHERN HILLS COLLECTIONS INC.</t>
  </si>
  <si>
    <t>ROCKFORD MERCANTILE AGENCY, INC.</t>
  </si>
  <si>
    <t>MANN FINANCIAL INC.</t>
  </si>
  <si>
    <t>Filo Mortgage, L.L.C.</t>
  </si>
  <si>
    <t>Auto Acceptance, LLC</t>
  </si>
  <si>
    <t>Thrive National Corporation</t>
  </si>
  <si>
    <t>Kadent Corporation</t>
  </si>
  <si>
    <t>HOME ACCEPTANCE CORPORATION</t>
  </si>
  <si>
    <t>Credit Bureau Central Inc (MS)</t>
  </si>
  <si>
    <t>Jzanus Ltd.</t>
  </si>
  <si>
    <t>Zingo Cash Illinois LLC</t>
  </si>
  <si>
    <t>Century Finance, Inc.</t>
  </si>
  <si>
    <t>Line 5, LLC</t>
  </si>
  <si>
    <t>HEARTLAND FINANCIAL USA, INC.</t>
  </si>
  <si>
    <t>TRIDENT MORTGAGE COMPANY, LP</t>
  </si>
  <si>
    <t>Data Line Credit Corp</t>
  </si>
  <si>
    <t>Yield Solutions Group, LLC</t>
  </si>
  <si>
    <t>The Law Offices of Quinn M. Kofford, P.C.</t>
  </si>
  <si>
    <t>Mid-Minnesota Management Services, Inc.</t>
  </si>
  <si>
    <t>RMK Financial Corp</t>
  </si>
  <si>
    <t>Leopold &amp; Associates, LLC</t>
  </si>
  <si>
    <t>Niagara Capital Recovery LLC</t>
  </si>
  <si>
    <t>Garner &amp; Conner, PLLC</t>
  </si>
  <si>
    <t>Lawson Hamilton &amp; Associates</t>
  </si>
  <si>
    <t>Strauss Factor Laing &amp; Lyons</t>
  </si>
  <si>
    <t>Global Recovery Solutions</t>
  </si>
  <si>
    <t>Continental Collection Agency, Ltd.</t>
  </si>
  <si>
    <t>MITSUBISHI HC CAPITAL (U.S.A.) INC.</t>
  </si>
  <si>
    <t>Insta-Credit Auto Mart, Inc. dba InstaCredit Automart</t>
  </si>
  <si>
    <t>Automotive Services Finance, Inc.</t>
  </si>
  <si>
    <t>SVB FINANCIAL GROUP</t>
  </si>
  <si>
    <t>FirstCollect, Inc.</t>
  </si>
  <si>
    <t>FirstCash, Inc.</t>
  </si>
  <si>
    <t>AMERICASH</t>
  </si>
  <si>
    <t>Tennessee Quick Cash, Inc.</t>
  </si>
  <si>
    <t>Aspen Properties Group, LLC</t>
  </si>
  <si>
    <t>Moiharwin Diverisfied Corporation</t>
  </si>
  <si>
    <t>Edge Home Finance Corporation</t>
  </si>
  <si>
    <t>Park View Credit</t>
  </si>
  <si>
    <t>St.John Cobb Inc</t>
  </si>
  <si>
    <t>Michael G. Niles</t>
  </si>
  <si>
    <t>Rubin Lublin, LLC</t>
  </si>
  <si>
    <t>AXIA FINANCIAL, LLC</t>
  </si>
  <si>
    <t>Nations Info Corp</t>
  </si>
  <si>
    <t>Goldberg &amp; Peretti, LLC</t>
  </si>
  <si>
    <t>Hanna Holdings Inc</t>
  </si>
  <si>
    <t>GEORGE MASON MORTGAGE, LLC</t>
  </si>
  <si>
    <t>Ernst, Ernst &amp; Artmann, Inc.</t>
  </si>
  <si>
    <t>MEGA CAPITAL FUNDING INC.</t>
  </si>
  <si>
    <t>Concerto Card Company</t>
  </si>
  <si>
    <t>Alum Financial, LLC</t>
  </si>
  <si>
    <t>Double Diamond-Delaware, Inc.</t>
  </si>
  <si>
    <t>Caliver Beach Mortgage, LLC</t>
  </si>
  <si>
    <t>J &amp; B Endeavors, LLC</t>
  </si>
  <si>
    <t>Innovative Credit Solutions</t>
  </si>
  <si>
    <t>Payday America Inc.</t>
  </si>
  <si>
    <t>Keystone Credit Collections Inc.</t>
  </si>
  <si>
    <t>950 Credit Inc</t>
  </si>
  <si>
    <t>Auto Buyers Credit LLC</t>
  </si>
  <si>
    <t>ATHAS CAPITAL GROUP, INC.</t>
  </si>
  <si>
    <t>CREDIT BUREAU OF LEWISTON-CLARKSTON, INC</t>
  </si>
  <si>
    <t>General Financial, Inc.</t>
  </si>
  <si>
    <t>Debt Recovery Solutions of Ohio, Inc.</t>
  </si>
  <si>
    <t>RANGE CREDIT BUREAU INC</t>
  </si>
  <si>
    <t>STIFEL FINANCIAL CORP.</t>
  </si>
  <si>
    <t>Foxstar Energy Resources LLC DBA Federal Student Loans Council</t>
  </si>
  <si>
    <t>FlexPath Capital, Inc</t>
  </si>
  <si>
    <t>NEW IMAGITAS, INC</t>
  </si>
  <si>
    <t>SAMUEL I WHITE PC</t>
  </si>
  <si>
    <t>National Asset Direct, Inc.</t>
  </si>
  <si>
    <t>ALCAR INC.</t>
  </si>
  <si>
    <t>BDF Partners, PC</t>
  </si>
  <si>
    <t>RELIABLE FINANCIAL SERVICES, INC.</t>
  </si>
  <si>
    <t>Next Level Finance Partners  LLC</t>
  </si>
  <si>
    <t>American International Finance, Inc.</t>
  </si>
  <si>
    <t>The Law Offices of Gregory Alexandrides, LLC</t>
  </si>
  <si>
    <t>Coastal Finance Company, Inc.</t>
  </si>
  <si>
    <t>Modoc Tribe Financial Services Authority</t>
  </si>
  <si>
    <t>National Check Bureau, Inc.</t>
  </si>
  <si>
    <t>Debt Solutions LLC</t>
  </si>
  <si>
    <t>Millennial Home Lending, Inc</t>
  </si>
  <si>
    <t>HOME FINANCE OF AMERICA</t>
  </si>
  <si>
    <t>Kevin B. Wilson Law Offices</t>
  </si>
  <si>
    <t>Merchants Credit Assoc. Inc SC</t>
  </si>
  <si>
    <t>The Allen Daniel Associates, Inc.</t>
  </si>
  <si>
    <t>Rosegate Mortgage, LLC</t>
  </si>
  <si>
    <t>J. Ritter Law P.C.</t>
  </si>
  <si>
    <t>Jvs group</t>
  </si>
  <si>
    <t>Enerson Law, LLC.</t>
  </si>
  <si>
    <t>Equity Sales Finance, Inc.</t>
  </si>
  <si>
    <t>SB Holdings, Inc.</t>
  </si>
  <si>
    <t>ADESA CORPORATION</t>
  </si>
  <si>
    <t>M. Richard Epps, P.C.</t>
  </si>
  <si>
    <t>Como Law Firm P.A.</t>
  </si>
  <si>
    <t>Pennsylvania Auto Credit, Inc.</t>
  </si>
  <si>
    <t>CONTINENTAL HOME LOANS, INC</t>
  </si>
  <si>
    <t>Tri-Counties Accounts Adjustment Bureau</t>
  </si>
  <si>
    <t>ETHOS LENDING LLC</t>
  </si>
  <si>
    <t>Fold, Inc.</t>
  </si>
  <si>
    <t>ROCKY MOUNTAIN MORTGAGE COMPANY</t>
  </si>
  <si>
    <t>Modern Asset Management, Inc.</t>
  </si>
  <si>
    <t>AR Audit Services, Inc</t>
  </si>
  <si>
    <t>Credit Financial Services, lnc</t>
  </si>
  <si>
    <t>Pittenger Law Group, LLC.</t>
  </si>
  <si>
    <t>Master Finance Company</t>
  </si>
  <si>
    <t>Harvest Strategy Group, Inc.</t>
  </si>
  <si>
    <t>Credit Services Corporation, LLC</t>
  </si>
  <si>
    <t>CDS Debt Relief, LLC</t>
  </si>
  <si>
    <t>Durham &amp; Durham, LLP</t>
  </si>
  <si>
    <t>Lefkoff, Rubin, Gleason, Russo &amp; Williams, P.C.</t>
  </si>
  <si>
    <t>Alternative Collections LLC</t>
  </si>
  <si>
    <t>United Student Loan Assistance Center</t>
  </si>
  <si>
    <t>IDT Telecom, Inc</t>
  </si>
  <si>
    <t>MILEND, INC.</t>
  </si>
  <si>
    <t>Law Offices of Goldsmith &amp; Hull A.P.C.</t>
  </si>
  <si>
    <t>American Collection Systems, Inc. (OH)</t>
  </si>
  <si>
    <t>North Shore Equities, Inc.</t>
  </si>
  <si>
    <t>PRIMAVERA FINANCIAL, INC.</t>
  </si>
  <si>
    <t>Professional Recovery Services Inc.(Closed)</t>
  </si>
  <si>
    <t>Morris, Hardwick, Schneider, LLC</t>
  </si>
  <si>
    <t>PLEASANT VALLEY HOME MORTGAGE</t>
  </si>
  <si>
    <t>Golden Title Loans LLC</t>
  </si>
  <si>
    <t>PMGI, LLC</t>
  </si>
  <si>
    <t>Castle Mortgage Corporation dba Excelerate Capital</t>
  </si>
  <si>
    <t>TJC Mortgage, Inc.</t>
  </si>
  <si>
    <t>Titan Solutions Group LLC</t>
  </si>
  <si>
    <t>United Check Recovery, LLC</t>
  </si>
  <si>
    <t>U.S. Equity Advantage Holdings, Inc.</t>
  </si>
  <si>
    <t>Wave Financial USA Inc.</t>
  </si>
  <si>
    <t>Capitol Credit Services, Inc</t>
  </si>
  <si>
    <t>SERVICELINK LOSS MITIGATION SERVICES</t>
  </si>
  <si>
    <t>Joseph M. Tobin, PC</t>
  </si>
  <si>
    <t>National Education Servicing, LLC</t>
  </si>
  <si>
    <t>Student Loan Debt Agency</t>
  </si>
  <si>
    <t>Rodriguez Fernandez Law Offices, LLC</t>
  </si>
  <si>
    <t>Monevo Inc</t>
  </si>
  <si>
    <t>MEDICAL BUSINESS CONSULTANTS, INC</t>
  </si>
  <si>
    <t>Absolute Home Mortgage Corporation</t>
  </si>
  <si>
    <t>TriPoint Lending, LLC</t>
  </si>
  <si>
    <t>Ashfield Management Services Inc,</t>
  </si>
  <si>
    <t>J R Brothers Financial, Inc.(Closed)</t>
  </si>
  <si>
    <t>C2 Financial Corporation</t>
  </si>
  <si>
    <t>Credit Bureau of San Luis Obispo &amp; Santa Barbara Counties</t>
  </si>
  <si>
    <t>Highland Capital</t>
  </si>
  <si>
    <t>ORO OC, LLC</t>
  </si>
  <si>
    <t>Accudata Credit Systems LLC</t>
  </si>
  <si>
    <t>SELLING SOURCE, LLC</t>
  </si>
  <si>
    <t>Intercoastal Mortgage LLC</t>
  </si>
  <si>
    <t>Horizon Financial Management</t>
  </si>
  <si>
    <t>Surf Consultants, Inc.</t>
  </si>
  <si>
    <t>Deatrick &amp; Spies PSC</t>
  </si>
  <si>
    <t>Superior Adjustment, Inc.</t>
  </si>
  <si>
    <t>BCI FINANCIAL</t>
  </si>
  <si>
    <t>ThunderRoad Financial, LLC</t>
  </si>
  <si>
    <t>Sullivan Asset Management, LLC</t>
  </si>
  <si>
    <t>Travelex NY, Inc.</t>
  </si>
  <si>
    <t>Larsen &amp; Associates, P.L.</t>
  </si>
  <si>
    <t>Credit Bureau Financial Services, Inc.</t>
  </si>
  <si>
    <t>BorrowersFirst, Inc.</t>
  </si>
  <si>
    <t>Minnesota Office of Higher Education</t>
  </si>
  <si>
    <t>Waddell Serafino Geary Rechner Jenevein, PC</t>
  </si>
  <si>
    <t>Primus Law PC</t>
  </si>
  <si>
    <t>CrediautoUSA Financial Company LLC</t>
  </si>
  <si>
    <t>Precise Financial Group, LLC</t>
  </si>
  <si>
    <t>Prohealth Care, Inc</t>
  </si>
  <si>
    <t>Sombrero Capital LLC</t>
  </si>
  <si>
    <t>CREDIT BUREAU OF FARMINGTON, INC</t>
  </si>
  <si>
    <t>Auto Credit of Virginia Inc.</t>
  </si>
  <si>
    <t>Celentano, Stadtmauer &amp; Walentowicz, LLP</t>
  </si>
  <si>
    <t>The McHughes Law Firm, LLC</t>
  </si>
  <si>
    <t>FIRST FOUNDATION INC.</t>
  </si>
  <si>
    <t>THE MONEY HOUSE, INC.</t>
  </si>
  <si>
    <t>The Shindler Law Firm</t>
  </si>
  <si>
    <t>Wheel City Motors East, Inc.</t>
  </si>
  <si>
    <t>Specialized Management Services, Inc.</t>
  </si>
  <si>
    <t>DRIVE NOW ACCEPTANCE LLC</t>
  </si>
  <si>
    <t>Aurora Financial, LLC</t>
  </si>
  <si>
    <t>Greenback Recovery Group, LLC</t>
  </si>
  <si>
    <t>Edward F Bukaty III</t>
  </si>
  <si>
    <t>Doyle &amp; Hoefs, LLC</t>
  </si>
  <si>
    <t>American Financial Credit Services, Inc.</t>
  </si>
  <si>
    <t>Car Credit Finance, LLC</t>
  </si>
  <si>
    <t>OPEN MORTGAGE LLC</t>
  </si>
  <si>
    <t>Globe Acceptance, Inc.</t>
  </si>
  <si>
    <t>Smart Finance Inc dba Fishtail Financial</t>
  </si>
  <si>
    <t>Funding Metrics LLC</t>
  </si>
  <si>
    <t>Unified Global Solutions LLC</t>
  </si>
  <si>
    <t>Collection Service, Inc.</t>
  </si>
  <si>
    <t>AdvantageFirst Lending Inc.</t>
  </si>
  <si>
    <t>Wellmont Health System</t>
  </si>
  <si>
    <t>West Capital Lending, Inc.</t>
  </si>
  <si>
    <t>Total Recovery Services, Inc</t>
  </si>
  <si>
    <t>Main Street Holdings, Inc.</t>
  </si>
  <si>
    <t>LendUS, LLC</t>
  </si>
  <si>
    <t>Hammerman &amp; Hultgren, P.C.</t>
  </si>
  <si>
    <t>Interstate Credit &amp; Collection, Inc.</t>
  </si>
  <si>
    <t>Kitch Acceptance Corp.</t>
  </si>
  <si>
    <t>Kovitz Shifrin Nesbit, A Professional Corporation</t>
  </si>
  <si>
    <t>Pacific Home Loans, Inc</t>
  </si>
  <si>
    <t>Burns Auto Credit, LLC</t>
  </si>
  <si>
    <t>Tesani Management Inc</t>
  </si>
  <si>
    <t>United Recovery Worldwide LLC</t>
  </si>
  <si>
    <t>Home Mortgage Alliance Corp. (HMAC)</t>
  </si>
  <si>
    <t>Flat Six Holdings Inc.</t>
  </si>
  <si>
    <t>ARC Services</t>
  </si>
  <si>
    <t>MORTGAGE INVESTORS GROUP</t>
  </si>
  <si>
    <t>RESMAC, INC.</t>
  </si>
  <si>
    <t>Solidifi US, Inc.</t>
  </si>
  <si>
    <t>SHM Holdings, LLC</t>
  </si>
  <si>
    <t>Aequitas Capital Opportunities Fund, LP</t>
  </si>
  <si>
    <t>CJA Auto Sales, Inc.</t>
  </si>
  <si>
    <t>AmOne Corp.</t>
  </si>
  <si>
    <t>COMMERCIAL SERVICES GROUP, INC.</t>
  </si>
  <si>
    <t>The Levinbook Law Firm, P.C.</t>
  </si>
  <si>
    <t>Prime Choice Funding Inc.</t>
  </si>
  <si>
    <t>Northstar Legal Group LLC</t>
  </si>
  <si>
    <t>Direct Cash LLC</t>
  </si>
  <si>
    <t>CIBC BANK USA</t>
  </si>
  <si>
    <t>Universal Technical Institute</t>
  </si>
  <si>
    <t>CalAtlantic Financial Services, Inc., Scottsdale, AZ Branch</t>
  </si>
  <si>
    <t>ABC Credit &amp; Recovery Services Inc.</t>
  </si>
  <si>
    <t>Triple AC Resolutions</t>
  </si>
  <si>
    <t>Leif Technologies Inc.</t>
  </si>
  <si>
    <t>Prime Business Service, LLC</t>
  </si>
  <si>
    <t>GABA LAW CORPORATION</t>
  </si>
  <si>
    <t>Mezcal Corporation</t>
  </si>
  <si>
    <t>CONSUMER PROTECTION ASSISTANCE COALITION, INC</t>
  </si>
  <si>
    <t>Pharus Funding LLC</t>
  </si>
  <si>
    <t>Accelerated Portfolio, Inc.</t>
  </si>
  <si>
    <t>Upstate Collection Center, Inc.</t>
  </si>
  <si>
    <t>Elite Legal Practice PC</t>
  </si>
  <si>
    <t>SW Linear Investment Group, LLC</t>
  </si>
  <si>
    <t>Cheek Law Offices, LLC</t>
  </si>
  <si>
    <t>ACCOUNTS ADVOCATE AGENCY</t>
  </si>
  <si>
    <t>Rapid Home Lending Inc.</t>
  </si>
  <si>
    <t>Kirschbaum, Nanney, Keenan &amp; Griffin, P.A.</t>
  </si>
  <si>
    <t>South East Collection Specialist</t>
  </si>
  <si>
    <t>Adonis Auto Group, LLC</t>
  </si>
  <si>
    <t>Tiffany &amp; Bosco, P.A.</t>
  </si>
  <si>
    <t>Hawk Inc</t>
  </si>
  <si>
    <t>Circleback Lending, Inc.(Closed)</t>
  </si>
  <si>
    <t>(Former)Shapiro, Swertfeger &amp; Hasty, LLP</t>
  </si>
  <si>
    <t>Creditors Service Bureau Inc</t>
  </si>
  <si>
    <t>Klover Holdings, Inc.</t>
  </si>
  <si>
    <t>Donut, Inc.</t>
  </si>
  <si>
    <t>Man-Data Inc.</t>
  </si>
  <si>
    <t>OHara Holdings, LLP</t>
  </si>
  <si>
    <t>MODERN FINANCE COMPANY</t>
  </si>
  <si>
    <t>Sher &amp; Shabsin PC</t>
  </si>
  <si>
    <t>TimeMark Solutions, Inc</t>
  </si>
  <si>
    <t>The Hallstrom Law Firm PLLC</t>
  </si>
  <si>
    <t>Plutos Sama, LLC</t>
  </si>
  <si>
    <t>Bowen &amp; Associates Recovery, Inc</t>
  </si>
  <si>
    <t>FRIC HOLDING CORPORATION</t>
  </si>
  <si>
    <t>CICA Collection Agency, Inc.</t>
  </si>
  <si>
    <t>SERVICE 1ST MORTGAGE, INC.</t>
  </si>
  <si>
    <t>Homespire Mortgage Corp</t>
  </si>
  <si>
    <t>Interstate Credit Control</t>
  </si>
  <si>
    <t>Seidberg Law Offices, P.C.</t>
  </si>
  <si>
    <t>Epn, Inc.</t>
  </si>
  <si>
    <t>FUTURE FINANCE COMPANY</t>
  </si>
  <si>
    <t>Midwest Finance Corporation</t>
  </si>
  <si>
    <t>Quad Corporation, Inc.</t>
  </si>
  <si>
    <t>PATRICK A. CAREY, P.A.</t>
  </si>
  <si>
    <t>RSB Equity Group, LLC</t>
  </si>
  <si>
    <t>Aura Mortgage Advisors LLC</t>
  </si>
  <si>
    <t>Enterprise Acquisitions</t>
  </si>
  <si>
    <t>Live Oak Financial, Inc</t>
  </si>
  <si>
    <t>Blend Labs, Inc.</t>
  </si>
  <si>
    <t>ALCOVA MORTGAGE LLC</t>
  </si>
  <si>
    <t>ZenResolve, LLC</t>
  </si>
  <si>
    <t>Hidden Oak Group, Inc.</t>
  </si>
  <si>
    <t>General Collection Co.</t>
  </si>
  <si>
    <t>LL Services Parent LLC</t>
  </si>
  <si>
    <t>ICUL Service Corporation</t>
  </si>
  <si>
    <t>Family Choice Financial, Inc.</t>
  </si>
  <si>
    <t>Premier Recovery Services, LLC</t>
  </si>
  <si>
    <t>WEBULL PAY HOLDINGS (US) INC</t>
  </si>
  <si>
    <t>Apex Mortgage LLC</t>
  </si>
  <si>
    <t>Tidalwave Finance Corporation</t>
  </si>
  <si>
    <t>Gemini Direct LLC, dba Credit Innovation Group</t>
  </si>
  <si>
    <t>BRAZOS HIGHER EDUCATION AUTHORITY, INC.</t>
  </si>
  <si>
    <t>Robert W. Warner &amp; Associates, P.C.</t>
  </si>
  <si>
    <t>ZOA, LLC</t>
  </si>
  <si>
    <t>Omni AR, LLC</t>
  </si>
  <si>
    <t>EIC Enterprises</t>
  </si>
  <si>
    <t>Cherry Creek Corporate, LLC</t>
  </si>
  <si>
    <t>MCS MORTGAGE BANKERS, INC.</t>
  </si>
  <si>
    <t>Credit Bureau of Columbia, Inc.</t>
  </si>
  <si>
    <t>Asset Recovery Inc</t>
  </si>
  <si>
    <t>Kind Holdings, LLC</t>
  </si>
  <si>
    <t>Fitzgerald Goldman &amp; Associates, Inc.</t>
  </si>
  <si>
    <t>Trott Law, P.C.</t>
  </si>
  <si>
    <t>60 Month Loans, Inc.</t>
  </si>
  <si>
    <t>Makower Abbate Guerra Wegner Vollmer PLLC</t>
  </si>
  <si>
    <t>CERTAINTY HOME LOANS LLC</t>
  </si>
  <si>
    <t>Easyknock</t>
  </si>
  <si>
    <t>Morgan &amp; Pottinger, PSC</t>
  </si>
  <si>
    <t>Faloni Law Group</t>
  </si>
  <si>
    <t>Dodge Enterprises Inc.</t>
  </si>
  <si>
    <t>NEXBANK CAPITAL, INC.</t>
  </si>
  <si>
    <t>Hilco Receivables LLC</t>
  </si>
  <si>
    <t>Intelliloan, Inc</t>
  </si>
  <si>
    <t>Main Resolution Group</t>
  </si>
  <si>
    <t>Managed Recovery Systems, Inc.</t>
  </si>
  <si>
    <t>Action Credit, LLC</t>
  </si>
  <si>
    <t>Debtsy Holdings, Inc.</t>
  </si>
  <si>
    <t>Timothy C. Runyan, P.C.</t>
  </si>
  <si>
    <t>CARTER-JONES COLLECTION SERVICE, INC</t>
  </si>
  <si>
    <t>The Grogan Law Group, LLC</t>
  </si>
  <si>
    <t>FIRST CASH FINANCIAL SERVICES, INC.</t>
  </si>
  <si>
    <t>Accounts Interchange Group LLC</t>
  </si>
  <si>
    <t>TDS Financial LLC</t>
  </si>
  <si>
    <t>American Management Services, Inc.</t>
  </si>
  <si>
    <t>Champions Funding, LLC</t>
  </si>
  <si>
    <t>TFC Group, LLC</t>
  </si>
  <si>
    <t>Greenwood and Allen Financial</t>
  </si>
  <si>
    <t>INTERNATIONAL BANCSHARES CORPORATION</t>
  </si>
  <si>
    <t>Accord Business Funding, LLC</t>
  </si>
  <si>
    <t>Convergence Acquisitions, LLC</t>
  </si>
  <si>
    <t>Frontier Consumer Law Group, LLC</t>
  </si>
  <si>
    <t>Winona Holdings, Inc.</t>
  </si>
  <si>
    <t>Account Recovery Service, Inc. (WI)</t>
  </si>
  <si>
    <t>Pappas Hayden Westberg &amp; Jackson PC</t>
  </si>
  <si>
    <t>Spero Solutions, Inc.</t>
  </si>
  <si>
    <t>Atlas Services, Inc.</t>
  </si>
  <si>
    <t>National Student Debt Advisory Corp.</t>
  </si>
  <si>
    <t>F&amp;L Marketing Enterprises LLC</t>
  </si>
  <si>
    <t>Professional Adjustment Bureau of Mid-America, Inc.</t>
  </si>
  <si>
    <t>CORNERSTONE MORTGAGE, INC.</t>
  </si>
  <si>
    <t>Illinois Collections Inc</t>
  </si>
  <si>
    <t>Empire Resolutions Group</t>
  </si>
  <si>
    <t>Life Line Billing Systems, LLC</t>
  </si>
  <si>
    <t>Illinois Lending Corporation</t>
  </si>
  <si>
    <t>NTFN INC.</t>
  </si>
  <si>
    <t>AUTO MARKET OF FLORIDA, CORP</t>
  </si>
  <si>
    <t>BEAL FINANCIAL CORPORATION</t>
  </si>
  <si>
    <t>Global Credit Solutions LLC</t>
  </si>
  <si>
    <t>Credit Service of Logan, Inc.</t>
  </si>
  <si>
    <t>POLARIS HOME FUNDING CORP</t>
  </si>
  <si>
    <t>Samuel Whitaker &amp; Associates LLC</t>
  </si>
  <si>
    <t>Jerold Kaplan Law Office, P.C.</t>
  </si>
  <si>
    <t>ACH Recovery Solutions</t>
  </si>
  <si>
    <t>GEMINI CAPITAL GROUP, LLC</t>
  </si>
  <si>
    <t>Brown Olcott, PLLC</t>
  </si>
  <si>
    <t>Hawthorn Recovery Services, Inc.</t>
  </si>
  <si>
    <t>Lending Force, LLC</t>
  </si>
  <si>
    <t>Caddis Funding, LLC</t>
  </si>
  <si>
    <t>Weimark</t>
  </si>
  <si>
    <t>Weinstein, Karp &amp; Associates, Inc.</t>
  </si>
  <si>
    <t>Denovus Corporation, Ltd.</t>
  </si>
  <si>
    <t>REPUBLIC MORTGAGE HOME LOANS, LLC</t>
  </si>
  <si>
    <t>Dean Morris, L.L.P.</t>
  </si>
  <si>
    <t>Neighborhoods United, LLC</t>
  </si>
  <si>
    <t>Credit Service of Central Washington, Inc.</t>
  </si>
  <si>
    <t>WALLICK AND VOLK, INC</t>
  </si>
  <si>
    <t>Nudelman, Klemm &amp; Golub, P.C.</t>
  </si>
  <si>
    <t>DEBT CREDIT SERVICES</t>
  </si>
  <si>
    <t>Real Estate Equity Exchange, Inc. d/b/a Unison</t>
  </si>
  <si>
    <t>Sykes,Bourdon,Ahern &amp; Levy, P.C.</t>
  </si>
  <si>
    <t>PMR Progressive, LLC</t>
  </si>
  <si>
    <t>Vargo &amp; Janson PC</t>
  </si>
  <si>
    <t>Dana &amp; Pariser Co.,L.P.A.</t>
  </si>
  <si>
    <t>Applied Resolutions Group</t>
  </si>
  <si>
    <t>Collection Bureau of Little Falls, Inc.</t>
  </si>
  <si>
    <t>Students Come First</t>
  </si>
  <si>
    <t>United Collection Service Inc (Closed)</t>
  </si>
  <si>
    <t>Winthrop Financial Resources, LLC</t>
  </si>
  <si>
    <t>Regional Credit Solutions</t>
  </si>
  <si>
    <t>Hawes Klein LLC</t>
  </si>
  <si>
    <t>Soja Management Services, LLC</t>
  </si>
  <si>
    <t>Cloud Willis &amp; Ellis, LLC</t>
  </si>
  <si>
    <t>First Premier Financial, Inc.</t>
  </si>
  <si>
    <t>Jeffrey G. Lerman, P.C.</t>
  </si>
  <si>
    <t>Zeller &amp; Associates, LLC</t>
  </si>
  <si>
    <t>National Account Services, Inc.</t>
  </si>
  <si>
    <t>CFS ACCEPTANCE</t>
  </si>
  <si>
    <t>LCB Rent Reporting Ltd.</t>
  </si>
  <si>
    <t>Nextep Funding LLP</t>
  </si>
  <si>
    <t>Curtwright &amp; Klein, LLC</t>
  </si>
  <si>
    <t>Allied Recovery Solutions, Inc.</t>
  </si>
  <si>
    <t>Davis and Goldmark, Inc.</t>
  </si>
  <si>
    <t>Kaman &amp; Cusimano, LLC</t>
  </si>
  <si>
    <t>Advise Solutions Services LLC</t>
  </si>
  <si>
    <t>Grimley Financial Corporation</t>
  </si>
  <si>
    <t>Brown Law, PLLC</t>
  </si>
  <si>
    <t>Dorough &amp; Dorough, LLC</t>
  </si>
  <si>
    <t>Cornerstone First Mortgage, Inc.</t>
  </si>
  <si>
    <t>Jones, Robin &amp; Robin, P.C.</t>
  </si>
  <si>
    <t>CCI Financial, Inc</t>
  </si>
  <si>
    <t>UNITED ONE RESOURCES, INC.</t>
  </si>
  <si>
    <t>Jormandy, LLC</t>
  </si>
  <si>
    <t>American Location Specialists</t>
  </si>
  <si>
    <t>General Credit Service Inc.</t>
  </si>
  <si>
    <t>Lefkoff, Rubin, Gleason &amp; Russo, P.C.</t>
  </si>
  <si>
    <t>Start Connecting dba USA Student Debt Relief</t>
  </si>
  <si>
    <t>JLB CORPORATION</t>
  </si>
  <si>
    <t>Blackhawk Finance</t>
  </si>
  <si>
    <t>Expedite Financial, Inc</t>
  </si>
  <si>
    <t>Financial Network Recovery Inc</t>
  </si>
  <si>
    <t>Lend Smart Mortgage, LLC</t>
  </si>
  <si>
    <t>Five Lakes Agency</t>
  </si>
  <si>
    <t>Glennon Law Firm, LLC</t>
  </si>
  <si>
    <t>K STREET FINANCE, INC.</t>
  </si>
  <si>
    <t>Anselmo Lindberg Oliver LLC</t>
  </si>
  <si>
    <t>Gordon &amp; Wong Law Group, P.C.</t>
  </si>
  <si>
    <t>GLENN ASSOCIATES MID-ATLANTIC, INC</t>
  </si>
  <si>
    <t>LAW OFFICE OF JOHN E. LINDNER P.A.</t>
  </si>
  <si>
    <t>Wright &amp; Lerch Attorneys At Law</t>
  </si>
  <si>
    <t>Landmark Strategy Group, LLC</t>
  </si>
  <si>
    <t>Fresh Start Funding, LLC</t>
  </si>
  <si>
    <t>Cuzco Capital Investment Management, LLC</t>
  </si>
  <si>
    <t>ICQ Search and Recovery Inc.</t>
  </si>
  <si>
    <t>Zeus Mortgage, Ltd.</t>
  </si>
  <si>
    <t>Credit Lending Services Inc.</t>
  </si>
  <si>
    <t>Roberts Markel Weinberg Butler Hailey PC</t>
  </si>
  <si>
    <t>Nobilis Credit Management, LLC.</t>
  </si>
  <si>
    <t>PRIORITY PLUS FINANCIAL LLC</t>
  </si>
  <si>
    <t>Blackstad, Hrabe, Kirlorsky, LLC</t>
  </si>
  <si>
    <t>Direct Mortgage Loans, LLC</t>
  </si>
  <si>
    <t>Revenue Recovery Bureau (Closed)</t>
  </si>
  <si>
    <t>Oliver Adjustment Company of Kenosha &amp; Racine, Inc</t>
  </si>
  <si>
    <t>Credit Bureau of Jonesboro, Inc.</t>
  </si>
  <si>
    <t>Rosen Management Services Inc.</t>
  </si>
  <si>
    <t>Select Resource Group</t>
  </si>
  <si>
    <t>Colten Mortgage, LLC</t>
  </si>
  <si>
    <t>Family First Funding LLC</t>
  </si>
  <si>
    <t>Clayton Holdings LLC</t>
  </si>
  <si>
    <t>GUARANTEED HOME MORTGAGE COMPANY</t>
  </si>
  <si>
    <t>First Reliance Holdings LLC</t>
  </si>
  <si>
    <t>Escrow Inc</t>
  </si>
  <si>
    <t>RAM America, Inc</t>
  </si>
  <si>
    <t>SERVISFIRST BANCSHARES, INC.</t>
  </si>
  <si>
    <t>Whetstone Partners, LLC</t>
  </si>
  <si>
    <t>Credit Bureau of Canyon, Inc</t>
  </si>
  <si>
    <t>DK, Consulting, Inc dba Huntington Financial Services</t>
  </si>
  <si>
    <t>Washington Trust Bank Financial Corporation</t>
  </si>
  <si>
    <t>CapitalCredit LLC</t>
  </si>
  <si>
    <t>Iconic Mortgage Corp.</t>
  </si>
  <si>
    <t>ECredable</t>
  </si>
  <si>
    <t>Town Financial Corporation</t>
  </si>
  <si>
    <t>Law Office of Charles G. McCarthy Jr. &amp; Assoc.</t>
  </si>
  <si>
    <t>Westgate Arbitration INC (Closed)</t>
  </si>
  <si>
    <t>UNIVERSAL LENDING CORP.</t>
  </si>
  <si>
    <t>Presto Auto Loans, Inc.</t>
  </si>
  <si>
    <t>Top Line Collectors LLC</t>
  </si>
  <si>
    <t>Brent D. Stamps, Attorney at Law</t>
  </si>
  <si>
    <t>Cannon Finance, Inc.</t>
  </si>
  <si>
    <t>Olson Associates PC</t>
  </si>
  <si>
    <t>Absolute Mortgage Company, Inc.</t>
  </si>
  <si>
    <t>Rock Holdings Inc.</t>
  </si>
  <si>
    <t>Miguel A. Maza &amp; Associates, PSC</t>
  </si>
  <si>
    <t>Duane Morris LLP</t>
  </si>
  <si>
    <t>Southwestern Investors Group, LLC</t>
  </si>
  <si>
    <t>Consolidated Credit Solutions, Inc.</t>
  </si>
  <si>
    <t>The DeGrasse Law Firm, P.C.</t>
  </si>
  <si>
    <t>Livingston Financial, LLC</t>
  </si>
  <si>
    <t>Acknowledge Debt Resolutions</t>
  </si>
  <si>
    <t>EUSTIS MORTGAGE CORPORATION</t>
  </si>
  <si>
    <t>Robinson &amp; Associates</t>
  </si>
  <si>
    <t>Assent Inc.</t>
  </si>
  <si>
    <t>North Georgia Regional Collection Agency, Inc.</t>
  </si>
  <si>
    <t>Liberty Credit Services, Inc.</t>
  </si>
  <si>
    <t>First Bancorp North Carolina</t>
  </si>
  <si>
    <t>LK Manley, Inc</t>
  </si>
  <si>
    <t>Chaplin &amp; Papa, P.C.</t>
  </si>
  <si>
    <t>NAFCO Finance</t>
  </si>
  <si>
    <t>Credit Shop, Incorporated</t>
  </si>
  <si>
    <t>First Consumers Financial LLC</t>
  </si>
  <si>
    <t>Central Business Funding</t>
  </si>
  <si>
    <t>Madison Auto, LLC</t>
  </si>
  <si>
    <t>Franklin Mortgage Solutions, LLC</t>
  </si>
  <si>
    <t>Hughes Finance</t>
  </si>
  <si>
    <t>Account Control Bureau</t>
  </si>
  <si>
    <t>Cobalt Mortgage</t>
  </si>
  <si>
    <t>Top Flight Assistance (Top Flight Credit Assistance)</t>
  </si>
  <si>
    <t>ALLSTATE LENDING GROUP, INC</t>
  </si>
  <si>
    <t>BMANSOL Intermediate Holdings, Inc.</t>
  </si>
  <si>
    <t>MUSA Holdings, LLC</t>
  </si>
  <si>
    <t>The Law Firm of Krisor &amp; Associates</t>
  </si>
  <si>
    <t>Driver Holdings, LLC</t>
  </si>
  <si>
    <t>STAR ONE CREDIT UNION</t>
  </si>
  <si>
    <t>Range View Management LLC</t>
  </si>
  <si>
    <t>Budget Mortgage Corp.</t>
  </si>
  <si>
    <t>New Southern Loans, Inc</t>
  </si>
  <si>
    <t>HFS Financial LLC</t>
  </si>
  <si>
    <t>Roseberry Inc.</t>
  </si>
  <si>
    <t>Century Debt Solutions Inc.</t>
  </si>
  <si>
    <t>The Wilber Law Firm, P.C.</t>
  </si>
  <si>
    <t>Parnell Law Group, LLC</t>
  </si>
  <si>
    <t>Zendable, Inc.</t>
  </si>
  <si>
    <t>Bizcorp, LLC</t>
  </si>
  <si>
    <t>Wharthog Ventures LLC dba Loans Not Sharks</t>
  </si>
  <si>
    <t>PLM Lender Services, Inc.</t>
  </si>
  <si>
    <t>Creditly Corp.</t>
  </si>
  <si>
    <t>CLX Systems/ Westwood Management</t>
  </si>
  <si>
    <t>Dennis Dillon Auto Park and Truck Center, Inc.,</t>
  </si>
  <si>
    <t>Personal Finance Center</t>
  </si>
  <si>
    <t>IMPERIAL CREDIT SYSTEMS, INC.</t>
  </si>
  <si>
    <t>Sports &amp; Imports Auto</t>
  </si>
  <si>
    <t>VNU Group, LLC</t>
  </si>
  <si>
    <t>1 STOP MONEY CENTERS, LLC</t>
  </si>
  <si>
    <t>Zachter PLLC</t>
  </si>
  <si>
    <t>Jomax, LLC</t>
  </si>
  <si>
    <t>First Colony Mortgage Corp.</t>
  </si>
  <si>
    <t>Harvest Credit Management VII, LLC</t>
  </si>
  <si>
    <t>WALL STREET MORTGAGE BANKERS</t>
  </si>
  <si>
    <t>BROADVIEW MORTGAGE CORPORATION</t>
  </si>
  <si>
    <t>Oquirrh Mountain Law Group, P.C.</t>
  </si>
  <si>
    <t>Capital For Change, Inc.</t>
  </si>
  <si>
    <t>Integrity Asset Partners, Ltd.</t>
  </si>
  <si>
    <t>I.A.C. INC</t>
  </si>
  <si>
    <t>Finco Holding Company LLC</t>
  </si>
  <si>
    <t>Commercial Credit Counseling Services Inc.</t>
  </si>
  <si>
    <t>BTS Motors, LLC</t>
  </si>
  <si>
    <t>Manor Resources, LLC</t>
  </si>
  <si>
    <t>Advanced Collection Services, LTD</t>
  </si>
  <si>
    <t>Student Zoom, LLC</t>
  </si>
  <si>
    <t>COOPER HEALTH SYSTEM</t>
  </si>
  <si>
    <t>PIKE CREEK MORTGAGE SERVICES</t>
  </si>
  <si>
    <t>G. Reynolds Sims &amp; Associates, P. C.</t>
  </si>
  <si>
    <t>National Capital Solutions</t>
  </si>
  <si>
    <t>PROFESSIONAL COLLECTION SERVICE, INC</t>
  </si>
  <si>
    <t>OM Financial, LLC</t>
  </si>
  <si>
    <t>Jon B. Sage, P.A. dba Sage Law Offices</t>
  </si>
  <si>
    <t>FX Quick Cash, LLC</t>
  </si>
  <si>
    <t>Plastyc, Inc.</t>
  </si>
  <si>
    <t>CRE Credit Services</t>
  </si>
  <si>
    <t>ClosingMark Financial Services, LLC</t>
  </si>
  <si>
    <t>Accurate Financial Services</t>
  </si>
  <si>
    <t>AMERICAN BANCSHARES MORTGAGE, LLC</t>
  </si>
  <si>
    <t>Bennett Law PLLC</t>
  </si>
  <si>
    <t>Key Management Company of Missouri, LLC.</t>
  </si>
  <si>
    <t>The Judgment Group</t>
  </si>
  <si>
    <t>Equinox Financial Management Solutions, Inc.</t>
  </si>
  <si>
    <t>Del Toro Loan Servicing, Inc</t>
  </si>
  <si>
    <t>Speedee Cash Management</t>
  </si>
  <si>
    <t>Capital Servicing Group</t>
  </si>
  <si>
    <t>United National Services</t>
  </si>
  <si>
    <t>National Creditors Connection, Inc</t>
  </si>
  <si>
    <t>National Bureau of Collections, Inc</t>
  </si>
  <si>
    <t>FIRST METROPOLITAN FINANCIAL SERVICES, INC.</t>
  </si>
  <si>
    <t>Ogden Holdings, LLC</t>
  </si>
  <si>
    <t>A+ Financial Services, Inc.</t>
  </si>
  <si>
    <t>Bell Global Solutions LLC</t>
  </si>
  <si>
    <t>GSA Commercial Asset Management</t>
  </si>
  <si>
    <t>AUTO FINANCE USA, LLC</t>
  </si>
  <si>
    <t>Residential Finance Corporation (Closed)</t>
  </si>
  <si>
    <t>Montgomery &amp; Meyers P.A. Corporation</t>
  </si>
  <si>
    <t>Unlock Technologies, Inc.</t>
  </si>
  <si>
    <t>Excella Recovery Group</t>
  </si>
  <si>
    <t>LPI, INC.</t>
  </si>
  <si>
    <t>Lendsmart, Inc.</t>
  </si>
  <si>
    <t>Credit Adjustment Services of Harrisburg, Inc</t>
  </si>
  <si>
    <t>Automotive Leasing Specialists, L.L.C.</t>
  </si>
  <si>
    <t>Cohen Kaplan Tulowitz LLC</t>
  </si>
  <si>
    <t>SOUTHPOINT FINANCIAL SERVICES, INC.</t>
  </si>
  <si>
    <t>Nevada Professional Collections Texas</t>
  </si>
  <si>
    <t>PACIFIC CAPITAL EXCHANGE</t>
  </si>
  <si>
    <t>MedShield, Inc.</t>
  </si>
  <si>
    <t>Goshen Mortgage LLC</t>
  </si>
  <si>
    <t>Investigative Concepts, Inc.</t>
  </si>
  <si>
    <t>Atlas Collections Inc. (of New Castle)</t>
  </si>
  <si>
    <t>Lexington Consumer Advocacy, LLC</t>
  </si>
  <si>
    <t>REPORTS, INC.</t>
  </si>
  <si>
    <t>Cascade Mortgage, Inc.</t>
  </si>
  <si>
    <t>Central Service Bureau, Inc.</t>
  </si>
  <si>
    <t>Onward Credit Holdings, LLC</t>
  </si>
  <si>
    <t>Prospect Financial Group, Inc</t>
  </si>
  <si>
    <t>Trustly, Inc.</t>
  </si>
  <si>
    <t>Penncro Associates, Inc.</t>
  </si>
  <si>
    <t>Merchants Credit LLC</t>
  </si>
  <si>
    <t>First Southwestern Financial Services, LLC</t>
  </si>
  <si>
    <t>Trans National Credit Corporation</t>
  </si>
  <si>
    <t>Rainier Financial Group, LLC</t>
  </si>
  <si>
    <t>Best Capital Funding</t>
  </si>
  <si>
    <t>Qualey Law Group, Inc.</t>
  </si>
  <si>
    <t>Melar Investments, LLC</t>
  </si>
  <si>
    <t>United Portfolio Corp.</t>
  </si>
  <si>
    <t>LOAN SERVICING GROUP</t>
  </si>
  <si>
    <t>VICTORIAN FINANCE, LLC</t>
  </si>
  <si>
    <t>Rolfe &amp; Lobello, P.A.</t>
  </si>
  <si>
    <t>CredHub, Inc</t>
  </si>
  <si>
    <t>WCS LENDING, LLC</t>
  </si>
  <si>
    <t>CoinZoom, Inc.</t>
  </si>
  <si>
    <t>Merchants Automotive Group LLC</t>
  </si>
  <si>
    <t>GRIFFIN FUNDING, INC.</t>
  </si>
  <si>
    <t>Diverse Financial Enterprises</t>
  </si>
  <si>
    <t>Mid-Atlantic Solutions Holdings, LLC</t>
  </si>
  <si>
    <t>Fidelity Direct Mortgage, LLC</t>
  </si>
  <si>
    <t>Western Management Consultants</t>
  </si>
  <si>
    <t>Bonded Collectors of Wisconsin, Inc</t>
  </si>
  <si>
    <t>Merchants Financial Guardian, Inc.</t>
  </si>
  <si>
    <t>Encircle Collections, Inc.</t>
  </si>
  <si>
    <t>Total Recovery Solutions</t>
  </si>
  <si>
    <t>HUELSON LAW FIRM, LLC</t>
  </si>
  <si>
    <t>Creditor Claims of America, Inc.</t>
  </si>
  <si>
    <t>Action Finance Inc.</t>
  </si>
  <si>
    <t>NATIONWIDE EQUITIES CORP</t>
  </si>
  <si>
    <t>REDEMPTION FINANCIAL SERVICES LLC dba NATIONAL AUTO ACCEPTANCE</t>
  </si>
  <si>
    <t>Filaport Acquisitions</t>
  </si>
  <si>
    <t>National Payment Solutions of New York LLC</t>
  </si>
  <si>
    <t>Simple Cash Loans, Inc.,</t>
  </si>
  <si>
    <t>Pendleton &amp; Sutton LLC</t>
  </si>
  <si>
    <t>CALIFORNIA RECOVERY BUREAU, INC</t>
  </si>
  <si>
    <t>Coastal Capital Processing, LLC</t>
  </si>
  <si>
    <t>UNITED FIDELITY FUNDING, CORP</t>
  </si>
  <si>
    <t>WILLOW BEND MORTGAGE</t>
  </si>
  <si>
    <t>Rochester Home Equity, Inc</t>
  </si>
  <si>
    <t>Credee Corporation</t>
  </si>
  <si>
    <t>MIDWEST EQUITY MORTGAGE, LLC</t>
  </si>
  <si>
    <t>Carmen V. Porreca, P.C.</t>
  </si>
  <si>
    <t>Law Office of Regent and Associates</t>
  </si>
  <si>
    <t>Security Auto Loans, Inc.</t>
  </si>
  <si>
    <t>RMI Services, LLC</t>
  </si>
  <si>
    <t>Infinity Capital Group</t>
  </si>
  <si>
    <t>Niagara Central Revenue</t>
  </si>
  <si>
    <t>Kirkland Financial LLC</t>
  </si>
  <si>
    <t>ATLANTIC HOME LOANS INC.</t>
  </si>
  <si>
    <t>Financial Solutions Group, LLC</t>
  </si>
  <si>
    <t>Credit and Receivables Services Inc.</t>
  </si>
  <si>
    <t>Informative LLC</t>
  </si>
  <si>
    <t>Western Collection Bureau, Inc.</t>
  </si>
  <si>
    <t>Legal Action Bureau Inc</t>
  </si>
  <si>
    <t>Nudge Funding, LLC</t>
  </si>
  <si>
    <t>Moneydart Global Services Inc.</t>
  </si>
  <si>
    <t>Motormax Financial Services Inc.</t>
  </si>
  <si>
    <t>Cstone Mortgage Inc</t>
  </si>
  <si>
    <t>Verified First, LLC</t>
  </si>
  <si>
    <t>Pono Ventures Inc.</t>
  </si>
  <si>
    <t>V.I.P. MORTGAGE, INC.</t>
  </si>
  <si>
    <t>NARTEY LAW GROUP, LLC</t>
  </si>
  <si>
    <t>SHAPESHIFT AG</t>
  </si>
  <si>
    <t>Lanier Law Firm, LLC</t>
  </si>
  <si>
    <t>Northeast Receivables Management, LLC</t>
  </si>
  <si>
    <t>Delta Management Group, Inc.</t>
  </si>
  <si>
    <t>LoanFlight Lending, LLC</t>
  </si>
  <si>
    <t>Judgment Acquisitions Unlimited Inc</t>
  </si>
  <si>
    <t>Law Offices of Donald R Conrad P.C.</t>
  </si>
  <si>
    <t>Cascade Creditors Service, llc</t>
  </si>
  <si>
    <t>STELLAR BANCORP INC.</t>
  </si>
  <si>
    <t>Southwood Financial, LLC.</t>
  </si>
  <si>
    <t>Prodigy Finance Servicing, LLC</t>
  </si>
  <si>
    <t>Great Lakes Capital Management, LLC</t>
  </si>
  <si>
    <t>A &amp; S Collection Associates, Inc.</t>
  </si>
  <si>
    <t>Professional Recovery, Inc.</t>
  </si>
  <si>
    <t>Turnbull Law Group</t>
  </si>
  <si>
    <t>First Capital Recovery Inc.</t>
  </si>
  <si>
    <t>Resurgence Financial, LLC</t>
  </si>
  <si>
    <t>LUKE, JOHNSON &amp; LEWIS LLC</t>
  </si>
  <si>
    <t>Reliance Motor Credit LLC</t>
  </si>
  <si>
    <t>Law Offices of Ed Overcash, LLC</t>
  </si>
  <si>
    <t>Mankin Law Group</t>
  </si>
  <si>
    <t>BIYING Inc</t>
  </si>
  <si>
    <t>Salander Enterprises, LLC</t>
  </si>
  <si>
    <t>First Mortgage Solutions</t>
  </si>
  <si>
    <t>Atlantic Discount Corporation dba Atlantic Financial Services</t>
  </si>
  <si>
    <t>Nu World Title, LLC</t>
  </si>
  <si>
    <t>CREDIT BUREAU OF NEW ULM, INC.</t>
  </si>
  <si>
    <t>American Lending Finance</t>
  </si>
  <si>
    <t>Client Financial Services of Michigan LLC</t>
  </si>
  <si>
    <t>Executive Acquisitions Group, LLC</t>
  </si>
  <si>
    <t>Lakeview Law Group, PLLC</t>
  </si>
  <si>
    <t>SEMPER HOME LOANS, INC</t>
  </si>
  <si>
    <t>1ST RESULTS BILLINGS &amp; COLLECTIONS, INC.</t>
  </si>
  <si>
    <t>Stone Creek Financial, Inc</t>
  </si>
  <si>
    <t>Bear Claw Lending dba Lucent Cash</t>
  </si>
  <si>
    <t>First Financial Credit, Inc</t>
  </si>
  <si>
    <t>American Consumer Credit Counseling, Inc.</t>
  </si>
  <si>
    <t>Loan Cabin Inc.</t>
  </si>
  <si>
    <t>Sentrix Financial Services</t>
  </si>
  <si>
    <t>Patriot Mortgage Corporation</t>
  </si>
  <si>
    <t>Law Offices of Crystal Moroney, P.C.</t>
  </si>
  <si>
    <t>Bluestein Hirsch and Associates</t>
  </si>
  <si>
    <t>DSW Carolina, LLC d/b/a Resource Services</t>
  </si>
  <si>
    <t>High Mountain Funding Inc.</t>
  </si>
  <si>
    <t>Zealandia Holding Company, Inc.</t>
  </si>
  <si>
    <t>ACCOUNT SERVICES INC.</t>
  </si>
  <si>
    <t>Newman, Mathis, Brady &amp; Spedale</t>
  </si>
  <si>
    <t>77 Elite</t>
  </si>
  <si>
    <t>Louisiana Bureau of Credit Control Inc.</t>
  </si>
  <si>
    <t>Lockhart Mediation Services</t>
  </si>
  <si>
    <t>National Recovery Services LLC</t>
  </si>
  <si>
    <t>General Recovery Services of WV, Inc.</t>
  </si>
  <si>
    <t>Pinata Rent, Inc</t>
  </si>
  <si>
    <t>Docuservpro dba Simple Repayment</t>
  </si>
  <si>
    <t>Ragan &amp; Ragan, P.C.</t>
  </si>
  <si>
    <t>Sharinn &amp; Lipshie, P.C.</t>
  </si>
  <si>
    <t>Nexera Holding LLC</t>
  </si>
  <si>
    <t>Loantopia</t>
  </si>
  <si>
    <t>Tiburon Financial, LLC</t>
  </si>
  <si>
    <t>Southeast Finance Inc.</t>
  </si>
  <si>
    <t>CFS2 Inc.</t>
  </si>
  <si>
    <t>Utah Billing &amp; Recovery Services</t>
  </si>
  <si>
    <t>Southwest Acceptance Finance Co</t>
  </si>
  <si>
    <t>Taylor Law, PLLC</t>
  </si>
  <si>
    <t>American Mortgage Service Company</t>
  </si>
  <si>
    <t>Tecco Systems</t>
  </si>
  <si>
    <t>Cardinal Accounts, Inc.</t>
  </si>
  <si>
    <t>American Credit - Credit Repair Centers</t>
  </si>
  <si>
    <t>Cedar Holdings, Inc.</t>
  </si>
  <si>
    <t>AmNet ESOP Corporation</t>
  </si>
  <si>
    <t>All Credit Considered Mortgage, Inc.</t>
  </si>
  <si>
    <t>Becker and Klein, LLC</t>
  </si>
  <si>
    <t>Imperium Lending, LLC</t>
  </si>
  <si>
    <t>Revenue Cycle Management Corp</t>
  </si>
  <si>
    <t>Panhandle-Plains Student Finance Corporation</t>
  </si>
  <si>
    <t>Cornerstone Mitigation</t>
  </si>
  <si>
    <t>Debt Direct Portfolio Management, LLC</t>
  </si>
  <si>
    <t>Cumulus Funding LLC</t>
  </si>
  <si>
    <t>1ST FINANCIAL, INC.</t>
  </si>
  <si>
    <t>Whitestone Financial Holdings LLC</t>
  </si>
  <si>
    <t>Creekside Finance, Inc.</t>
  </si>
  <si>
    <t>Consumer Shield</t>
  </si>
  <si>
    <t>Credit Wellness LLC</t>
  </si>
  <si>
    <t>NE PROCESSING LLC</t>
  </si>
  <si>
    <t>Dealer Finance of Western Kentucky</t>
  </si>
  <si>
    <t>CreditWorks LLC</t>
  </si>
  <si>
    <t>Royalty Management Corporation</t>
  </si>
  <si>
    <t>North Idaho Credit Corporation</t>
  </si>
  <si>
    <t>Statewide Mortgage, LLC</t>
  </si>
  <si>
    <t>Advantage Plus Credit Reporting, Inc.</t>
  </si>
  <si>
    <t>Fortren Funding LLC</t>
  </si>
  <si>
    <t>Thomas &amp; Thomas Attorneys and Counselors at Law, LLC</t>
  </si>
  <si>
    <t>Vitek Real Estate Industries Group, Inc.</t>
  </si>
  <si>
    <t>FRANKLIN LOAN CORPORATION</t>
  </si>
  <si>
    <t>The Hamilton Law Association</t>
  </si>
  <si>
    <t>Array US, Inc</t>
  </si>
  <si>
    <t>Tater Inc.</t>
  </si>
  <si>
    <t>Revenue Collection Bureau, Inc.</t>
  </si>
  <si>
    <t>PERSIAN ACCEPTANCE CORP</t>
  </si>
  <si>
    <t>Complete Collection Services, Inc.</t>
  </si>
  <si>
    <t>OVM FINANCIAL, INC</t>
  </si>
  <si>
    <t>Global One Arbitration Inc.</t>
  </si>
  <si>
    <t>STL HOLDING COMPANY, LLC</t>
  </si>
  <si>
    <t>Arapahoe Motors</t>
  </si>
  <si>
    <t>UnBanked</t>
  </si>
  <si>
    <t>Metro Republic Commercial Service, Inc.</t>
  </si>
  <si>
    <t>Credence Funding Corporation</t>
  </si>
  <si>
    <t>State Cap Auto Finance, Inc</t>
  </si>
  <si>
    <t>Moon Inc.</t>
  </si>
  <si>
    <t>Columbus Finance Inc.</t>
  </si>
  <si>
    <t>Residential Credit Opportunities Trust</t>
  </si>
  <si>
    <t>Veristone Mortgage, LLC</t>
  </si>
  <si>
    <t>Inter-Cambio Express, Inc.</t>
  </si>
  <si>
    <t>American Reporting Company</t>
  </si>
  <si>
    <t>TDF Financial Services, Inc.</t>
  </si>
  <si>
    <t>Road Runner Collection Services, Inc.</t>
  </si>
  <si>
    <t>American Heritage Lending, LLC</t>
  </si>
  <si>
    <t>Franks Adjustment Bureau, Inc.</t>
  </si>
  <si>
    <t>Ignite Revenue, Inc.</t>
  </si>
  <si>
    <t>CU MORTGAGE SERVICES INC.</t>
  </si>
  <si>
    <t>NowackHoward LLC</t>
  </si>
  <si>
    <t>Kahn, Dees, Donovan &amp; Kahn, LLP</t>
  </si>
  <si>
    <t>Openonline, LLC</t>
  </si>
  <si>
    <t>CENDERA FUNDING, INC.</t>
  </si>
  <si>
    <t>The Eastbrooke Group LLC</t>
  </si>
  <si>
    <t>Direct Account Management</t>
  </si>
  <si>
    <t>Compattia Roccia Management Group, LLC</t>
  </si>
  <si>
    <t>A.R.C. Accounts Recovery (U.S.A.) Corporation LLC</t>
  </si>
  <si>
    <t>EULER HERMES UMA, INC.</t>
  </si>
  <si>
    <t>Civic Financial Services, Inc.</t>
  </si>
  <si>
    <t>ROSS MORTGAGE CORPORATION</t>
  </si>
  <si>
    <t>Supreme Solutions</t>
  </si>
  <si>
    <t>Neiman, Stone &amp; McCormick , P.C.</t>
  </si>
  <si>
    <t>Cannon &amp; Cannon Firm PC</t>
  </si>
  <si>
    <t>American Mediation</t>
  </si>
  <si>
    <t>NCC Holdings, LLC</t>
  </si>
  <si>
    <t>B &amp; B FINANCIAL SERVICES INC</t>
  </si>
  <si>
    <t>Recovery Ace Inc</t>
  </si>
  <si>
    <t>JAYANDBEE INC /dba/ HOOSIER ACCOUNTS SERVICE</t>
  </si>
  <si>
    <t>Moody, Jones &amp; Ingino, P.A</t>
  </si>
  <si>
    <t>Financial Rescue, LLC</t>
  </si>
  <si>
    <t>United Credit Service Inc</t>
  </si>
  <si>
    <t>Business Law Group, P.A.</t>
  </si>
  <si>
    <t>Tan Oak Financial</t>
  </si>
  <si>
    <t>National Mediation Services</t>
  </si>
  <si>
    <t>Chicago Car Center, Inc.</t>
  </si>
  <si>
    <t>Granite Creditors Service, Inc.</t>
  </si>
  <si>
    <t>Mortgage One Funding LLC</t>
  </si>
  <si>
    <t>Wheels of Chicago, Inc.</t>
  </si>
  <si>
    <t>Carpenter, Hazlewood, Delgado &amp; Bolen, PLC</t>
  </si>
  <si>
    <t>Maxitransfers LLC</t>
  </si>
  <si>
    <t>Credit Services, Inc.</t>
  </si>
  <si>
    <t>Ronald H. Reynolds, Inc.</t>
  </si>
  <si>
    <t>OSG Group Holdings, Inc.</t>
  </si>
  <si>
    <t>Creditmax Collection Agency, Inc. d/b/a Creditmax, Inc.</t>
  </si>
  <si>
    <t>Anderson and Associates Credit Services, LLC</t>
  </si>
  <si>
    <t>KCB Credit LLC</t>
  </si>
  <si>
    <t>Niagara Capital Associates, Inc.</t>
  </si>
  <si>
    <t>Venture Financial Services, Inc.</t>
  </si>
  <si>
    <t>Consolidation Capital</t>
  </si>
  <si>
    <t>Check Fraud Services</t>
  </si>
  <si>
    <t>First Collections Inc</t>
  </si>
  <si>
    <t>Consumer Solutions Group</t>
  </si>
  <si>
    <t>Omnex Group, Inc.</t>
  </si>
  <si>
    <t>Mintex Inc.</t>
  </si>
  <si>
    <t>Law Offices of Ross Gelfand, LLC</t>
  </si>
  <si>
    <t>Southern Loans, Inc.</t>
  </si>
  <si>
    <t>Central Professional Services, Inc.</t>
  </si>
  <si>
    <t>Cliff's Finance Co., Inc.</t>
  </si>
  <si>
    <t>Insight One Solutions, LLC</t>
  </si>
  <si>
    <t>Bell Global Services LLC</t>
  </si>
  <si>
    <t>TOPA EQUITIES</t>
  </si>
  <si>
    <t>SUN FINANCE COMPANY, LLC</t>
  </si>
  <si>
    <t>Money Transfer Acquisition, Inc.</t>
  </si>
  <si>
    <t>General Mortgage Capital Corporation</t>
  </si>
  <si>
    <t>First Equity Mortgage Bankers, Inc.</t>
  </si>
  <si>
    <t>Steel Lending Group LLC</t>
  </si>
  <si>
    <t>Landmark Collection Services Inc.</t>
  </si>
  <si>
    <t>Central Kentucky Management Services, Inc</t>
  </si>
  <si>
    <t>FIRST AMERICAN MORTGAGE TRUST</t>
  </si>
  <si>
    <t>Aurora Enterprises, Inc.</t>
  </si>
  <si>
    <t>Southeast Investment Corp</t>
  </si>
  <si>
    <t>Money Services, Inc., d/b/a Texoma Finance</t>
  </si>
  <si>
    <t>Douglass &amp; Associates Co. LPA</t>
  </si>
  <si>
    <t>CUILA LLC</t>
  </si>
  <si>
    <t>Burke Costanza &amp; Carberry LLP</t>
  </si>
  <si>
    <t>Lendmart, LLC</t>
  </si>
  <si>
    <t>Buffalo Auto Acceptance Corp.</t>
  </si>
  <si>
    <t>DCS Financial, Inc.</t>
  </si>
  <si>
    <t>Law Office of Steven A. Booska</t>
  </si>
  <si>
    <t>ERNST, ARTMANN AND ASSOCIATES, INC.</t>
  </si>
  <si>
    <t>EnTrust Funding</t>
  </si>
  <si>
    <t>Grey Inc</t>
  </si>
  <si>
    <t>IOWA BANKERS MORTGAGE CORPORATION</t>
  </si>
  <si>
    <t>Red Mortgage, Inc.</t>
  </si>
  <si>
    <t>Core Recoveries, LLC</t>
  </si>
  <si>
    <t>The Law Offices of Barry J. Gammons, PLLC</t>
  </si>
  <si>
    <t>Auto One Acceptance LLC</t>
  </si>
  <si>
    <t>RLB Texas Auto Center LLC</t>
  </si>
  <si>
    <t>InstaMortgage Inc.</t>
  </si>
  <si>
    <t>Liberal Finance Service</t>
  </si>
  <si>
    <t>Guidance Alum LLC</t>
  </si>
  <si>
    <t>Cashbak, LLC</t>
  </si>
  <si>
    <t>M/I Homes, Inc.</t>
  </si>
  <si>
    <t>Ray Skillman Northeast Buick GMC Truck Inc</t>
  </si>
  <si>
    <t>McMichael Taylor Gray LLC</t>
  </si>
  <si>
    <t>Constantino Law Office, P.C.</t>
  </si>
  <si>
    <t>Fredericksburg Credit Bureau, Inc (Closed)</t>
  </si>
  <si>
    <t>Curfin Holding Company, Inc</t>
  </si>
  <si>
    <t>Advanced Collections, Inc.</t>
  </si>
  <si>
    <t>CBS Collections, Inc</t>
  </si>
  <si>
    <t>RevCrest, Inc.</t>
  </si>
  <si>
    <t>Kenneth E. Davidson, Attorney</t>
  </si>
  <si>
    <t>Ocean Lending Home Loans</t>
  </si>
  <si>
    <t>DEEP SOUTH FINANCIAL SERVICES INC.</t>
  </si>
  <si>
    <t>SIRVA WORLDWIDE INC.</t>
  </si>
  <si>
    <t>CHECK CASHIERS, INC.</t>
  </si>
  <si>
    <t>Patrick Scanlon P.A.</t>
  </si>
  <si>
    <t>The Law Offices of Daniel C. Consuegra</t>
  </si>
  <si>
    <t>Origen Financial Services LLC</t>
  </si>
  <si>
    <t>PREMIUM MORTGAGE CORP</t>
  </si>
  <si>
    <t>Legacy Funding Corporation</t>
  </si>
  <si>
    <t>Szuba &amp; Associates, PLLC</t>
  </si>
  <si>
    <t>Northeastern Credit Services, Inc.</t>
  </si>
  <si>
    <t>Plato, LLC</t>
  </si>
  <si>
    <t>Outsource Services, Inc. d/b/a National Acceptance Company</t>
  </si>
  <si>
    <t>Nelson, Watson &amp; Associates, LLC</t>
  </si>
  <si>
    <t>Suburban Mortgage Company of New Mexico</t>
  </si>
  <si>
    <t>APLUS INSTACASH LLC dba A+ FINANCE</t>
  </si>
  <si>
    <t>Recheck, Inc</t>
  </si>
  <si>
    <t>Credit Information Bureau, Inc.</t>
  </si>
  <si>
    <t>Regional Collection Services, Inc.</t>
  </si>
  <si>
    <t>Vision Financial Services, Inc.</t>
  </si>
  <si>
    <t>PERL MORTGAGE</t>
  </si>
  <si>
    <t>Westview Financial Services VA, LLC</t>
  </si>
  <si>
    <t>Rainier Collection Services, Inc.</t>
  </si>
  <si>
    <t>University Lending Group, LLC</t>
  </si>
  <si>
    <t>LOGICOLL, LLC</t>
  </si>
  <si>
    <t>Collaborative Resolution Group</t>
  </si>
  <si>
    <t>Adela, Inc</t>
  </si>
  <si>
    <t>J Northland Group</t>
  </si>
  <si>
    <t>True Link Financial, Inc.</t>
  </si>
  <si>
    <t>Ray Skillman GMC Truck Inc</t>
  </si>
  <si>
    <t>Summit Consumer Group</t>
  </si>
  <si>
    <t>Expanse Financial Technologies, Inc. f/k/a Prepaid Ventures, LTD</t>
  </si>
  <si>
    <t>H &amp; S Financial, Inc.</t>
  </si>
  <si>
    <t>Choice Mtg INC.</t>
  </si>
  <si>
    <t>West Virginia Housing Development Fund</t>
  </si>
  <si>
    <t>Cypress Collections</t>
  </si>
  <si>
    <t>Statewide Tax Recovery, LLC</t>
  </si>
  <si>
    <t>ITALBANK INTERNATIONAL, INC.</t>
  </si>
  <si>
    <t>Millennium Credit Consultants Inc.</t>
  </si>
  <si>
    <t>Richard H. Kream</t>
  </si>
  <si>
    <t>BH Financial Group, LLC</t>
  </si>
  <si>
    <t>UNITED PACIFIC BANK</t>
  </si>
  <si>
    <t>American Mortgage Investment Partners Fund I Trust</t>
  </si>
  <si>
    <t>Hampton &amp; Hampton Collections LLC</t>
  </si>
  <si>
    <t>D.B.M.E., INC</t>
  </si>
  <si>
    <t>UNITED STUDENT LOAN SOLUTIONS</t>
  </si>
  <si>
    <t>Smith Law Firm, P.C.</t>
  </si>
  <si>
    <t>Finance Authority of Maine</t>
  </si>
  <si>
    <t>Med-Health Financial Services, Inc.</t>
  </si>
  <si>
    <t>TMAGNUSONE Inc</t>
  </si>
  <si>
    <t>CMM Finance, Inc.</t>
  </si>
  <si>
    <t>Girvin &amp; Ferlazzo, P.C.</t>
  </si>
  <si>
    <t>EMI Equity Mortgage, Inc.</t>
  </si>
  <si>
    <t>TOWN &amp; COUNTRY ACCEPTANCE CORPORATION</t>
  </si>
  <si>
    <t>Harris Beach PLLC</t>
  </si>
  <si>
    <t>NEU Money, Inc.</t>
  </si>
  <si>
    <t>CITIZENS FIRST WHOLESALES MORTGAGE</t>
  </si>
  <si>
    <t>COLLECTRON, INC.</t>
  </si>
  <si>
    <t>Blue Sky Capital Realty, Inc.</t>
  </si>
  <si>
    <t>Touchstone Partners, Inc.</t>
  </si>
  <si>
    <t>Capital Benefit, Inc.</t>
  </si>
  <si>
    <t>National Judgment Recovery Center, L.P.</t>
  </si>
  <si>
    <t>Operating Partners Co., LLC</t>
  </si>
  <si>
    <t>ALLIANCE FINANCIAL RESOURCES</t>
  </si>
  <si>
    <t>J. Mark Heldenbrand PC</t>
  </si>
  <si>
    <t>Coast2Coast Mortgage, LLC</t>
  </si>
  <si>
    <t>Capital Eleven Auto, LLC dba Capital Auto Loan</t>
  </si>
  <si>
    <t>Barrett Motors, Inc.</t>
  </si>
  <si>
    <t>Hyperion Recovery LLC</t>
  </si>
  <si>
    <t>RedBrick Financial Group Inc.</t>
  </si>
  <si>
    <t>Emerald Coast Collections, LLC</t>
  </si>
  <si>
    <t>DebtEaze</t>
  </si>
  <si>
    <t>Bella Sloan Enterprises</t>
  </si>
  <si>
    <t>Credit Repair Anywhere</t>
  </si>
  <si>
    <t>Liberty Home Mortgage Corporation</t>
  </si>
  <si>
    <t>Biltmore Asset Management LLC</t>
  </si>
  <si>
    <t>DocuPrep Xpress</t>
  </si>
  <si>
    <t>MLB Residential Lending, LLC</t>
  </si>
  <si>
    <t>Creditors Specialty Northwest, Inc.</t>
  </si>
  <si>
    <t>Apoyo Financiero, Inc.</t>
  </si>
  <si>
    <t>Pluese, Becker &amp; Saltzman, LLC</t>
  </si>
  <si>
    <t>Equity Settlement Services, Inc.</t>
  </si>
  <si>
    <t>Gallatin Valley Financial</t>
  </si>
  <si>
    <t>Lafayette General Medical Center</t>
  </si>
  <si>
    <t>MCCABE, TROTTER &amp; BEVERLY, PC</t>
  </si>
  <si>
    <t>DIXIE FINANCE COMPANY</t>
  </si>
  <si>
    <t>Allen Tate Mortgage Services</t>
  </si>
  <si>
    <t>NATIONAL FUNDING, INC.</t>
  </si>
  <si>
    <t>BFS Capital Inc.</t>
  </si>
  <si>
    <t>Money Stash, L.L.C.</t>
  </si>
  <si>
    <t>Premier Mortgage Resources, LLC</t>
  </si>
  <si>
    <t>Mortgage Connect LP</t>
  </si>
  <si>
    <t>Newman &amp; Marquez, P.A.</t>
  </si>
  <si>
    <t>National Debt Group of NY</t>
  </si>
  <si>
    <t>BRIDGELOCK CAPITAL</t>
  </si>
  <si>
    <t>Ray Skillman Chevrolet Inc</t>
  </si>
  <si>
    <t>Broadway Account Services</t>
  </si>
  <si>
    <t>United Mortgage Lending LLC</t>
  </si>
  <si>
    <t>Healthcare Collection Specialists, Inc.</t>
  </si>
  <si>
    <t>CENTENNIAL LENDING, LLC</t>
  </si>
  <si>
    <t>Texan Financial Services Inc</t>
  </si>
  <si>
    <t>PRG Ventures, Inc</t>
  </si>
  <si>
    <t>Access Loan Services Inc.</t>
  </si>
  <si>
    <t>Universal Finance, Inc.</t>
  </si>
  <si>
    <t>Federal Trade Commission</t>
  </si>
  <si>
    <t>RCO Hawaii, LLLC</t>
  </si>
  <si>
    <t>BRAZOS LOAN SERVICING</t>
  </si>
  <si>
    <t>Asset Management Holdings, LLC</t>
  </si>
  <si>
    <t>FALONI &amp; ASSOCIATES, LLC</t>
  </si>
  <si>
    <t>Stein, Wiener &amp; Roth, LLP</t>
  </si>
  <si>
    <t>ASAP Credit Repair</t>
  </si>
  <si>
    <t>Colony Ridge Inc.</t>
  </si>
  <si>
    <t>Phoenix Management Solutions, L.L.C.</t>
  </si>
  <si>
    <t>Law Offices of Goldberg &amp; Oriel</t>
  </si>
  <si>
    <t>Receivable Recovery Partners LLC</t>
  </si>
  <si>
    <t>Schiller &amp; Knapp, LLP</t>
  </si>
  <si>
    <t>Central Credit Audit, Inc.</t>
  </si>
  <si>
    <t>The Star Financial</t>
  </si>
  <si>
    <t>FC LENDING, LTD.</t>
  </si>
  <si>
    <t>THIRD FINANCIAL SERVICES CORP</t>
  </si>
  <si>
    <t>DIRECT LENDERS LLC</t>
  </si>
  <si>
    <t>National Asset processing LLC</t>
  </si>
  <si>
    <t>Berco Finance Corp</t>
  </si>
  <si>
    <t>Financial Warranty LLC</t>
  </si>
  <si>
    <t>OAKTREE FUNDING CORPORATION</t>
  </si>
  <si>
    <t>Forthright Funding Corporation</t>
  </si>
  <si>
    <t>ZestFinance</t>
  </si>
  <si>
    <t>Washington Collectors Tri Cities Inc</t>
  </si>
  <si>
    <t>ShoulderTap Technologies, Inc. d/b/a Fizz</t>
  </si>
  <si>
    <t>Lendtable Inc.</t>
  </si>
  <si>
    <t>Smart Money Alliance</t>
  </si>
  <si>
    <t>Evergreen Acquistions, LLC</t>
  </si>
  <si>
    <t>ACCESS LOAN COMPANY</t>
  </si>
  <si>
    <t>Upstate Remedial Management Inc</t>
  </si>
  <si>
    <t>First Midwest Financial</t>
  </si>
  <si>
    <t>Metallicus, Inc.</t>
  </si>
  <si>
    <t>Nationwide Doc Prep Inc</t>
  </si>
  <si>
    <t>Shea Mortgage Inc.</t>
  </si>
  <si>
    <t>Cash Security, Inc.</t>
  </si>
  <si>
    <t>American Lending LLC</t>
  </si>
  <si>
    <t>Sunlan Corporation</t>
  </si>
  <si>
    <t>Mammoth Tech, Inc.</t>
  </si>
  <si>
    <t>LICTY, INC.</t>
  </si>
  <si>
    <t>Northern Service Bureau, Escanaba Inc.</t>
  </si>
  <si>
    <t>Ascend Consumer Finance, Inc.</t>
  </si>
  <si>
    <t>Barton Creek Auto Credit  LLC</t>
  </si>
  <si>
    <t>Northstar Education Finance Incorporated</t>
  </si>
  <si>
    <t>Elite Financial Services, Inc (MA)</t>
  </si>
  <si>
    <t>Middlesex Health Resources, Inc</t>
  </si>
  <si>
    <t>Sky Group USA, LLC</t>
  </si>
  <si>
    <t>JHL, LLC</t>
  </si>
  <si>
    <t>Receivable Management Inc.</t>
  </si>
  <si>
    <t>TDN Acquisition Corporation</t>
  </si>
  <si>
    <t>Key Mortgage Services</t>
  </si>
  <si>
    <t>Lyon Collection Services, Inc</t>
  </si>
  <si>
    <t>River City Mortgage LLC</t>
  </si>
  <si>
    <t>GSI  Recovery, LLC</t>
  </si>
  <si>
    <t>Clear Start Today</t>
  </si>
  <si>
    <t>Red Bishop LLC</t>
  </si>
  <si>
    <t>CRESCENT MORTGAGE COMPANY</t>
  </si>
  <si>
    <t>Alpine Financial Solutions, Inc.</t>
  </si>
  <si>
    <t>Ameritan Group Services</t>
  </si>
  <si>
    <t>Courtney &amp; Camp</t>
  </si>
  <si>
    <t>Dimand Law Offices, P.C.</t>
  </si>
  <si>
    <t>CLAYTON AUTOS, INC</t>
  </si>
  <si>
    <t>NCMI Corporation</t>
  </si>
  <si>
    <t>CENTURY MORTGAGE COMPANY</t>
  </si>
  <si>
    <t>Ace Motor Acceptance Corporation</t>
  </si>
  <si>
    <t>Strategic Dealer Services</t>
  </si>
  <si>
    <t>Pioneer Law Firm, P.C.</t>
  </si>
  <si>
    <t>St John Rossin &amp; Burr, PLLC</t>
  </si>
  <si>
    <t>Dwight Financial, Inc.</t>
  </si>
  <si>
    <t>Neighborhood Housing Services of Richmond, Inc</t>
  </si>
  <si>
    <t>LAKEVIEW LENDING LLC</t>
  </si>
  <si>
    <t>Diaz Anselmo Lindberg, P.A.</t>
  </si>
  <si>
    <t>Envios de Valores La Nacional Corp.</t>
  </si>
  <si>
    <t>3G+1, Inc. dba California Auto Finance</t>
  </si>
  <si>
    <t>Firsel Law Group, Ltd.</t>
  </si>
  <si>
    <t>Deal Depot, Inc.</t>
  </si>
  <si>
    <t>Olympus Lending LLC</t>
  </si>
  <si>
    <t>Mages &amp; Price LLC</t>
  </si>
  <si>
    <t>Woodlands Financial Services Inc</t>
  </si>
  <si>
    <t>Creditors' Service Bureau of Niles, Inc</t>
  </si>
  <si>
    <t>Hightechlendinginc</t>
  </si>
  <si>
    <t>Olde City Financial Inc.</t>
  </si>
  <si>
    <t>RD Fuller Company, LLC</t>
  </si>
  <si>
    <t>United Compliance Services, LLC</t>
  </si>
  <si>
    <t>Breit Investment</t>
  </si>
  <si>
    <t>JLU Asset Management Group LTD</t>
  </si>
  <si>
    <t>Alliant Cooperative Data Solutions</t>
  </si>
  <si>
    <t>LoanSnap, Inc.</t>
  </si>
  <si>
    <t>Town Square Mortgage &amp; Investments, LLC</t>
  </si>
  <si>
    <t>Thaddeus Bechtle Attorney at Law, LPC</t>
  </si>
  <si>
    <t>Revenue Systems, Inc.</t>
  </si>
  <si>
    <t>ONY GLO, INC.</t>
  </si>
  <si>
    <t>700 Credit Experts</t>
  </si>
  <si>
    <t>East Coast Funding Group</t>
  </si>
  <si>
    <t>LLOYD'S PLAN, INC.</t>
  </si>
  <si>
    <t>DELMAR FINANCIAL COMPANY</t>
  </si>
  <si>
    <t>Advanced Financial Company</t>
  </si>
  <si>
    <t>Doxo, Inc.</t>
  </si>
  <si>
    <t>Prepaid Ventures, LTD</t>
  </si>
  <si>
    <t>Law Offices of Krista L. White &amp; Associates, P.S.</t>
  </si>
  <si>
    <t>LAW OFFICE OF HALL AND ASSOCIATES</t>
  </si>
  <si>
    <t>1st Fidelity Loan Servicing</t>
  </si>
  <si>
    <t>Lend You Cash, Inc</t>
  </si>
  <si>
    <t>Rogers, Carter &amp; Payne, LLC</t>
  </si>
  <si>
    <t>Young America Holdings, LLC</t>
  </si>
  <si>
    <t>EdAid Limited</t>
  </si>
  <si>
    <t>Clarfield, Okon, Salomone and Pincus, P.L.</t>
  </si>
  <si>
    <t>Northern Arizona Credit, Inc.</t>
  </si>
  <si>
    <t>National Financial Group, Inc</t>
  </si>
  <si>
    <t>Title365 Holding Co.</t>
  </si>
  <si>
    <t>ACADEMIC SOLUTIONS OF NEW YORK, LLC</t>
  </si>
  <si>
    <t>Coast Acceptance Corporation</t>
  </si>
  <si>
    <t>Milestone Parrish LLC</t>
  </si>
  <si>
    <t>Accounts Receivables, Inc. (FL)</t>
  </si>
  <si>
    <t>Ridgeway Advisory Group LLC</t>
  </si>
  <si>
    <t>City First Mortgage Services, LLC.</t>
  </si>
  <si>
    <t>Allied Data Corporation</t>
  </si>
  <si>
    <t>Hogan Capital II, LLC</t>
  </si>
  <si>
    <t>Consumer Education Services, Inc.</t>
  </si>
  <si>
    <t>Crabtree Law, PA</t>
  </si>
  <si>
    <t>Great Western Financial Services, Inc.</t>
  </si>
  <si>
    <t>SBG Financial</t>
  </si>
  <si>
    <t>BID SOLUTIONS LLC</t>
  </si>
  <si>
    <t>TRACO INVESTMENT CORP</t>
  </si>
  <si>
    <t>SMS Check Recovery LLC</t>
  </si>
  <si>
    <t>Houser &amp; Allison, APC</t>
  </si>
  <si>
    <t>Seben Hospitality Investments LLC</t>
  </si>
  <si>
    <t>Grand Canyon Title, Agency, Inc.</t>
  </si>
  <si>
    <t>Advanced Recovery Systems, Inc. (PA)</t>
  </si>
  <si>
    <t>HANCOCK MORTGAGE PARTNERS LLC</t>
  </si>
  <si>
    <t>Legacy Customer Management Group, LLC</t>
  </si>
  <si>
    <t>Oak Tree Financial Inc.</t>
  </si>
  <si>
    <t>FIRST PRIORITY MORTGAGE, INC.</t>
  </si>
  <si>
    <t>Trusted Mortgage Capital Inc</t>
  </si>
  <si>
    <t>National Asset Advisors, LLC</t>
  </si>
  <si>
    <t>Consolidated Auto Sales, Inc.</t>
  </si>
  <si>
    <t>Atlanta Check Cashers, Inc</t>
  </si>
  <si>
    <t>Crown Mortgage Co.</t>
  </si>
  <si>
    <t>Larsen MacColl Partners II, L.P.</t>
  </si>
  <si>
    <t>Credit Services of Michigan</t>
  </si>
  <si>
    <t>My Mortgage, Inc.</t>
  </si>
  <si>
    <t>AE Tradings Inc</t>
  </si>
  <si>
    <t>USA Cash Services Management, Inc.</t>
  </si>
  <si>
    <t>Coast to Coast Commercial Collection</t>
  </si>
  <si>
    <t>NexGen Proceed, LLC</t>
  </si>
  <si>
    <t>PNB INTERNATIONAL INVESTMENTS CORPORATION</t>
  </si>
  <si>
    <t>Baxter Bailey &amp; Associates</t>
  </si>
  <si>
    <t>CU Alliance, LLC</t>
  </si>
  <si>
    <t>PC LEGAL SERVICES, LLC</t>
  </si>
  <si>
    <t>GUARDIAN MORTGAGE COMPANY, INC.</t>
  </si>
  <si>
    <t>Advanced Recovery Group LLC</t>
  </si>
  <si>
    <t>Mathes Management Enterprises, Inc.</t>
  </si>
  <si>
    <t>Jersey Mortgage Company of New Jersey, Inc.</t>
  </si>
  <si>
    <t>Partnerships &amp; Investments, LLC</t>
  </si>
  <si>
    <t>BitGo Holdings, Inc.</t>
  </si>
  <si>
    <t>J. Scott Watson</t>
  </si>
  <si>
    <t>Puerto Rico Consumer Debt Management Co., Inc.</t>
  </si>
  <si>
    <t>LYON SERVICES CORPORATION</t>
  </si>
  <si>
    <t>PROFESSIONAL BUSINESS BUREAU INC</t>
  </si>
  <si>
    <t>First American Solutions, LLC</t>
  </si>
  <si>
    <t>SC Opportunity Fund LLC</t>
  </si>
  <si>
    <t>Robert L. Tankel, P.A.</t>
  </si>
  <si>
    <t>Clear Mortgage Capital, Inc.</t>
  </si>
  <si>
    <t>Resurgence Capital, LLC</t>
  </si>
  <si>
    <t>TESORO FINANCIAL, LLC</t>
  </si>
  <si>
    <t>MDE Home Loans, LLC</t>
  </si>
  <si>
    <t>SENTE MORTGAGE</t>
  </si>
  <si>
    <t>American Credit Systems, Inc</t>
  </si>
  <si>
    <t>ADVANCED DEBT COLLECTION, INC.</t>
  </si>
  <si>
    <t>Auto Credit of Southern Ilinois</t>
  </si>
  <si>
    <t>AutoBank Financial, LLC</t>
  </si>
  <si>
    <t>DAS Inc</t>
  </si>
  <si>
    <t>MORTGAGE AMERICA, INC</t>
  </si>
  <si>
    <t>HARRIS, KLEIN ASSOCIATIES, INC.</t>
  </si>
  <si>
    <t>AKT AMERICAN CAPITAL, INC. DBA AMERICAN CAPITAL CORP.</t>
  </si>
  <si>
    <t>Integrated Mediation Solutions LLC</t>
  </si>
  <si>
    <t>SMS Financial, LLC</t>
  </si>
  <si>
    <t>Pine Court Holdings, LLC</t>
  </si>
  <si>
    <t>TCN Inc</t>
  </si>
  <si>
    <t>First Commonwealth Mortgage Corp.</t>
  </si>
  <si>
    <t>Rapid Investments Holdings, Inc</t>
  </si>
  <si>
    <t>FIRST ALLIANCE HOME MORTGAGE</t>
  </si>
  <si>
    <t>ASSOCIATED MORTGAGE BANKERS IN</t>
  </si>
  <si>
    <t>Avrutis &amp; Foeller, P.A.</t>
  </si>
  <si>
    <t>Stokes &amp; Wolf, P.C.</t>
  </si>
  <si>
    <t>Colorado Capital Investments, Inc.</t>
  </si>
  <si>
    <t>ALE Solutions, Inc.</t>
  </si>
  <si>
    <t>Golden Entropy Marketing Inc</t>
  </si>
  <si>
    <t>Icon Equities, LLC</t>
  </si>
  <si>
    <t>AUTO CREDIT USA</t>
  </si>
  <si>
    <t>Rental Kharma, Inc</t>
  </si>
  <si>
    <t>Integrity Financial Corp. DBA US Loan Servicing</t>
  </si>
  <si>
    <t>Student Debt USA, LLC</t>
  </si>
  <si>
    <t>JMC Leasing Specialties, LLC</t>
  </si>
  <si>
    <t>Secure One Financial Inc.</t>
  </si>
  <si>
    <t>United Docu Prep, Inc.</t>
  </si>
  <si>
    <t>Innovative Strategic Solutions</t>
  </si>
  <si>
    <t>VeriScreen Inc.</t>
  </si>
  <si>
    <t>Durrett Motor Company, Inc.</t>
  </si>
  <si>
    <t>Patriot Finance, LLC</t>
  </si>
  <si>
    <t>Integrity First Financial Group</t>
  </si>
  <si>
    <t>ASSOCIATED MORTGAGE CORP</t>
  </si>
  <si>
    <t>North Shore LIJ Health System</t>
  </si>
  <si>
    <t>Money Investigations, Inc.</t>
  </si>
  <si>
    <t>BRAUFMANN, LEIGHMANN &amp; ASSOCIATES</t>
  </si>
  <si>
    <t>International Collection Systems, Inc.</t>
  </si>
  <si>
    <t>BAYSHORE MORTGAGE FUNDING, LLC</t>
  </si>
  <si>
    <t>Ray Skillman Westside Imports Inc</t>
  </si>
  <si>
    <t>Tomo Networks, Inc.</t>
  </si>
  <si>
    <t>Delev &amp; Associates, LLC</t>
  </si>
  <si>
    <t>General Collections &amp; Recoveries, Inc.</t>
  </si>
  <si>
    <t>The Finance Co, LLC</t>
  </si>
  <si>
    <t>Ross Financial Recovery Group</t>
  </si>
  <si>
    <t>N&amp;S Partners</t>
  </si>
  <si>
    <t>Capital Collections, LLC</t>
  </si>
  <si>
    <t>BLUFI LENDING CORPORATION</t>
  </si>
  <si>
    <t>Jupiter PreOwned Sales LLC</t>
  </si>
  <si>
    <t>Fast Track Servicing</t>
  </si>
  <si>
    <t>Express Enrollment LLC</t>
  </si>
  <si>
    <t>Accounts Receivable Management, Inc</t>
  </si>
  <si>
    <t>Hans Capital Group dba H&amp;L Automotive Financial Services</t>
  </si>
  <si>
    <t>American Debt Consolidation</t>
  </si>
  <si>
    <t>MM Finance, LLC, Bellevue, NE Branch</t>
  </si>
  <si>
    <t>Consumer Adjustment Corp USA</t>
  </si>
  <si>
    <t>Lightning Mortgage Holding Company Inc</t>
  </si>
  <si>
    <t>Get Financed LLC</t>
  </si>
  <si>
    <t>Cass &amp; Associates</t>
  </si>
  <si>
    <t>Mayan, LLC</t>
  </si>
  <si>
    <t>Shechtman Halperin Savage, LLP</t>
  </si>
  <si>
    <t>WOLFE FINANCIAL, INC.</t>
  </si>
  <si>
    <t>Financial Solution Providers LLC</t>
  </si>
  <si>
    <t>Breit &amp; Boomsma, P.C.</t>
  </si>
  <si>
    <t>Phoenix Asset Group LLC</t>
  </si>
  <si>
    <t>Asset Acquisition Group, LLC</t>
  </si>
  <si>
    <t>EPA USA INC</t>
  </si>
  <si>
    <t>Iron Capital Group</t>
  </si>
  <si>
    <t>HARTFORD FUNDING, LTD</t>
  </si>
  <si>
    <t>Thomas &amp; Williams LLC</t>
  </si>
  <si>
    <t>MFG Financial, Inc.</t>
  </si>
  <si>
    <t>GL Financial, Inc.</t>
  </si>
  <si>
    <t>Friedman, Framme &amp; Thrush, P.A.</t>
  </si>
  <si>
    <t>National Home Buyer‚Äôs Alliance</t>
  </si>
  <si>
    <t>Becker and Poliakoff</t>
  </si>
  <si>
    <t>Amerifinance, Inc.</t>
  </si>
  <si>
    <t>Western Credit &amp; Collection Service, Inc.</t>
  </si>
  <si>
    <t>Sunshine State Credit</t>
  </si>
  <si>
    <t>Los Angeles Collection Service, Inc.</t>
  </si>
  <si>
    <t>Global Control, Inc.</t>
  </si>
  <si>
    <t>R&amp;M Marketing Associates LLC</t>
  </si>
  <si>
    <t>GERSHMAN INVESTMENT CORPORATION</t>
  </si>
  <si>
    <t>Mesa Auto Finance, LLC</t>
  </si>
  <si>
    <t>Quantum3 Group, LLC</t>
  </si>
  <si>
    <t>Hospital Services, Inc.</t>
  </si>
  <si>
    <t>Dolliemac, LLC dba Elite Document Management Solutions</t>
  </si>
  <si>
    <t>Saddleback Acceptance Corporation</t>
  </si>
  <si>
    <t>Integrity Group Inc</t>
  </si>
  <si>
    <t>Mechoopda Indian Tribe of Chico Rancheria</t>
  </si>
  <si>
    <t>Madison McDuffie Mortgage Corporation</t>
  </si>
  <si>
    <t>Catalyst Mortgage Inc.</t>
  </si>
  <si>
    <t>Thomas Kerns McKnight, LLP</t>
  </si>
  <si>
    <t>Professional Services of NY, Ltd.</t>
  </si>
  <si>
    <t>Alco Capital Group, LLC</t>
  </si>
  <si>
    <t>Johnson, Blumberg &amp; Associates, LLC</t>
  </si>
  <si>
    <t>Underwood James and Associates LLC</t>
  </si>
  <si>
    <t>TSG Collections, LLC</t>
  </si>
  <si>
    <t>Gusdorf Law Firm, LLC</t>
  </si>
  <si>
    <t>Law Office of Monica Guilarte LLC</t>
  </si>
  <si>
    <t>Red White and Blue Autos, Inc.</t>
  </si>
  <si>
    <t>CREDIT MANAGEMENT CORPORATION</t>
  </si>
  <si>
    <t>RCN Capital, LLC</t>
  </si>
  <si>
    <t>Contemporary Recovery Solutions Inc.</t>
  </si>
  <si>
    <t>Advanced Professional Group</t>
  </si>
  <si>
    <t>Sir Finance Corp</t>
  </si>
  <si>
    <t>Premier Account Management</t>
  </si>
  <si>
    <t>DRIVEiT Holdings, Inc.</t>
  </si>
  <si>
    <t>Carbucks of Delaware, Inc</t>
  </si>
  <si>
    <t>American Acceptance Corp. of South Carolina</t>
  </si>
  <si>
    <t>PHOENIX EQUITY PARTNERS LLC</t>
  </si>
  <si>
    <t>First National Auto Sales, Inc</t>
  </si>
  <si>
    <t>Woodward Capital LLC</t>
  </si>
  <si>
    <t>Allied Capital Management, Inc.</t>
  </si>
  <si>
    <t>SF-ALP, LLC</t>
  </si>
  <si>
    <t>GEORGETOWN MORTGAGE, INC.</t>
  </si>
  <si>
    <t>Peoples Credit Inc.</t>
  </si>
  <si>
    <t>Next Door Lending LLC</t>
  </si>
  <si>
    <t>Glenn Associates, Inc.</t>
  </si>
  <si>
    <t>M &amp; S FUNDING, INC.</t>
  </si>
  <si>
    <t>Linear Title &amp; Closing, Ltd</t>
  </si>
  <si>
    <t>Integras Capital Recovery LLC</t>
  </si>
  <si>
    <t>Boone &amp; Associates Group LLC</t>
  </si>
  <si>
    <t>Richard A. Weidel Corporation</t>
  </si>
  <si>
    <t>Auto Credit Corporation of Jonesboro, iNC.</t>
  </si>
  <si>
    <t>Meridian Buyer‚Äôs Group</t>
  </si>
  <si>
    <t>ROCKY POINT CAPITAL LLC</t>
  </si>
  <si>
    <t>Thunderbird Finance Management, LC</t>
  </si>
  <si>
    <t>Professional Recovery of Longmont, Inc.</t>
  </si>
  <si>
    <t>Taurus Law Group, P.C.</t>
  </si>
  <si>
    <t>CF Funding</t>
  </si>
  <si>
    <t>Logan View LLC</t>
  </si>
  <si>
    <t>LUMINATE HOME LOANS, INC.</t>
  </si>
  <si>
    <t>Pacific Residential Mortgage</t>
  </si>
  <si>
    <t>SpeedyCash, Inc.</t>
  </si>
  <si>
    <t>Blue Brick Financial LLC</t>
  </si>
  <si>
    <t>North Capital Recovery Services</t>
  </si>
  <si>
    <t>Lakeside Receivables LLC</t>
  </si>
  <si>
    <t>Richard B. Maner, P. C.</t>
  </si>
  <si>
    <t>RRD Financial LLC</t>
  </si>
  <si>
    <t>Complete Professional Recovery LLC</t>
  </si>
  <si>
    <t>The Accounts Retrievable System, Inc.</t>
  </si>
  <si>
    <t>Account Outsourcing Group, LLC</t>
  </si>
  <si>
    <t>Moyer Brown Holdings Enterprise, LLC</t>
  </si>
  <si>
    <t>Saints Recovery Group, Inc.</t>
  </si>
  <si>
    <t>K A P S &amp; CO (USA) LLC</t>
  </si>
  <si>
    <t>Orchard Mortgage, LLC</t>
  </si>
  <si>
    <t>Nae-Mo Corp dba Matthews &amp; Michaels</t>
  </si>
  <si>
    <t>National Loan Investors LP</t>
  </si>
  <si>
    <t>Rapid Mortgage Company</t>
  </si>
  <si>
    <t>Law Office of Stephen P. Lamb</t>
  </si>
  <si>
    <t>Lansing Professional Business Bureau,Inc</t>
  </si>
  <si>
    <t>Dirick, Inc.</t>
  </si>
  <si>
    <t>AMERICAN SECURITY MORTGAGE CORPORATION</t>
  </si>
  <si>
    <t>Jet Direct Funding Corp</t>
  </si>
  <si>
    <t>Figliola &amp; Romano, LLC</t>
  </si>
  <si>
    <t>Ray Skillman Ford Inc</t>
  </si>
  <si>
    <t>Nadler &amp; Associates, P.C.</t>
  </si>
  <si>
    <t>Atlas Capital, Inc.</t>
  </si>
  <si>
    <t>Solace Financial, LLC</t>
  </si>
  <si>
    <t>YES AUTO CREDIT</t>
  </si>
  <si>
    <t>Elly, LLC</t>
  </si>
  <si>
    <t>Premier Auto Sales, Inc.</t>
  </si>
  <si>
    <t>MIRACLE FINANCE LTD</t>
  </si>
  <si>
    <t>CCBA Inc.</t>
  </si>
  <si>
    <t>Roberts Law, LLC</t>
  </si>
  <si>
    <t>Consumer Credit Services, LLC</t>
  </si>
  <si>
    <t>American Enterprises International, Inc.</t>
  </si>
  <si>
    <t>LAWGIX LAWYERS, LLC</t>
  </si>
  <si>
    <t>Regional Trustee Services Corporation</t>
  </si>
  <si>
    <t>Nelson, Cooper &amp; Ortiz, LLC</t>
  </si>
  <si>
    <t>Automotive Partners Funding</t>
  </si>
  <si>
    <t>Bonded Collections of Rice Lake Inc</t>
  </si>
  <si>
    <t>GREENTREE MORTGAGE CO. L.P.</t>
  </si>
  <si>
    <t>Northern Arizona Creditors Service, Inc.</t>
  </si>
  <si>
    <t>PALOMAR ENTERPRISES, LLC</t>
  </si>
  <si>
    <t>JP Jensen Collections, LLC</t>
  </si>
  <si>
    <t>Account Information Management Corporation</t>
  </si>
  <si>
    <t>Greenlink Financial, LLC</t>
  </si>
  <si>
    <t>Merrick, Costello &amp; Walsh, LLC.</t>
  </si>
  <si>
    <t>OTR Fund I, LLC</t>
  </si>
  <si>
    <t>Bushwood Capital Group, Inc.</t>
  </si>
  <si>
    <t>Tiffany &amp; Tiffany PLLC</t>
  </si>
  <si>
    <t>Evans Law Associates, P.C.</t>
  </si>
  <si>
    <t>CreditGUARD of America, Inc.</t>
  </si>
  <si>
    <t>Student Aid Experts</t>
  </si>
  <si>
    <t>Douglas L. Brooks, PC</t>
  </si>
  <si>
    <t>Central Atlantic Sales Inc. T/A Priority Buy Here Pay Here</t>
  </si>
  <si>
    <t>Rothstein Acquisitions LLC</t>
  </si>
  <si>
    <t>AMERICAN FINANCIAL MORTGAGE COMPANY</t>
  </si>
  <si>
    <t>Asset Complaint Solutions</t>
  </si>
  <si>
    <t>Lighthouse Finance Solutions LLC</t>
  </si>
  <si>
    <t>Cornerstone Mediation LLC</t>
  </si>
  <si>
    <t>Eastern Management Group LLC</t>
  </si>
  <si>
    <t>American Credit Exchange, Inc</t>
  </si>
  <si>
    <t>Hypotec Inc.</t>
  </si>
  <si>
    <t>1 Auto Finance, Inc.</t>
  </si>
  <si>
    <t>Halliday, Watkins &amp; Mann, P.C.</t>
  </si>
  <si>
    <t>Apex Funding Group, Inc.</t>
  </si>
  <si>
    <t>Credit Regulating Services, Inc.</t>
  </si>
  <si>
    <t>Continental Currency Services, Inc.</t>
  </si>
  <si>
    <t>The Barton Law Group, LLC</t>
  </si>
  <si>
    <t>AMERICAN FEDERAL MORTGAGE CORPORATION</t>
  </si>
  <si>
    <t>Student Debt Center LLC</t>
  </si>
  <si>
    <t>Inter &amp; Co Payments, Inc.</t>
  </si>
  <si>
    <t>Money Tree Lending</t>
  </si>
  <si>
    <t>NOTE SERVICING CENTER, INC.</t>
  </si>
  <si>
    <t>North American Collectors, Inc.</t>
  </si>
  <si>
    <t>Bayside Recovery Services, Inc.</t>
  </si>
  <si>
    <t>Seed Consulting, LLC</t>
  </si>
  <si>
    <t>Poser Investments, Inc.</t>
  </si>
  <si>
    <t>Universal Capital Services, Inc.</t>
  </si>
  <si>
    <t>Federal Student Loan Doc Prep LLC</t>
  </si>
  <si>
    <t>Courtesy Loans of Oklahoma LLC.</t>
  </si>
  <si>
    <t>Consumer Credit Counseling Service of the Midwest, Inc.</t>
  </si>
  <si>
    <t>The Castle Law Group, LLC (Closed)</t>
  </si>
  <si>
    <t>GETM INCORPORATED</t>
  </si>
  <si>
    <t>Title Security Agency LLC</t>
  </si>
  <si>
    <t>PRIMERA FINANCIAL CORP.</t>
  </si>
  <si>
    <t>The Orange Coast Company, LLC</t>
  </si>
  <si>
    <t>CBC Mortgage Agency</t>
  </si>
  <si>
    <t>Green Mountain Capital, LLC</t>
  </si>
  <si>
    <t>TOWNE MORTGAGE, LLC</t>
  </si>
  <si>
    <t>George Gusses Co., L.P.A.</t>
  </si>
  <si>
    <t>Wilshire Escrow Company</t>
  </si>
  <si>
    <t>SHARP COLLECTIONS, INC</t>
  </si>
  <si>
    <t>Arias Bosinger</t>
  </si>
  <si>
    <t>HKM and Associates</t>
  </si>
  <si>
    <t>Sonnek &amp; Goldblatt, Ltd.</t>
  </si>
  <si>
    <t>MEMBER MORTGAGE SERVICES</t>
  </si>
  <si>
    <t>Prim and Mendheim</t>
  </si>
  <si>
    <t>MAS Associates, LLC</t>
  </si>
  <si>
    <t>The Check Cashing Place, Inc.</t>
  </si>
  <si>
    <t>LL Capital Partners II, L.P.</t>
  </si>
  <si>
    <t>Portage Financial Services Company Inc.</t>
  </si>
  <si>
    <t>Orange Tree Holdings LLC</t>
  </si>
  <si>
    <t>Educational Loan Servicing, LLC</t>
  </si>
  <si>
    <t>VIN Title LLC d/b/a Discount Title Loan</t>
  </si>
  <si>
    <t>Collection Solutions Inc.</t>
  </si>
  <si>
    <t>Apex Processing</t>
  </si>
  <si>
    <t>Durango Credit and Collection Company, Inc.</t>
  </si>
  <si>
    <t>MAGGUILLI LAW FIRM, PLLC</t>
  </si>
  <si>
    <t>Integra Auto Capital</t>
  </si>
  <si>
    <t>Auto Finance Center</t>
  </si>
  <si>
    <t>Currencies Direct Inc.</t>
  </si>
  <si>
    <t>Alessi &amp; Koenig, LLC</t>
  </si>
  <si>
    <t>Revenue Cycle Management</t>
  </si>
  <si>
    <t>Wexford &amp; James LLC</t>
  </si>
  <si>
    <t>EZ FUNDINGS Inc.</t>
  </si>
  <si>
    <t>Atlantic Mortgage and Funding, Inc.</t>
  </si>
  <si>
    <t>Forward Funding Group, Inc.</t>
  </si>
  <si>
    <t>Horizon Debt Group, LLC</t>
  </si>
  <si>
    <t>Vonda J. Dunn, P.C.</t>
  </si>
  <si>
    <t>RCS Capital Partners, Inc.</t>
  </si>
  <si>
    <t>Five Clans Lending LLC</t>
  </si>
  <si>
    <t>Multi-Financial Services, Inc.</t>
  </si>
  <si>
    <t>Cliff Lending Inc. d/b/a Advance Loan Solutions</t>
  </si>
  <si>
    <t>Magnum Association Services</t>
  </si>
  <si>
    <t>Mineola Texas Star, LLC.</t>
  </si>
  <si>
    <t>Woods Oviatt Gilman LLP</t>
  </si>
  <si>
    <t>Koster's Cash Loans</t>
  </si>
  <si>
    <t>Northern Resolution Services</t>
  </si>
  <si>
    <t>RUPP AND ASSOCIATES, INC.</t>
  </si>
  <si>
    <t>DynaGen Lending, LLC</t>
  </si>
  <si>
    <t>Amigos Pr√©stamos</t>
  </si>
  <si>
    <t>Paragon Credit Services</t>
  </si>
  <si>
    <t>Neighborhood Housing Services of NYC</t>
  </si>
  <si>
    <t>Scott Kroner PLC</t>
  </si>
  <si>
    <t>SUMMIT MORTGAGE CORPORATION</t>
  </si>
  <si>
    <t>Accounts Recovery Agency Inc.</t>
  </si>
  <si>
    <t>Market Place Mortgage Corp.</t>
  </si>
  <si>
    <t>Underwood Law Firm, LLC</t>
  </si>
  <si>
    <t>Quality Lenders Inc</t>
  </si>
  <si>
    <t>Vouch Financial Inc.</t>
  </si>
  <si>
    <t>PRIORITY HOME MORTGAGE, L.P.</t>
  </si>
  <si>
    <t>Core Capital Lending LLC</t>
  </si>
  <si>
    <t>Finance Store Inc.</t>
  </si>
  <si>
    <t>National Credit Care, LLC</t>
  </si>
  <si>
    <t>Riehlman Shafer and Shaw LLC</t>
  </si>
  <si>
    <t>Instant Cash Advance Corp.</t>
  </si>
  <si>
    <t>Allied Fidelity Services, LLC</t>
  </si>
  <si>
    <t>Sullivan &amp; Terranova</t>
  </si>
  <si>
    <t>National Credit Processing Inc.</t>
  </si>
  <si>
    <t>KeyStone Financial ,LLC</t>
  </si>
  <si>
    <t>Suncoast Financial Group, LLC</t>
  </si>
  <si>
    <t>Pinnacle Finance LLC</t>
  </si>
  <si>
    <t>Credit Bureau of Northern California Collections Services Inc</t>
  </si>
  <si>
    <t>SOLERA LLC</t>
  </si>
  <si>
    <t>Law Offices of Gary H. Kreppel P.C.</t>
  </si>
  <si>
    <t>LHM Financial</t>
  </si>
  <si>
    <t>Schrier &amp; Tolin, LLC</t>
  </si>
  <si>
    <t>PayNearMe MT, Inc.</t>
  </si>
  <si>
    <t>Greyhound Capital Group LLC</t>
  </si>
  <si>
    <t>Jemcap LLC</t>
  </si>
  <si>
    <t>HFG Holdings, Inc.</t>
  </si>
  <si>
    <t>Cimmaron Escrow Inc.</t>
  </si>
  <si>
    <t>Premier Consumer Credit Counseling, Inc.</t>
  </si>
  <si>
    <t>Check N Title Loans</t>
  </si>
  <si>
    <t>UNIVERSAL ACCOUNTS LLC</t>
  </si>
  <si>
    <t>First Financial of Columbia, Inc</t>
  </si>
  <si>
    <t>Russell P Goldman PC</t>
  </si>
  <si>
    <t>North Dakota Housing Finance Agency</t>
  </si>
  <si>
    <t>Anytime Cash Solutions LLC</t>
  </si>
  <si>
    <t>Ok Finance Group INC</t>
  </si>
  <si>
    <t>Freedom Financial Capital LLC</t>
  </si>
  <si>
    <t>Eagle Collection Corp.</t>
  </si>
  <si>
    <t>Preferred Capital Funding of Illinois, LLC</t>
  </si>
  <si>
    <t>Brother Loan &amp; Finance Co.</t>
  </si>
  <si>
    <t>COAST 2 COAST FUNDING GROUP</t>
  </si>
  <si>
    <t>Valer Enterprises, Inc</t>
  </si>
  <si>
    <t>Jason Michael Katz, P.C.</t>
  </si>
  <si>
    <t>Baker Recovery Services</t>
  </si>
  <si>
    <t>CAPITAL CENTER LLC</t>
  </si>
  <si>
    <t>Harbor Front Acquisitions LLC (Closed)</t>
  </si>
  <si>
    <t>Meridian Financial Solutions Inc</t>
  </si>
  <si>
    <t>Hall &amp; Ludlam, PLLC</t>
  </si>
  <si>
    <t>Jon D. Curtis, Attorney at Law</t>
  </si>
  <si>
    <t>Sol Acceptance</t>
  </si>
  <si>
    <t>International Financial Management</t>
  </si>
  <si>
    <t>Residential Home Mortgage Corporation</t>
  </si>
  <si>
    <t>Whipple Law, P.A.</t>
  </si>
  <si>
    <t>HUNTER FINANCIAL GROUP, LLC</t>
  </si>
  <si>
    <t>Wyoming Credit Association</t>
  </si>
  <si>
    <t>Veterans Relief Services LLC</t>
  </si>
  <si>
    <t>MORTGAGE UNLIMITED, LLC</t>
  </si>
  <si>
    <t>Lexington Capital Holdings LTD</t>
  </si>
  <si>
    <t>DebtHelp, Inc</t>
  </si>
  <si>
    <t>Parrish and Lebar, LLP</t>
  </si>
  <si>
    <t>ATLANTIC COAST MORTGAGE, LLC</t>
  </si>
  <si>
    <t>Discovery Auto Sales LLC</t>
  </si>
  <si>
    <t>CMM of Louisiana, LLC</t>
  </si>
  <si>
    <t>City First Mortgage Corp</t>
  </si>
  <si>
    <t>Pomelo International, Inc</t>
  </si>
  <si>
    <t>GMH Associates Inc.</t>
  </si>
  <si>
    <t>The Law Office of Nicole Hillman</t>
  </si>
  <si>
    <t>RN Financial, LLC</t>
  </si>
  <si>
    <t>River Financial Inc.</t>
  </si>
  <si>
    <t>Preston Clark &amp; Quinn</t>
  </si>
  <si>
    <t>Law Offices of Michael Lupolover</t>
  </si>
  <si>
    <t>Advantage Financial Services, LLC</t>
  </si>
  <si>
    <t>Rogers, Morris &amp; Ziegler, LLP</t>
  </si>
  <si>
    <t>PREFERRED MORTGAGE CORPORATION</t>
  </si>
  <si>
    <t>Alisa Katz Campbell, P.C.</t>
  </si>
  <si>
    <t>Nala Payments LLC</t>
  </si>
  <si>
    <t>NERD SOLUTIONS INC</t>
  </si>
  <si>
    <t>Casesa Bowden Barlow, P.A.</t>
  </si>
  <si>
    <t>Smith Carroad Wan &amp; Parikh, P.C.</t>
  </si>
  <si>
    <t>Landlord Rent Collections, LLC (Closed)</t>
  </si>
  <si>
    <t>Northland Healthcare Alliance</t>
  </si>
  <si>
    <t>Business Credit Management Associates</t>
  </si>
  <si>
    <t>Midwest Recovery Fund, LLC</t>
  </si>
  <si>
    <t>Credit Supreme LLC</t>
  </si>
  <si>
    <t>SUPERIOR DEBT RECOVERY LLC</t>
  </si>
  <si>
    <t>DEPENDABLE CREDIT CORP</t>
  </si>
  <si>
    <t>First Choice Lending Services, LLC</t>
  </si>
  <si>
    <t>VETERIS CAPITAL LLC</t>
  </si>
  <si>
    <t>Wisconsin Housing and Economic Development Authority</t>
  </si>
  <si>
    <t>Cambrian Group</t>
  </si>
  <si>
    <t>Lendgo, Inc.</t>
  </si>
  <si>
    <t>OS National, LLC</t>
  </si>
  <si>
    <t>LENCO FINANCE OF CARENCRO, INC</t>
  </si>
  <si>
    <t>Keaveney Legal Group, LLC</t>
  </si>
  <si>
    <t>CUSO Home Lending</t>
  </si>
  <si>
    <t>Square One Financial, LLC</t>
  </si>
  <si>
    <t>Williams Kastner &amp; Gibbs PLLC</t>
  </si>
  <si>
    <t>Midpoint Law Group, P.C</t>
  </si>
  <si>
    <t>REISENFELD &amp; ASSOCIATES LPA, LLC</t>
  </si>
  <si>
    <t>Home Headquarters Inc</t>
  </si>
  <si>
    <t>EMORY ENTERPRISES, LLC</t>
  </si>
  <si>
    <t>WCDA WYOMING COMMUNITY DEVELOPMENT AUTHORITY</t>
  </si>
  <si>
    <t>CALM, Inc.</t>
  </si>
  <si>
    <t>Jet Lending Inc.</t>
  </si>
  <si>
    <t>Polk Auto Finance Inc</t>
  </si>
  <si>
    <t>Amity Associates LLC</t>
  </si>
  <si>
    <t>Kauntey Mediation Services LLC</t>
  </si>
  <si>
    <t>TEAM USA MORTGAGE L.L.C.</t>
  </si>
  <si>
    <t>Alvamar Financial</t>
  </si>
  <si>
    <t>AMRON PROFESSIONAL SERVICES</t>
  </si>
  <si>
    <t>Crystal Motorsports, LLC</t>
  </si>
  <si>
    <t>Kingston Mediation Services</t>
  </si>
  <si>
    <t>LENDING COMPANY, INC., THE</t>
  </si>
  <si>
    <t>Ascend One Corporation</t>
  </si>
  <si>
    <t>Tri-Emerald Financial Group, Inc.</t>
  </si>
  <si>
    <t>AutoStar Finance, Inc - D/B/A Atlanta AutoStar</t>
  </si>
  <si>
    <t>The Dunning Law Firm APC</t>
  </si>
  <si>
    <t>New Direction, Inc</t>
  </si>
  <si>
    <t>Cohn &amp; Dussi LLC</t>
  </si>
  <si>
    <t>American Liberty Mortgage, Inc.</t>
  </si>
  <si>
    <t>Endeavor Capital, LLC</t>
  </si>
  <si>
    <t>ATM OPS INC</t>
  </si>
  <si>
    <t>Professional Receivable Solutions</t>
  </si>
  <si>
    <t>Capstone Capital USA, LLC</t>
  </si>
  <si>
    <t>Coastal Settlement Recovery Inc.</t>
  </si>
  <si>
    <t>Allies for Community Business</t>
  </si>
  <si>
    <t>Capitol Loans</t>
  </si>
  <si>
    <t>Cornerstone Legal Group, LLC</t>
  </si>
  <si>
    <t>Web Source Market LLC/DBA Collection Shield 360</t>
  </si>
  <si>
    <t>Consumer Information Bureau</t>
  </si>
  <si>
    <t>Genessee Financial</t>
  </si>
  <si>
    <t>REGAL CREDIT CORPORATION</t>
  </si>
  <si>
    <t>Swan Financial Corporation</t>
  </si>
  <si>
    <t>The B &amp; F Corporation d/b/a OK Loan Service</t>
  </si>
  <si>
    <t>Global Check Recovery, INC</t>
  </si>
  <si>
    <t>Premier Lending Corp</t>
  </si>
  <si>
    <t>GARDEN STATE HOME LOANS INCORPORATED</t>
  </si>
  <si>
    <t>Evident Capital LLC</t>
  </si>
  <si>
    <t>Codilis &amp; Stawarski, P.C.</t>
  </si>
  <si>
    <t>Prospect Recovery Solutions LLC</t>
  </si>
  <si>
    <t>ABSOLUTE FINANCIAL SERVICES, INC</t>
  </si>
  <si>
    <t>GOOGAIN, INC.</t>
  </si>
  <si>
    <t>CREDIT BUREAU OF BISMARCK, INC.</t>
  </si>
  <si>
    <t>EZ Loans, Inc.</t>
  </si>
  <si>
    <t>Priority Financial Network</t>
  </si>
  <si>
    <t>Temple View Capital Funding, LP</t>
  </si>
  <si>
    <t>Go Companies, LLC</t>
  </si>
  <si>
    <t>River City Finance Co., Inc.</t>
  </si>
  <si>
    <t>Cars Financial, Inc</t>
  </si>
  <si>
    <t>Secure Lending Incorporated</t>
  </si>
  <si>
    <t>Revenued LLC</t>
  </si>
  <si>
    <t>Phelan Hallinan Diamond &amp; Jones, LLP</t>
  </si>
  <si>
    <t>Nationwide Loan Consultants and Advisors, LLC</t>
  </si>
  <si>
    <t>CREDIT ASSOCIATES, INC. (OR)</t>
  </si>
  <si>
    <t>Lending Tower LLC</t>
  </si>
  <si>
    <t>Healthcare Receivable Professionals, LLC</t>
  </si>
  <si>
    <t>Small &amp; Small, Attorneys PLLC</t>
  </si>
  <si>
    <t>SSRM</t>
  </si>
  <si>
    <t>Consumer Counseling Centers LLC</t>
  </si>
  <si>
    <t>Locate Source America, LLC</t>
  </si>
  <si>
    <t>Sum Investments, Inc.</t>
  </si>
  <si>
    <t>Debt Management Holdings LLC</t>
  </si>
  <si>
    <t>ARTICLE ACCEPTANCE COMPANY</t>
  </si>
  <si>
    <t>The Collection Agency LLC</t>
  </si>
  <si>
    <t>Tavelli Co., Inc. dba Tavco Credit Services</t>
  </si>
  <si>
    <t>Pohler and Associates, LLC</t>
  </si>
  <si>
    <t>Norman &amp; Associates, Inc.</t>
  </si>
  <si>
    <t>VERITEX HOLDINGS, INC.</t>
  </si>
  <si>
    <t>Law Offices of Alan J. Waintraub PLLC</t>
  </si>
  <si>
    <t>Dynamic Dedicated Financial Partnerships</t>
  </si>
  <si>
    <t>391 Financial, Inc.</t>
  </si>
  <si>
    <t>The Home Loan Expert LLC</t>
  </si>
  <si>
    <t>The Law Offices of Erskine and Fleisher</t>
  </si>
  <si>
    <t>South West Recovery Inc (CA)</t>
  </si>
  <si>
    <t>Nations Mortgage LLC</t>
  </si>
  <si>
    <t>Signature Performance Tiburon, LLC</t>
  </si>
  <si>
    <t>Chaos Home Loans LLC</t>
  </si>
  <si>
    <t>Consumer Attorneys of America, P.A.</t>
  </si>
  <si>
    <t>Prime Credit Corporation</t>
  </si>
  <si>
    <t>Beacon Funding Corporation</t>
  </si>
  <si>
    <t>Fairfax Consolidated, LLC</t>
  </si>
  <si>
    <t>Sky Blue Financial Services, Inc.</t>
  </si>
  <si>
    <t>GMS Holdings, Inc.</t>
  </si>
  <si>
    <t>FIRST CONSUMER, LLC</t>
  </si>
  <si>
    <t>Local Finance LLC</t>
  </si>
  <si>
    <t>AMERICAN EAGLE MORTGAGE COMPANY</t>
  </si>
  <si>
    <t>Continental Credit, LLC</t>
  </si>
  <si>
    <t>Students First Limited Liability Co.</t>
  </si>
  <si>
    <t>Utah Loan Servicing, LLC</t>
  </si>
  <si>
    <t>Investigation &amp; Recovery Assoc. LLC</t>
  </si>
  <si>
    <t>Kiwi Financial Inc.</t>
  </si>
  <si>
    <t>Empire Home Loans, Inc.</t>
  </si>
  <si>
    <t>Debt Recovery Specialists</t>
  </si>
  <si>
    <t>Elite Debt Brokers</t>
  </si>
  <si>
    <t>Primary Capital Mortgage, LLC</t>
  </si>
  <si>
    <t>PRESTAMOS RAPIDITOS</t>
  </si>
  <si>
    <t>New Horizons Finance Company, Inc</t>
  </si>
  <si>
    <t>Coconut Funding Corporation</t>
  </si>
  <si>
    <t>Red River Collections Inc.</t>
  </si>
  <si>
    <t>FISHER FINANCIAL GROUP, INCORPORATED</t>
  </si>
  <si>
    <t>DallasAutos4Less</t>
  </si>
  <si>
    <t>Barrett Asset Recovery Services, LLC.</t>
  </si>
  <si>
    <t>24 Asset Management Corp</t>
  </si>
  <si>
    <t>Galt Financial Solutions, LLC</t>
  </si>
  <si>
    <t>Fair Resolutions, Inc.</t>
  </si>
  <si>
    <t>Panamerican Consulting</t>
  </si>
  <si>
    <t>WALDEN ASSET MANAGEMENT LLC (Closed)</t>
  </si>
  <si>
    <t>Coulter Dove &amp; Harris, PC</t>
  </si>
  <si>
    <t>Wetherington Hamilton, P.A.</t>
  </si>
  <si>
    <t>Accelerated Recovery Services, Inc</t>
  </si>
  <si>
    <t>SINGLETARY &amp; THRASH-JACKSON, P.A.</t>
  </si>
  <si>
    <t>HomePlus Corporation</t>
  </si>
  <si>
    <t>Home Point Mortgage Acceptance Corporation</t>
  </si>
  <si>
    <t>Credit Reporting Services LLC</t>
  </si>
  <si>
    <t>Orbita Asset Purchasing</t>
  </si>
  <si>
    <t>Cochren Bailey &amp; Associates, LLC</t>
  </si>
  <si>
    <t>Oregon Credit &amp; Collections Bureau, Inc.</t>
  </si>
  <si>
    <t>Auto Masters, LLC</t>
  </si>
  <si>
    <t>BULBUL INVESTMENTS LLC</t>
  </si>
  <si>
    <t>Diamond Funding Corporation</t>
  </si>
  <si>
    <t>Premier Mortgage, LLC</t>
  </si>
  <si>
    <t>UPSTATE PREMIER MORTGAGE, INC</t>
  </si>
  <si>
    <t>NDS, LLC.</t>
  </si>
  <si>
    <t>Wagner Financial Services, Inc.</t>
  </si>
  <si>
    <t>Search ROI, LLC</t>
  </si>
  <si>
    <t>Charter Financial Services, Inc.</t>
  </si>
  <si>
    <t>American Lending Solutions, LLC</t>
  </si>
  <si>
    <t>MEDALLION MORTGAGE COMPANY</t>
  </si>
  <si>
    <t>Richard Stone &amp; Associates</t>
  </si>
  <si>
    <t>Point Up Inc</t>
  </si>
  <si>
    <t>Columbus Capital Lending, LLC, Miami, FL Branch</t>
  </si>
  <si>
    <t>Unifirst Mortgage Corporation</t>
  </si>
  <si>
    <t>Nexcheck, LLC</t>
  </si>
  <si>
    <t>ADVANTAGE RECOVERY SERVICES, INC.</t>
  </si>
  <si>
    <t>READY MORTGAGE LENDERS LLC</t>
  </si>
  <si>
    <t>Aaron Worldwide Collections Inc.</t>
  </si>
  <si>
    <t>Helping Hand Financial, Inc</t>
  </si>
  <si>
    <t>Rapid Collection Systems, Inc.</t>
  </si>
  <si>
    <t>Rose Agency Inc.</t>
  </si>
  <si>
    <t>South West Recovery, Inc.</t>
  </si>
  <si>
    <t>Van Horn Automotive Group, Inc.</t>
  </si>
  <si>
    <t>MCS CLAIMS SERVICES, INC</t>
  </si>
  <si>
    <t>Lou Harris Company</t>
  </si>
  <si>
    <t>Lang, Richert &amp; Patch</t>
  </si>
  <si>
    <t>FM Home Loans, LLC</t>
  </si>
  <si>
    <t>WD Global Group, LLC</t>
  </si>
  <si>
    <t>Karwaala Inc</t>
  </si>
  <si>
    <t>CMCO Mortgage, LLC</t>
  </si>
  <si>
    <t>The Borland Law Firm, LLC (Closed)</t>
  </si>
  <si>
    <t>Debt Freedom Attorneys</t>
  </si>
  <si>
    <t>MILLENIUM HOME MORTGAGE LLC</t>
  </si>
  <si>
    <t>First Atlantic Auto Credit LLC</t>
  </si>
  <si>
    <t>Intelligent Mortgage and Consulting Services LLC</t>
  </si>
  <si>
    <t>Credit Bureau of Howell County, LLC</t>
  </si>
  <si>
    <t>Innovative Debt Solutions</t>
  </si>
  <si>
    <t>Wasserstein, P.A.</t>
  </si>
  <si>
    <t>Alliance Credit Services, Inc.</t>
  </si>
  <si>
    <t>HOMETRUST MORTGAGE COMPANY</t>
  </si>
  <si>
    <t>Drees Company, Inc.</t>
  </si>
  <si>
    <t>GET A RATE LLC</t>
  </si>
  <si>
    <t>Elderlife Financial Services, LLC</t>
  </si>
  <si>
    <t>D'Aquila, Contreras and Vega, A Professional Law Corporation</t>
  </si>
  <si>
    <t>Grace Period, Inc.</t>
  </si>
  <si>
    <t>CN Collections, Inc.</t>
  </si>
  <si>
    <t>NorAm Capital Holdings, Inc.</t>
  </si>
  <si>
    <t>NorthShore Financial, L.L.C.</t>
  </si>
  <si>
    <t>JBS Finance, Inc.</t>
  </si>
  <si>
    <t>Car Credit Inc</t>
  </si>
  <si>
    <t>Cars America Inc.</t>
  </si>
  <si>
    <t>Capital Auto Credit, LLC</t>
  </si>
  <si>
    <t>Fidelity Account Services LLC</t>
  </si>
  <si>
    <t>Zo Financial, Inc.</t>
  </si>
  <si>
    <t>Network Services, Inc</t>
  </si>
  <si>
    <t>AMERIPRO FUNDING, INC.</t>
  </si>
  <si>
    <t>Ashner Group Inc</t>
  </si>
  <si>
    <t>Boek, Inc.</t>
  </si>
  <si>
    <t>Mountain West Legal Solutions, PLLC</t>
  </si>
  <si>
    <t>Alamo Premier Mortgage Group Inc</t>
  </si>
  <si>
    <t>E Z CASH OF DELAWARE, INC.</t>
  </si>
  <si>
    <t>Professional Mitigation Services, Inc</t>
  </si>
  <si>
    <t>Escrow and Title Services, Inc.</t>
  </si>
  <si>
    <t>Marvel &amp; Maloney, P.C.</t>
  </si>
  <si>
    <t>SE Capital Corp dba Credito Familiar</t>
  </si>
  <si>
    <t>Volunteer Mortgage Inc</t>
  </si>
  <si>
    <t>GARRETT FIRM</t>
  </si>
  <si>
    <t>Cronheim &amp; Larsson, LLC</t>
  </si>
  <si>
    <t>Cypress Financial Recoveries, L.L.C., OCALA, FL Branch</t>
  </si>
  <si>
    <t>Logan Finance Corporation</t>
  </si>
  <si>
    <t>Zimmerman &amp; Zimmerman, P.A.</t>
  </si>
  <si>
    <t>CITYWIDE HOME LOANS</t>
  </si>
  <si>
    <t>Obligo Inc.</t>
  </si>
  <si>
    <t>Straley &amp; Otto, P.A.</t>
  </si>
  <si>
    <t>RGV Loans LLC</t>
  </si>
  <si>
    <t>CONTINENTAL MORTGAGE BANKERS</t>
  </si>
  <si>
    <t>Innovative Debt Recovery, Inc.</t>
  </si>
  <si>
    <t>Residential Title &amp; Escrow Co</t>
  </si>
  <si>
    <t>Performance SLC</t>
  </si>
  <si>
    <t>Vanz, LLC</t>
  </si>
  <si>
    <t>Bristol Point Financial, Inc.</t>
  </si>
  <si>
    <t>MORTGAGE COUNSELING CENTER</t>
  </si>
  <si>
    <t>The Winn Brown Law Firm, LLC</t>
  </si>
  <si>
    <t>Strada Education Network, Inc.</t>
  </si>
  <si>
    <t>RESOURCE PRO</t>
  </si>
  <si>
    <t>Synergy One Lending, Inc.</t>
  </si>
  <si>
    <t>AMERIPRISE BANK, FSB</t>
  </si>
  <si>
    <t>Modern Mortgage Financial, LLC</t>
  </si>
  <si>
    <t>Paris and Paris, LLP</t>
  </si>
  <si>
    <t>Lon Inc.</t>
  </si>
  <si>
    <t>ALL FAMILY FINANCE, LLC</t>
  </si>
  <si>
    <t>Ronald B. Rich &amp; Associates, PLC</t>
  </si>
  <si>
    <t>LMS Services, Inc.</t>
  </si>
  <si>
    <t>Customer Service Mortgage Corporation</t>
  </si>
  <si>
    <t>Credential Acceptance Corporation</t>
  </si>
  <si>
    <t>Heights Finance LLC</t>
  </si>
  <si>
    <t>America‚Äôs Financial Choice, Inc.</t>
  </si>
  <si>
    <t>Lipsky &amp; Associates, Inc</t>
  </si>
  <si>
    <t>PREMIER HOME MORTGAGE, INC.</t>
  </si>
  <si>
    <t>Pangea Universal Holdings, Inc.</t>
  </si>
  <si>
    <t>Total Financial Services, Inc</t>
  </si>
  <si>
    <t>MedRecovery Solutions, LLC</t>
  </si>
  <si>
    <t>GEM Financial</t>
  </si>
  <si>
    <t>WESTERN MASS CREDIT CORP.</t>
  </si>
  <si>
    <t>Carchoice of Memphis, Inc.</t>
  </si>
  <si>
    <t>Simon PLC Attorneys &amp; Counselors</t>
  </si>
  <si>
    <t>FAN Distributing, LLC</t>
  </si>
  <si>
    <t>Goldman Asset Services, INC</t>
  </si>
  <si>
    <t>Lexington Mortgage Corporation</t>
  </si>
  <si>
    <t>Duke Capital, LLC</t>
  </si>
  <si>
    <t>CMCS, Inc. DBA Central Mercantile Collection Services</t>
  </si>
  <si>
    <t>Integrity First Lending LLC</t>
  </si>
  <si>
    <t>Great Marten Holdings, Inc.</t>
  </si>
  <si>
    <t>C &amp; E Financial Group, Inc.</t>
  </si>
  <si>
    <t>Alaska Cascade Financial Services, Inc.</t>
  </si>
  <si>
    <t>Bell Financial Services</t>
  </si>
  <si>
    <t>Prime Source Mortgage, Inc</t>
  </si>
  <si>
    <t>SOUTHERN CASCADES FINANCE CORPORATION</t>
  </si>
  <si>
    <t>Alliance Acceptance Corp.</t>
  </si>
  <si>
    <t>FNZ WMS HOLDCO LLC</t>
  </si>
  <si>
    <t>Harbor Legal Group, LLC</t>
  </si>
  <si>
    <t>LoanNow, LLC  (Closed)</t>
  </si>
  <si>
    <t>Residential Mortgage Solutions, Inc.</t>
  </si>
  <si>
    <t>Family Credit Management</t>
  </si>
  <si>
    <t>FORTIFI FUNDING III LLC</t>
  </si>
  <si>
    <t>Credit Connection LLC</t>
  </si>
  <si>
    <t>FIRST PRIORITY FINANCIAL INC</t>
  </si>
  <si>
    <t>Tpls, Inc dba Auto Master</t>
  </si>
  <si>
    <t>Probate Advance Holdco, LLC</t>
  </si>
  <si>
    <t>Medical Debt Recovery, Inc.</t>
  </si>
  <si>
    <t>Cohen, Roberts &amp; Associates, LLC</t>
  </si>
  <si>
    <t>TCF &amp; ASSOCIATES</t>
  </si>
  <si>
    <t>Montage Mortgage, LLC</t>
  </si>
  <si>
    <t>Adsen &amp; Associates, LLC</t>
  </si>
  <si>
    <t>Cawthorn, Deskevich &amp; Gavin, P.c.</t>
  </si>
  <si>
    <t>Howell &amp; Vail, LLP</t>
  </si>
  <si>
    <t>Bakkt Opco Holdings, LLC</t>
  </si>
  <si>
    <t>Levy Diamond Bello &amp; Associates, LLC</t>
  </si>
  <si>
    <t>Link Revenue Resources, LLC</t>
  </si>
  <si>
    <t>Sterling  Hill Financial</t>
  </si>
  <si>
    <t>Capstone Funding Group, Inc.</t>
  </si>
  <si>
    <t>The Rickel Law Firm, P.C.</t>
  </si>
  <si>
    <t>Schneiderman &amp; Sherman P.C.</t>
  </si>
  <si>
    <t>Allied Union Group Inc</t>
  </si>
  <si>
    <t>Noyes Law Firm P.C.</t>
  </si>
  <si>
    <t>Credit Adjustment, Inc</t>
  </si>
  <si>
    <t>Thomas F. Farrell, P.C.</t>
  </si>
  <si>
    <t>SETTLEMENT CORP</t>
  </si>
  <si>
    <t>THE J.D. STUART LAW GROUP, LLC</t>
  </si>
  <si>
    <t>A &amp; A North American Financial, LLC</t>
  </si>
  <si>
    <t>Trinity Enterprises Partners, LLC</t>
  </si>
  <si>
    <t>Rescue 1 Financial, LLC</t>
  </si>
  <si>
    <t>MRS Collections LLC</t>
  </si>
  <si>
    <t>Great Lakes Home Mortgage, Inc.</t>
  </si>
  <si>
    <t>Genesis Recovery Services, Inc.</t>
  </si>
  <si>
    <t>Ballato Law Firm, P.C.</t>
  </si>
  <si>
    <t>Hamilton National Mortgage Company</t>
  </si>
  <si>
    <t>Merriman Investments, LLC</t>
  </si>
  <si>
    <t>Bright Side Loans, LLC</t>
  </si>
  <si>
    <t>Chesmar Homes</t>
  </si>
  <si>
    <t>US Mortgage Resolution LLC</t>
  </si>
  <si>
    <t>People Trust</t>
  </si>
  <si>
    <t>E. Margriet Langenberg, P.C.</t>
  </si>
  <si>
    <t>Chambless, Math, Carr, P.C.</t>
  </si>
  <si>
    <t>Routhmeir Sterling Inc.</t>
  </si>
  <si>
    <t>INTERIM CAPITAL GROUP, INC.</t>
  </si>
  <si>
    <t>Validify, LLC</t>
  </si>
  <si>
    <t>Finular Group, Inc.</t>
  </si>
  <si>
    <t>Ewing &amp; Ewing Attorneys, P.C.</t>
  </si>
  <si>
    <t>Ambassador Mortgage, LLC</t>
  </si>
  <si>
    <t>Law Offices of Jeffrey Nadel</t>
  </si>
  <si>
    <t>Coast Collection Agency Inc</t>
  </si>
  <si>
    <t>Devon Financial Services, Inc.</t>
  </si>
  <si>
    <t>Check Recovery Group</t>
  </si>
  <si>
    <t>FinanceCo of Kansas, Inc</t>
  </si>
  <si>
    <t>Imperial Finance Corp</t>
  </si>
  <si>
    <t>ENRAMEX INC</t>
  </si>
  <si>
    <t>SI Mortgage Comapny Co.</t>
  </si>
  <si>
    <t>Diamond Advances LLC</t>
  </si>
  <si>
    <t>Financial Solutions of America Inc.</t>
  </si>
  <si>
    <t>Open Road Finance Corporation</t>
  </si>
  <si>
    <t>Avalanche Title and Escrow, LLC</t>
  </si>
  <si>
    <t>FS Card Inc.</t>
  </si>
  <si>
    <t>BANKERS MORTGAGE CORPORATION</t>
  </si>
  <si>
    <t>Blue Front Financial, LLC d/b/a Ladder Loans</t>
  </si>
  <si>
    <t>ROBERT TIMMS AND ASSOCIATES INC.</t>
  </si>
  <si>
    <t>Pangaea International Receivable Services Inc.</t>
  </si>
  <si>
    <t>West Law Group, PLLC</t>
  </si>
  <si>
    <t>Portfolio Investment Exchange, Inc.</t>
  </si>
  <si>
    <t>AFM Financial Services, LLC</t>
  </si>
  <si>
    <t>Mungo Financial Group</t>
  </si>
  <si>
    <t>Alacrity Collections Corporation</t>
  </si>
  <si>
    <t>R.C. Temme Corporation</t>
  </si>
  <si>
    <t>SunnyHill Financial, Inc.</t>
  </si>
  <si>
    <t>Office of Brockman &amp; Rollins, LLC</t>
  </si>
  <si>
    <t>Red River Collection Company, Inc.</t>
  </si>
  <si>
    <t>Pankey &amp; Horlock, LLC</t>
  </si>
  <si>
    <t>Jeremy Doppelt Realty Management LLC Defined Benefit Plan</t>
  </si>
  <si>
    <t>Liberty Debt Relief LLC</t>
  </si>
  <si>
    <t>Lost Lake Finance, LLC</t>
  </si>
  <si>
    <t>Wilco Finance, Inc</t>
  </si>
  <si>
    <t>Tarpon Financial Corporation</t>
  </si>
  <si>
    <t>Jackson Automotive Resources</t>
  </si>
  <si>
    <t>AutoCred, Inc.</t>
  </si>
  <si>
    <t>Stream Innovations Inc.</t>
  </si>
  <si>
    <t>Keystone Lending Alliance, LLC</t>
  </si>
  <si>
    <t>Mills Escrow Company</t>
  </si>
  <si>
    <t>Nationwide Judgement Recovery, Inc.</t>
  </si>
  <si>
    <t>Activus Corporation</t>
  </si>
  <si>
    <t>Legal Logix Inc.</t>
  </si>
  <si>
    <t>The Lemoine Group, Inc</t>
  </si>
  <si>
    <t>Calvin Dean Homolka II</t>
  </si>
  <si>
    <t>Susan J. Szwed, P.A.</t>
  </si>
  <si>
    <t>COMPASS MORTGAGE, INC.</t>
  </si>
  <si>
    <t>Old Dominion Mortgage Co., Inc</t>
  </si>
  <si>
    <t>Albuquerque Auto Outlet</t>
  </si>
  <si>
    <t>HMSV Financial Services, Inc.</t>
  </si>
  <si>
    <t>HOMETOWN EQUITY MORTGAGE</t>
  </si>
  <si>
    <t>Homeward, Inc.</t>
  </si>
  <si>
    <t>I thinkt his bank got acquired...</t>
  </si>
  <si>
    <t>ARBOR MORTGAGE</t>
  </si>
  <si>
    <t>Midwestern Audit Services, Inc</t>
  </si>
  <si>
    <t>Catch Financial Inc</t>
  </si>
  <si>
    <t>Mickel Law Firm. P.A.</t>
  </si>
  <si>
    <t>Nation One Mortgage Corporation</t>
  </si>
  <si>
    <t>Friedman Law Associates, PC</t>
  </si>
  <si>
    <t>VIP Mortgage Inc.</t>
  </si>
  <si>
    <t>G&amp;L Wise Financial, Inc.</t>
  </si>
  <si>
    <t>Amerifund Home Mortgage LLC</t>
  </si>
  <si>
    <t>Hunt Leibert Jacobson, P.C.</t>
  </si>
  <si>
    <t>West Bay Leasing Services, LLC</t>
  </si>
  <si>
    <t>Fendelman &amp; Associates, LLC</t>
  </si>
  <si>
    <t>Taylor Arbitration,LLC</t>
  </si>
  <si>
    <t>American Debt Services, LLC</t>
  </si>
  <si>
    <t>Korn Law Firm, P.A.</t>
  </si>
  <si>
    <t>Friedman &amp; Associates, LLC</t>
  </si>
  <si>
    <t>AZ Home Loans, LLC</t>
  </si>
  <si>
    <t>Success Mortgage, LLC</t>
  </si>
  <si>
    <t>Law Firm of Karl Frankovitch</t>
  </si>
  <si>
    <t>Prober &amp; Raphael, A Law Corporation</t>
  </si>
  <si>
    <t>Automotive Funding Group, Inc</t>
  </si>
  <si>
    <t>New Start Financial</t>
  </si>
  <si>
    <t>Rivertown Credit LLC</t>
  </si>
  <si>
    <t>Debt Restoration Services</t>
  </si>
  <si>
    <t>FirstLine Financial, Inc.</t>
  </si>
  <si>
    <t>Liberty Loan Co inc.</t>
  </si>
  <si>
    <t>Checkbook Inc</t>
  </si>
  <si>
    <t>Spina &amp; Lavelle, P.C.</t>
  </si>
  <si>
    <t>Alperstein and Associates, LLC</t>
  </si>
  <si>
    <t>AAA Credit Bureau, Inc.</t>
  </si>
  <si>
    <t>Backgrounds Online</t>
  </si>
  <si>
    <t>MLH Financial Services, Inc.</t>
  </si>
  <si>
    <t>Southwest Law Offices PC</t>
  </si>
  <si>
    <t>Mortgage Network Solutions LLC</t>
  </si>
  <si>
    <t>RDK Collections Inc.</t>
  </si>
  <si>
    <t>BlueYield, Inc.</t>
  </si>
  <si>
    <t>CHN Housing Partners</t>
  </si>
  <si>
    <t>C&amp;H INVESTMENTS, INC.</t>
  </si>
  <si>
    <t>Crimcheck Holdings, LLC</t>
  </si>
  <si>
    <t>HOME LENDING GROUP, LLC, THE</t>
  </si>
  <si>
    <t>i3 Lending, Inc</t>
  </si>
  <si>
    <t>1st Capital Finance of South Carolina, Inc.</t>
  </si>
  <si>
    <t>OPES ADVISORS, INC.</t>
  </si>
  <si>
    <t>CoreTitle, LLC</t>
  </si>
  <si>
    <t>Golden Green Services LLC</t>
  </si>
  <si>
    <t>Key Star Capital, LLC</t>
  </si>
  <si>
    <t>Dependable Debt Recovery</t>
  </si>
  <si>
    <t>Central Atlantic Legal Group, PLLC, t/a Booth, Strange &amp; Daniel</t>
  </si>
  <si>
    <t>City Select Auto Sales</t>
  </si>
  <si>
    <t>Tiempo Finance Company Inc</t>
  </si>
  <si>
    <t>Mezu, Inc</t>
  </si>
  <si>
    <t>Registered Mediation Associates LLC</t>
  </si>
  <si>
    <t>The Collection Analyst Incorporated</t>
  </si>
  <si>
    <t>Homie Technology, Inc</t>
  </si>
  <si>
    <t>Groves Capital, Inc.</t>
  </si>
  <si>
    <t>Panteris &amp; Panteris, LLP</t>
  </si>
  <si>
    <t>Global Financial Mortgage, LLC.</t>
  </si>
  <si>
    <t>Empire Financial Services, Inc.</t>
  </si>
  <si>
    <t>Advantage Credit Bureau Inc.</t>
  </si>
  <si>
    <t>C&amp;I Financial, Inc.</t>
  </si>
  <si>
    <t>Mason, Schilling &amp; Mason Co., LPA</t>
  </si>
  <si>
    <t>Greyhill Financial</t>
  </si>
  <si>
    <t>Pinnacle Lending Group, Inc.</t>
  </si>
  <si>
    <t>DAVIDSON FINK LLP</t>
  </si>
  <si>
    <t>TIDEWATER MORTGAGE SERVICES</t>
  </si>
  <si>
    <t>Alternative Revenue Systems, Inc</t>
  </si>
  <si>
    <t>Evesham Mortgage, LLC</t>
  </si>
  <si>
    <t>Second Chance Collections, LLC</t>
  </si>
  <si>
    <t>Premier Auto Finance of South Florida</t>
  </si>
  <si>
    <t>General Acceptance LLC</t>
  </si>
  <si>
    <t>Miller Investment Group, Inc DBA AutoNow</t>
  </si>
  <si>
    <t>3D Financial, LP</t>
  </si>
  <si>
    <t>Brian A. Blitz, P.A.</t>
  </si>
  <si>
    <t>1st Money Center, Inc., Hurst, TX Branch</t>
  </si>
  <si>
    <t>Professional Systems of Mankato, Inc.</t>
  </si>
  <si>
    <t>Allied Enrollment Centers LLC</t>
  </si>
  <si>
    <t>LCJ Consultants, LLC.</t>
  </si>
  <si>
    <t>United First, LLC</t>
  </si>
  <si>
    <t>USA Credit Solutions, Inc</t>
  </si>
  <si>
    <t>Medical Services Inc</t>
  </si>
  <si>
    <t>David A. Bauer, P.C.</t>
  </si>
  <si>
    <t>PARKS TITLE COMPANY</t>
  </si>
  <si>
    <t>CRC Holding, LLC</t>
  </si>
  <si>
    <t>Wholesale Tradelines</t>
  </si>
  <si>
    <t>WAMM Sales, LLC d/b/a Auto Simple</t>
  </si>
  <si>
    <t>Reali, Inc.</t>
  </si>
  <si>
    <t>Smoky Management, LLC</t>
  </si>
  <si>
    <t>Complete Care, Inc.</t>
  </si>
  <si>
    <t>Holst &amp; Boettcher, LLP</t>
  </si>
  <si>
    <t>Certified Credit Associates, Inc.</t>
  </si>
  <si>
    <t>ANSELL GRIMM &amp; AARON, P.C.</t>
  </si>
  <si>
    <t>BARRONS MORTGAGE GROUP LTD</t>
  </si>
  <si>
    <t>Cashco Financial Services, Inc</t>
  </si>
  <si>
    <t>Tier Capital, LLC</t>
  </si>
  <si>
    <t>Brian Kvarfordt</t>
  </si>
  <si>
    <t>SHD Legal Group, P.A.</t>
  </si>
  <si>
    <t>ALLOCATED BUSINESS MANAGEMENT LLC</t>
  </si>
  <si>
    <t>Banc One Mortgage Corporation</t>
  </si>
  <si>
    <t>Sago Financial, Inc.</t>
  </si>
  <si>
    <t>LT17 Services LLC</t>
  </si>
  <si>
    <t>Tiptree Financial Inc.</t>
  </si>
  <si>
    <t>Sawaya, Rose, McClure &amp; Wilhite, P.C.</t>
  </si>
  <si>
    <t>Adobe Settlement Group, LLC</t>
  </si>
  <si>
    <t>Lowther Johnson Attorneys at Law, LLC</t>
  </si>
  <si>
    <t>Atkins &amp; Ogle Law Offices, LC</t>
  </si>
  <si>
    <t>Sapphire Marketing Group, Inc.</t>
  </si>
  <si>
    <t>Twin City Motors Inc</t>
  </si>
  <si>
    <t>Direct Mortgage, Corp.</t>
  </si>
  <si>
    <t>Broder Credit &amp; Collection Service</t>
  </si>
  <si>
    <t>Standard Financial of Louisiana, LLC</t>
  </si>
  <si>
    <t>Developers Mortgage Co.</t>
  </si>
  <si>
    <t>OPT-OUT SERVICES, LLC</t>
  </si>
  <si>
    <t>AFJ Systems, Inc.</t>
  </si>
  <si>
    <t>ESM Enterprises</t>
  </si>
  <si>
    <t>Lipsey, Morrison, Waller &amp; Lipsey, P.C.</t>
  </si>
  <si>
    <t>Kivell, Rayment and Francis, P.C.</t>
  </si>
  <si>
    <t>Master Finance Corporation</t>
  </si>
  <si>
    <t>Evans &amp; Mullinix, PA</t>
  </si>
  <si>
    <t>INSPERITY INC</t>
  </si>
  <si>
    <t>LEVEL 4 FUNDING LLC</t>
  </si>
  <si>
    <t>TCAR Inc</t>
  </si>
  <si>
    <t>LINCOLN MORTGAGE COMPANY</t>
  </si>
  <si>
    <t>ONEGO Inc.</t>
  </si>
  <si>
    <t>Innovative Mortgage Services, Inc.</t>
  </si>
  <si>
    <t>PRIORITY FUNDING, LLC</t>
  </si>
  <si>
    <t>ACCEPTANCE CAPITAL MORTGAGE</t>
  </si>
  <si>
    <t>Envision Payment Solutions, Inc.</t>
  </si>
  <si>
    <t>The Law Firm of Ryan E. Calef and Associates, LLC</t>
  </si>
  <si>
    <t>TFC Credit Corporation</t>
  </si>
  <si>
    <t>Preferred Finanical Services Corporation</t>
  </si>
  <si>
    <t>Bubba Hill Auto Plaza Inc</t>
  </si>
  <si>
    <t>The Claims Center LLC</t>
  </si>
  <si>
    <t>ARAKI-REGAN &amp; ASSOCIATES LLC</t>
  </si>
  <si>
    <t>Dankos Gordon &amp; Tucker PC</t>
  </si>
  <si>
    <t>National Settlement Services, Inc</t>
  </si>
  <si>
    <t>Columbia Credits, Inc</t>
  </si>
  <si>
    <t>Southern Credit LLC</t>
  </si>
  <si>
    <t>Neighhood Housing Services of Chicago Inc</t>
  </si>
  <si>
    <t>Automotive Financial Services</t>
  </si>
  <si>
    <t>Activity Collection Service</t>
  </si>
  <si>
    <t>Windy City Capital Management, LLC</t>
  </si>
  <si>
    <t>HomeXpress Mortgage Corp.</t>
  </si>
  <si>
    <t>Kuber Financial, LLC</t>
  </si>
  <si>
    <t>Neighborhood Housing Services of Toledo, Inc.</t>
  </si>
  <si>
    <t>Milby Law Offices P.A.</t>
  </si>
  <si>
    <t>Independent Finance Company LLC</t>
  </si>
  <si>
    <t>TreeMac Funding Group, LLC</t>
  </si>
  <si>
    <t>Johnstown Credit Bureau, Inc.</t>
  </si>
  <si>
    <t>Payday Loan, LLC (CA)</t>
  </si>
  <si>
    <t>BOC Capital Corp.</t>
  </si>
  <si>
    <t>The Collection Bureau Inc.</t>
  </si>
  <si>
    <t>Kostka and Associates, LLC</t>
  </si>
  <si>
    <t>Peak Legal Advocates</t>
  </si>
  <si>
    <t>FundLoans Capital</t>
  </si>
  <si>
    <t>Medical Debt Resolution, Inc. dba RIP Medical Debt</t>
  </si>
  <si>
    <t>First Student Services</t>
  </si>
  <si>
    <t>Mexico Transfers, Inc.</t>
  </si>
  <si>
    <t>Downeast Capital, Inc.</t>
  </si>
  <si>
    <t>Rothman Evans, P.C.</t>
  </si>
  <si>
    <t>GTL Investments, Inc.</t>
  </si>
  <si>
    <t>West Bay Recovery, Inc.</t>
  </si>
  <si>
    <t>Payday Motors, Inc.</t>
  </si>
  <si>
    <t>Frontline Financial, LLC</t>
  </si>
  <si>
    <t>Weinstock, Friedman, &amp; Friedman, P.A.</t>
  </si>
  <si>
    <t>American Mortgage Services,  Inc</t>
  </si>
  <si>
    <t>Market Mortgage Company, LTD</t>
  </si>
  <si>
    <t>Capital Home Advocacy Center</t>
  </si>
  <si>
    <t>Elite Portfolio Management, LLC</t>
  </si>
  <si>
    <t>Association Financial Services, LLC</t>
  </si>
  <si>
    <t>Pilgrim Mortgage LLC</t>
  </si>
  <si>
    <t>Graystone Funding Company, LLC</t>
  </si>
  <si>
    <t>Money Now- Hattiesburg, Inc.</t>
  </si>
  <si>
    <t>Leading Edge Solutions, LLC</t>
  </si>
  <si>
    <t>Sterling Home Loans Inc</t>
  </si>
  <si>
    <t>First Title &amp; Escrow, Inc</t>
  </si>
  <si>
    <t>PacWest Credit, LTD</t>
  </si>
  <si>
    <t>Medvetta Collection Services Inc.</t>
  </si>
  <si>
    <t>Phelan Hallinan &amp; Jones, LLC</t>
  </si>
  <si>
    <t>Automated Recovery Systems of New Mexico, Inc</t>
  </si>
  <si>
    <t>Patch Homes, Inc. dba Noah</t>
  </si>
  <si>
    <t>Bakalar &amp; Associates, P. A.</t>
  </si>
  <si>
    <t>LoanLeaders of America, Inc.</t>
  </si>
  <si>
    <t>First Loan Choice</t>
  </si>
  <si>
    <t>Sammamish Mortgage Company</t>
  </si>
  <si>
    <t>Extreme Loans LLC</t>
  </si>
  <si>
    <t>Trebar Financial Services, Inc.</t>
  </si>
  <si>
    <t>Sterling Asset Resolution LLC</t>
  </si>
  <si>
    <t>Open Assets LLC</t>
  </si>
  <si>
    <t>Murphy Law Office, LLC</t>
  </si>
  <si>
    <t>GVC MORTGAGE</t>
  </si>
  <si>
    <t>Your Credit Loans, Inc.</t>
  </si>
  <si>
    <t>TheTenn Inc.</t>
  </si>
  <si>
    <t>Solvent Plus LLC</t>
  </si>
  <si>
    <t>Prodebtco LLC</t>
  </si>
  <si>
    <t>Cornerstone Residential Lending Solutions, Inc</t>
  </si>
  <si>
    <t>Credit Recovery Consultants</t>
  </si>
  <si>
    <t>Exchange Finance Company</t>
  </si>
  <si>
    <t>Management Core Solutions, Inc.</t>
  </si>
  <si>
    <t>PASSAGE HEALTH INTERNATIONAL HOLDINGS, INC.</t>
  </si>
  <si>
    <t>Atlantica, LLC</t>
  </si>
  <si>
    <t>Credit Solutions LLC</t>
  </si>
  <si>
    <t>JFK FINANCIAL INC.</t>
  </si>
  <si>
    <t>United Home Loan Services Inc.</t>
  </si>
  <si>
    <t>Revol Collections Ltd</t>
  </si>
  <si>
    <t>Amati &amp; Associates LLC</t>
  </si>
  <si>
    <t>Credit Council Corp</t>
  </si>
  <si>
    <t>Mezzetti Financial Services, Inc.</t>
  </si>
  <si>
    <t>Sign on the Line, Inc.</t>
  </si>
  <si>
    <t>M2 Law Group PC</t>
  </si>
  <si>
    <t>CIRN, INC.</t>
  </si>
  <si>
    <t>Holiday Finance Corporation</t>
  </si>
  <si>
    <t>Tayne Law Group, P. C.</t>
  </si>
  <si>
    <t>StanleyAFE, LLC</t>
  </si>
  <si>
    <t>Central Capital Arbitration Firm, LLC</t>
  </si>
  <si>
    <t>ALPHA MORTGAGE CORPORATION</t>
  </si>
  <si>
    <t>Red Rock Financial of Cedar City</t>
  </si>
  <si>
    <t>SUBURBAN MORTGAGE, INC.</t>
  </si>
  <si>
    <t>Neighborhood Title Loans I</t>
  </si>
  <si>
    <t>CFS of Aurora IL LLC</t>
  </si>
  <si>
    <t>Smart Auto Leasing</t>
  </si>
  <si>
    <t>Pivot Financial Partners, Inc.</t>
  </si>
  <si>
    <t>David A. Gallo &amp; Associates, LLP</t>
  </si>
  <si>
    <t>FAIRWAY FUNDING GROUP, INC</t>
  </si>
  <si>
    <t>ML Credit Holdings, LLC</t>
  </si>
  <si>
    <t>CAP Management Company</t>
  </si>
  <si>
    <t>SML Capital, Inc.</t>
  </si>
  <si>
    <t>Collection Specialists, Inc.</t>
  </si>
  <si>
    <t>Cash In Minutes</t>
  </si>
  <si>
    <t>Allegiant Receivables Solutions, Inc</t>
  </si>
  <si>
    <t>MILLS LTD. dba Credit Bureau of Klamath County</t>
  </si>
  <si>
    <t>LAGO Funding Corp.</t>
  </si>
  <si>
    <t>FAST AND FAIR COLLECTION SOLUTIONS, LLC</t>
  </si>
  <si>
    <t>MOTORS FINANCIAL ACCEPTANCE CORPORATION</t>
  </si>
  <si>
    <t>Law Offices of Alan Mege</t>
  </si>
  <si>
    <t>FRANK &amp; ISRAEL LTD.</t>
  </si>
  <si>
    <t>Keys Auto Finance Inc</t>
  </si>
  <si>
    <t>IT'S TIME - CREDIT REPAIR LLC</t>
  </si>
  <si>
    <t>Watercress Financial Group LLC</t>
  </si>
  <si>
    <t>Crawford &amp; von Keller, LLC</t>
  </si>
  <si>
    <t>Arative Technologies LLC  (Bancoli)</t>
  </si>
  <si>
    <t>Martell &amp; Ozim, PA</t>
  </si>
  <si>
    <t>Donna Armenta Law</t>
  </si>
  <si>
    <t>Debt Solutions Inc</t>
  </si>
  <si>
    <t>Vander Financial, LLC</t>
  </si>
  <si>
    <t>Cosmo Credit Repair</t>
  </si>
  <si>
    <t>Vendor Resource Management, Inc.</t>
  </si>
  <si>
    <t>Stonebridge Lending Inc.</t>
  </si>
  <si>
    <t>Equity National Title and Closing Services, Inc.</t>
  </si>
  <si>
    <t>Burns, Burns, Walsh &amp; Walsh, PA</t>
  </si>
  <si>
    <t>Highline Automotive Inc.</t>
  </si>
  <si>
    <t>Anchor Financial, Inc.</t>
  </si>
  <si>
    <t>JLO Ventures LLC dba Car By U</t>
  </si>
  <si>
    <t>Ross, Stuart &amp; Dawson Inc</t>
  </si>
  <si>
    <t>Robert Homfeld Credit Trust</t>
  </si>
  <si>
    <t>Home Approvals Direct, Inc.</t>
  </si>
  <si>
    <t>MortgageOne, Inc.</t>
  </si>
  <si>
    <t>Olympus Law Firm, PLLC</t>
  </si>
  <si>
    <t>Rothberg Logan &amp; Warsco LLP</t>
  </si>
  <si>
    <t>Professional Datasolutions, Inc.</t>
  </si>
  <si>
    <t>FINANTA FEDERAL CREDIT UNION</t>
  </si>
  <si>
    <t>PRO MORTGAGE ASSOCIATES, INC</t>
  </si>
  <si>
    <t>Ponca Finance Co. Inc</t>
  </si>
  <si>
    <t>Stream Auto Outlet</t>
  </si>
  <si>
    <t>Student Debt Consolidating</t>
  </si>
  <si>
    <t>Accessity</t>
  </si>
  <si>
    <t>Digital Currency Group Inc</t>
  </si>
  <si>
    <t>Integra Holdings Inc.</t>
  </si>
  <si>
    <t>PayZen, Inc.</t>
  </si>
  <si>
    <t>Central Valley Receivables</t>
  </si>
  <si>
    <t>Security Capital Funding Corp.</t>
  </si>
  <si>
    <t>NorthStar Settlement Services, LLC</t>
  </si>
  <si>
    <t>Mortgage Origination Holdings LLC</t>
  </si>
  <si>
    <t>William Lyon Mortgage LLC</t>
  </si>
  <si>
    <t>CASTLE ROCK</t>
  </si>
  <si>
    <t>Neil Huffman Automobiles Inc.</t>
  </si>
  <si>
    <t>Reverse Mortgages.com, Inc.</t>
  </si>
  <si>
    <t>Audubon Holdings Group</t>
  </si>
  <si>
    <t>Watertown Credit Bureau Inc</t>
  </si>
  <si>
    <t>Dant-Pacific, Ltd</t>
  </si>
  <si>
    <t>R3 Processing</t>
  </si>
  <si>
    <t>Mikki S. Yitzchaki, P.C.</t>
  </si>
  <si>
    <t>Law Office of Carl Brugnoli</t>
  </si>
  <si>
    <t>Maui Collection Service, Inc.</t>
  </si>
  <si>
    <t>FINANCIAL MANAGEMENT  SOLUTIONS (NY)</t>
  </si>
  <si>
    <t>Jensen &amp; Sullivan, LLC</t>
  </si>
  <si>
    <t>Martin &amp; Seibert, L.C.</t>
  </si>
  <si>
    <t>LYONS MORTGAGE SERVICES, INC.</t>
  </si>
  <si>
    <t>Summit Mortgage Corporation</t>
  </si>
  <si>
    <t>LoanStar Home Lending</t>
  </si>
  <si>
    <t>Maple Finance Company</t>
  </si>
  <si>
    <t>PLACID NK CORPORATION</t>
  </si>
  <si>
    <t>Churchill Debt Settlement</t>
  </si>
  <si>
    <t>Cal-Tenn Financial LLC</t>
  </si>
  <si>
    <t>Sandalwood Solutions</t>
  </si>
  <si>
    <t>VICTORY MORTGAGE, LLC</t>
  </si>
  <si>
    <t>First Choice MH LLC</t>
  </si>
  <si>
    <t>Blake Enterprises, LLC</t>
  </si>
  <si>
    <t>American Tax Holding LLC</t>
  </si>
  <si>
    <t>Pickett Law, LLC</t>
  </si>
  <si>
    <t>Kopp Collection Service, Inc.</t>
  </si>
  <si>
    <t>F5 Mortgage LLC</t>
  </si>
  <si>
    <t>ROLS INC</t>
  </si>
  <si>
    <t>Quik Fund Inc.</t>
  </si>
  <si>
    <t>F&amp;M Mortgage Group, LLC</t>
  </si>
  <si>
    <t>MEMA CORP</t>
  </si>
  <si>
    <t>SVI Group Inc.</t>
  </si>
  <si>
    <t>Consumer Collection Advocates</t>
  </si>
  <si>
    <t>West One Capital Group Inc.</t>
  </si>
  <si>
    <t>Financial Services of Mississippi, Inc.</t>
  </si>
  <si>
    <t>Student Aid Foundation</t>
  </si>
  <si>
    <t>BAKER GOVERN &amp; BAKER INC</t>
  </si>
  <si>
    <t>Nationwide Servicing Center Inc</t>
  </si>
  <si>
    <t>AGS Financial, Inc</t>
  </si>
  <si>
    <t>Offices of Stein and Meyer</t>
  </si>
  <si>
    <t>Sonali Exchange Co. Inc</t>
  </si>
  <si>
    <t>CBCS, Inc.</t>
  </si>
  <si>
    <t>HOA Collections LLC</t>
  </si>
  <si>
    <t>Lighthouse Acceptance Corporation</t>
  </si>
  <si>
    <t>Andrews Law Firm, PLLC</t>
  </si>
  <si>
    <t>March Motors, Inc.</t>
  </si>
  <si>
    <t>RSR &amp; ASSOCIATES INC.</t>
  </si>
  <si>
    <t>F &amp; S Financial Marketing, Inc.</t>
  </si>
  <si>
    <t>Law Office of Mark L. Nichter, PC</t>
  </si>
  <si>
    <t>Virtual Assets, LLC</t>
  </si>
  <si>
    <t>Thompson O'Brien Kemp &amp; Nasuti, P.C.</t>
  </si>
  <si>
    <t>MyScore LLC</t>
  </si>
  <si>
    <t>TRICO FINANCIAL SERVICES, LLC</t>
  </si>
  <si>
    <t>Dynamic Strategies, Inc</t>
  </si>
  <si>
    <t>South Coast Doc Prep</t>
  </si>
  <si>
    <t>APO LLC</t>
  </si>
  <si>
    <t>Egon Singerman, Attorney at Law</t>
  </si>
  <si>
    <t>MCI Mortgage Inc</t>
  </si>
  <si>
    <t>Sterling Atlantic Law Group, PC</t>
  </si>
  <si>
    <t>Mid-Atlantic Portfolios, LLC</t>
  </si>
  <si>
    <t>C &amp; S Associates, Inc. dba NCS Credit</t>
  </si>
  <si>
    <t>Instant Cash Flow, Inc.</t>
  </si>
  <si>
    <t>Michigan Legal Specialists, P.C.</t>
  </si>
  <si>
    <t>LAW OFFICES OF MICHAEL K. SIPES</t>
  </si>
  <si>
    <t>Benjamin Chaise Recovery Services LLC.</t>
  </si>
  <si>
    <t>Graduate Resource Network</t>
  </si>
  <si>
    <t>Riexinger &amp; Associates, LLC</t>
  </si>
  <si>
    <t>Sindeo, Inc.</t>
  </si>
  <si>
    <t>The Law Offices of Richard W. Krieg, LLC</t>
  </si>
  <si>
    <t>TTM GLOBAL ENTERPRISES LLC</t>
  </si>
  <si>
    <t>S.O.S. Loans, Inc.</t>
  </si>
  <si>
    <t>Accelerate Mortgage, LLC</t>
  </si>
  <si>
    <t>Beach Cars of West Palm Inc.</t>
  </si>
  <si>
    <t>WILKINSON LAW FIRM, P.C.</t>
  </si>
  <si>
    <t>Sylvania Acceptance Corporation</t>
  </si>
  <si>
    <t>Wator &amp; Associates, P.C</t>
  </si>
  <si>
    <t>DPL Associates, Ltd.</t>
  </si>
  <si>
    <t>Pacific Lending LLC</t>
  </si>
  <si>
    <t>8 Investments Corporation dba MediComm</t>
  </si>
  <si>
    <t>Dickinson Financial, LLC</t>
  </si>
  <si>
    <t>Pier Special Opportunities Fund LP</t>
  </si>
  <si>
    <t>National Investigative Services</t>
  </si>
  <si>
    <t>Financial Recovery Group</t>
  </si>
  <si>
    <t>Niederman Stanzel &amp; Lindsey</t>
  </si>
  <si>
    <t>NOBLE HOME LOANS INC</t>
  </si>
  <si>
    <t>Liberty SBF</t>
  </si>
  <si>
    <t>Pennie Mgmt LLC</t>
  </si>
  <si>
    <t>Lyons Law Office, LLC</t>
  </si>
  <si>
    <t>NJ Automotive Accounts Management Co, Inc.</t>
  </si>
  <si>
    <t>Maitland Capital Funding</t>
  </si>
  <si>
    <t>Federated Mortgage Corp.</t>
  </si>
  <si>
    <t>Farm Bureau Finance Company</t>
  </si>
  <si>
    <t>Wolcott Rivers Gates, PC</t>
  </si>
  <si>
    <t>Mount Olympus Mortgage Company</t>
  </si>
  <si>
    <t>PRO Consulting Services, Inc.</t>
  </si>
  <si>
    <t>Vinson Mortgage Services, Inc.</t>
  </si>
  <si>
    <t>B and F Capital, DBA    H and H Legal Support Services,    DBA Paid in Cash</t>
  </si>
  <si>
    <t>ARL Credit Services, Inc.</t>
  </si>
  <si>
    <t>LAKELAND BANCORP, INC.</t>
  </si>
  <si>
    <t>Turbo Debt LLC</t>
  </si>
  <si>
    <t>Mortgage Team 1, Inc.</t>
  </si>
  <si>
    <t>We Finance Inc.</t>
  </si>
  <si>
    <t>Community Loan Fund of New Jersey, Inc</t>
  </si>
  <si>
    <t>Olympic Credit Service Inc.</t>
  </si>
  <si>
    <t>Credit Collections Services, Inc.</t>
  </si>
  <si>
    <t>CENTURION IV LLC</t>
  </si>
  <si>
    <t>1ST 2ND MORTGAGE CO. OF NJ INC</t>
  </si>
  <si>
    <t>Case Law Firm, S.C.</t>
  </si>
  <si>
    <t>Lakeland West Capital LLC</t>
  </si>
  <si>
    <t>RESOCORE ASSET MANAGEMENT</t>
  </si>
  <si>
    <t>P.D.A.B., Inc</t>
  </si>
  <si>
    <t>Lightning Fast Finance</t>
  </si>
  <si>
    <t>SOUTH BAY ACCEPTANCE CORPORATION</t>
  </si>
  <si>
    <t>American Professional Collections</t>
  </si>
  <si>
    <t>PELICAN CREDIT CO</t>
  </si>
  <si>
    <t>C &amp; S Auto Enterprises, Inc</t>
  </si>
  <si>
    <t>MINISTRY BRANDS, LLC</t>
  </si>
  <si>
    <t>Credit Management Systems</t>
  </si>
  <si>
    <t>SKY FINANCIAL SERVICES, INC.</t>
  </si>
  <si>
    <t>MMMM Holdings, LLC</t>
  </si>
  <si>
    <t>CITY CREEK MORTGAGE CORP.</t>
  </si>
  <si>
    <t>Emergi-Cash</t>
  </si>
  <si>
    <t>EBA,LLC</t>
  </si>
  <si>
    <t>L. Blake Morris</t>
  </si>
  <si>
    <t>Delphi Law Group, LLP</t>
  </si>
  <si>
    <t>Freisem, Macon Swann &amp; Malone LLP</t>
  </si>
  <si>
    <t>Ikon Financial Group, LLC</t>
  </si>
  <si>
    <t>Lou Spivack, P.C.</t>
  </si>
  <si>
    <t>A1 Holding Group LLC</t>
  </si>
  <si>
    <t>Midwest Diversified Recovery Services, LLC</t>
  </si>
  <si>
    <t>SOUND MORTGAGE, INC.</t>
  </si>
  <si>
    <t>BLACK HILLS CHILDREN'S RANCH, INC.</t>
  </si>
  <si>
    <t>Halstatt Search Partners</t>
  </si>
  <si>
    <t>ALMA Financial Assistance Corp.</t>
  </si>
  <si>
    <t>Sierra Collections and Consulting LLC</t>
  </si>
  <si>
    <t>Priority 1 Lending, LLC</t>
  </si>
  <si>
    <t>Action Collectors Inc.</t>
  </si>
  <si>
    <t>Balekian Hayes, PLLC</t>
  </si>
  <si>
    <t>Credit Bureau of Traverse City, Inc.(Closed)</t>
  </si>
  <si>
    <t>Pivot Rock Solutions, LLC</t>
  </si>
  <si>
    <t>Red Tree Mortgage LLC</t>
  </si>
  <si>
    <t>TLP Mortgage Advisors, LLC</t>
  </si>
  <si>
    <t>Creditors Financial Services, LLC</t>
  </si>
  <si>
    <t>Williamson and Brown, LLC</t>
  </si>
  <si>
    <t>A &amp; J COLLECTION</t>
  </si>
  <si>
    <t>Chattanooga Neighborhood Enterprise, Inc.</t>
  </si>
  <si>
    <t>JPL Recovery LLC</t>
  </si>
  <si>
    <t>DFI Funding, Inc.</t>
  </si>
  <si>
    <t>Jacobs Arbitration And Associates Inc.</t>
  </si>
  <si>
    <t>Posh RE Mortgage corporation</t>
  </si>
  <si>
    <t>Good Funding, LLC</t>
  </si>
  <si>
    <t>Sebrite Financial Corporation</t>
  </si>
  <si>
    <t>Advanced Loan Systems, LLC.</t>
  </si>
  <si>
    <t>AMERICA'S LOAN COMPANY, LLC</t>
  </si>
  <si>
    <t>Locate Services LLC</t>
  </si>
  <si>
    <t>Noam J. Cohen, PA</t>
  </si>
  <si>
    <t>Commercial Credit, Inc.</t>
  </si>
  <si>
    <t>Hillcrest Capital, LLC</t>
  </si>
  <si>
    <t>Southern Star Automotive Inc.</t>
  </si>
  <si>
    <t>Law Office Of Steven D. Silverstein</t>
  </si>
  <si>
    <t>Cross America Financial LLC</t>
  </si>
  <si>
    <t>THE VALLE LAW FIRM, P.A.</t>
  </si>
  <si>
    <t>Capstone Private Mortgage Holdings Limited</t>
  </si>
  <si>
    <t>COMMUNITY MORTGAGE CORPORATION</t>
  </si>
  <si>
    <t>Professional Mortgage Associates</t>
  </si>
  <si>
    <t>Zeidman‚Äôs Jewelry &amp; Loan of Michigan</t>
  </si>
  <si>
    <t>FIRST US CAPITAL LLC</t>
  </si>
  <si>
    <t>SANFORD &amp; ADAMS, Attorneys at Law PLLC</t>
  </si>
  <si>
    <t>The Cook Law Office PLLC</t>
  </si>
  <si>
    <t>DISCOUNT BANCORP, INC.</t>
  </si>
  <si>
    <t>Chrebet Associates  LLC</t>
  </si>
  <si>
    <t>Capitol Credit Company</t>
  </si>
  <si>
    <t>LUCKY MONEY, INC.</t>
  </si>
  <si>
    <t>Arthur B. Adler &amp; Associates, Ltd</t>
  </si>
  <si>
    <t>Drexel Mortgage Corporation</t>
  </si>
  <si>
    <t>Associates International Holdings Corporation</t>
  </si>
  <si>
    <t>DRIVE NOW AUTO CREDIT COMPANY INC</t>
  </si>
  <si>
    <t>EVERCOMMERCE SOLUTIONS INC.</t>
  </si>
  <si>
    <t>SouthLaw, P.C.</t>
  </si>
  <si>
    <t>Win-Win LLC</t>
  </si>
  <si>
    <t>Advantage Financial Services of Covington, LLC</t>
  </si>
  <si>
    <t>ALLIED SECURITY LLC</t>
  </si>
  <si>
    <t>SIGNATURE MORTGAGE CORPORATION</t>
  </si>
  <si>
    <t>Central Kentucky Collections</t>
  </si>
  <si>
    <t>DMEC Capital Services LLC, DBA Settle Our Debt</t>
  </si>
  <si>
    <t>Grandeagle Financial, LLC</t>
  </si>
  <si>
    <t>Alliance Consumer Solutions, Inc</t>
  </si>
  <si>
    <t>Credit Bureau of Twin Falls Inc</t>
  </si>
  <si>
    <t>Nevada Mortgage</t>
  </si>
  <si>
    <t>Capital Core Advisors LLC</t>
  </si>
  <si>
    <t>Sarasota CCM, Inc.</t>
  </si>
  <si>
    <t>Premier Capital Investment Group</t>
  </si>
  <si>
    <t>DLG LLC</t>
  </si>
  <si>
    <t>KWIK MORTGAGE CORPORATION</t>
  </si>
  <si>
    <t>COMMONWEALTH MORTGAGE, LLC</t>
  </si>
  <si>
    <t>Salary Finance Inc</t>
  </si>
  <si>
    <t>SIMPLE CAR TITLE LOANS INC</t>
  </si>
  <si>
    <t>Hamiltonian Inc.</t>
  </si>
  <si>
    <t>PEMBROKE FINANCE, INC.</t>
  </si>
  <si>
    <t>CARDPLATFORMS LLC</t>
  </si>
  <si>
    <t>Allison L. Friedman, P.A.</t>
  </si>
  <si>
    <t>Crawfordsville CCB, Inc.</t>
  </si>
  <si>
    <t>Priority Financial Services</t>
  </si>
  <si>
    <t>Breit Law Office, P.C.</t>
  </si>
  <si>
    <t>MORTGAGE EXPRESS, LLC</t>
  </si>
  <si>
    <t>Whitehouse Law Firm LPA</t>
  </si>
  <si>
    <t>Huffman, Hunt &amp; Klym, LLC</t>
  </si>
  <si>
    <t>Hellmuth &amp; Johnson, PLLC</t>
  </si>
  <si>
    <t>Townstone Financial Inc</t>
  </si>
  <si>
    <t>Heritage Finance Company, Inc.</t>
  </si>
  <si>
    <t>Reliant Home Funding, Inc</t>
  </si>
  <si>
    <t>Bank of Baroda - New York Branch</t>
  </si>
  <si>
    <t>KELLER,GRIMALDI AND ASSOCIATES</t>
  </si>
  <si>
    <t>M Squared Financial LLC</t>
  </si>
  <si>
    <t>Jenka Group Inc</t>
  </si>
  <si>
    <t>Resolve Solution Services Corporation</t>
  </si>
  <si>
    <t>The Rose Law Firm PLLC</t>
  </si>
  <si>
    <t>BEXIL AMERICAN MORTGAGE INC.</t>
  </si>
  <si>
    <t>Usset Weingarden &amp; Liebo PLLP</t>
  </si>
  <si>
    <t>Cleara, LLC</t>
  </si>
  <si>
    <t>NY Community Financial, LLC</t>
  </si>
  <si>
    <t>Republic State Mortgage Co.</t>
  </si>
  <si>
    <t>Dunn Law, P.A.</t>
  </si>
  <si>
    <t>HONOLULU HOMELOANS, INC.</t>
  </si>
  <si>
    <t>Niagara Credit Recovery</t>
  </si>
  <si>
    <t>EF CORPORATE HOLDINGS LLC</t>
  </si>
  <si>
    <t>Consumer Receivables Management LLC</t>
  </si>
  <si>
    <t>Novation Inheritance LLC</t>
  </si>
  <si>
    <t>KSP Global Inc.</t>
  </si>
  <si>
    <t>Auto Pro Title Pawn, Inc.</t>
  </si>
  <si>
    <t>A-1 Payday Loans and Title Loan Referral Inc.</t>
  </si>
  <si>
    <t>National Advisory Group, Inc</t>
  </si>
  <si>
    <t>CarPutty Inc.</t>
  </si>
  <si>
    <t>GUARANTY HOME MORTGAGE CORPORATION</t>
  </si>
  <si>
    <t>Mirabella Investments Group, LLC</t>
  </si>
  <si>
    <t>K &amp; B Capital Corp</t>
  </si>
  <si>
    <t>ABC Loan of Martinez/ Georgia Finco Holding Corp</t>
  </si>
  <si>
    <t>Approved Mortgage Corporation</t>
  </si>
  <si>
    <t>The Law Offices of Bradley Kim Thomas ii, LLC</t>
  </si>
  <si>
    <t>Goodwill Finance LLC</t>
  </si>
  <si>
    <t>Transfermate, Inc.</t>
  </si>
  <si>
    <t>ClearLine Loans LLC</t>
  </si>
  <si>
    <t>Rutledge Law Firm, P.C</t>
  </si>
  <si>
    <t>Fairway Holdings, LLC</t>
  </si>
  <si>
    <t>The Cooper Mediation Firm LLC</t>
  </si>
  <si>
    <t>Credit Bureau of Havre</t>
  </si>
  <si>
    <t>JL Management LLC dba Advance Finance &amp; Tax Service</t>
  </si>
  <si>
    <t>Cam Credits, Inc.</t>
  </si>
  <si>
    <t>Bayfield Financial, LLC</t>
  </si>
  <si>
    <t>Gillman Interests, Inc.</t>
  </si>
  <si>
    <t>Summit Account &amp; Computer Service, Inc.</t>
  </si>
  <si>
    <t>Vellum Mortgage, Inc.</t>
  </si>
  <si>
    <t>CalLoan Corp</t>
  </si>
  <si>
    <t>HOUSTONIAN MORTGAGE GROUP, INC.</t>
  </si>
  <si>
    <t>American Finance House Lariba</t>
  </si>
  <si>
    <t>US WIDE FINANCIAL</t>
  </si>
  <si>
    <t>Law Offices of Richard J. Manning, Jr.</t>
  </si>
  <si>
    <t>JOSEPH R. HARRISON CO. LPA</t>
  </si>
  <si>
    <t>Garden State Check Cashing Service, Inc.</t>
  </si>
  <si>
    <t>All American Title Co., Inc</t>
  </si>
  <si>
    <t>PRA LAW FIRM</t>
  </si>
  <si>
    <t>Welcome Finance Company, Inc</t>
  </si>
  <si>
    <t>Interstate Credit Solutions, LLC</t>
  </si>
  <si>
    <t>Cullimore &amp; Coleman, PLC</t>
  </si>
  <si>
    <t>Student Apex</t>
  </si>
  <si>
    <t>Praxell, Inc.</t>
  </si>
  <si>
    <t>House Of Finance Corp.</t>
  </si>
  <si>
    <t>Christensen Financial, Inc.</t>
  </si>
  <si>
    <t>Moritz Partners L.P.</t>
  </si>
  <si>
    <t>Equihome, LLC</t>
  </si>
  <si>
    <t>The Wirbicki Law Group LLC</t>
  </si>
  <si>
    <t>Sperlonga Data &amp; Analytics Systems, LLC</t>
  </si>
  <si>
    <t>Law Firm of Katz and Associates, PLLC</t>
  </si>
  <si>
    <t>Real Title Agency, LLC</t>
  </si>
  <si>
    <t>Cross Country Financial Corporation</t>
  </si>
  <si>
    <t>Credit Quick</t>
  </si>
  <si>
    <t>Boston Portfolio Advisors</t>
  </si>
  <si>
    <t>Premia Mortgage, LLC</t>
  </si>
  <si>
    <t>Greco Financial Services Corp.</t>
  </si>
  <si>
    <t>Real Estate Solutions</t>
  </si>
  <si>
    <t>Law Offices of Gary A Bemis APC</t>
  </si>
  <si>
    <t>Clunk Hoose Co., LPA</t>
  </si>
  <si>
    <t>TOC Financial DBA Mi Gente</t>
  </si>
  <si>
    <t>CBM Mortgage, Inc.</t>
  </si>
  <si>
    <t>Bendett &amp; McHugh, P.C.</t>
  </si>
  <si>
    <t>First Class Autos Inc</t>
  </si>
  <si>
    <t>Segan, Mason &amp; Mason, P.C.</t>
  </si>
  <si>
    <t>Unified Retrieval Solutions llc</t>
  </si>
  <si>
    <t>FRIENDLY FINANCE DISCOUNT CORPORATION</t>
  </si>
  <si>
    <t>ClarityPay, Inc.</t>
  </si>
  <si>
    <t>TriStar Finance, Inc.</t>
  </si>
  <si>
    <t>Fenix Holdings, LLC</t>
  </si>
  <si>
    <t>BELING &amp; ASSOCIATES</t>
  </si>
  <si>
    <t>One Way Loans LLC dba PowerLend</t>
  </si>
  <si>
    <t>LRS Mediations Group</t>
  </si>
  <si>
    <t>MBA Mortgage Services Inc.</t>
  </si>
  <si>
    <t>David Fogel P.C.</t>
  </si>
  <si>
    <t>Mortgage Banking Associates Inc</t>
  </si>
  <si>
    <t>AccessOne  Holdings, Inc.</t>
  </si>
  <si>
    <t>Covington Capital Corporation</t>
  </si>
  <si>
    <t>Professional Recovery Associates, Inc.</t>
  </si>
  <si>
    <t>Collexx, Inc.</t>
  </si>
  <si>
    <t>UNIVERSAL MTG &amp; FINANCE</t>
  </si>
  <si>
    <t>Bureau of Medical Economics of Santa Clara County</t>
  </si>
  <si>
    <t>Lynx Whole Loan Acquisition LLC</t>
  </si>
  <si>
    <t>MDG USA Inc.</t>
  </si>
  <si>
    <t>B&amp;B Hold Corp.</t>
  </si>
  <si>
    <t>COLLTECH INC</t>
  </si>
  <si>
    <t>All Reverse Mortgage, Inc.</t>
  </si>
  <si>
    <t>Investment Evolution Corporation</t>
  </si>
  <si>
    <t>1ST PREFERENCE MORTGAGE CORP</t>
  </si>
  <si>
    <t>KMT Group, LLC</t>
  </si>
  <si>
    <t>BCA Financial Services (New Jersey)</t>
  </si>
  <si>
    <t>American Trst Company, Inc.</t>
  </si>
  <si>
    <t>Cardinal Branch</t>
  </si>
  <si>
    <t>HomeServices of Iowa</t>
  </si>
  <si>
    <t>RMR FINANCIAL, INC</t>
  </si>
  <si>
    <t>360 Credit Consulting</t>
  </si>
  <si>
    <t>Rno Partners Limited</t>
  </si>
  <si>
    <t>Seaside Trustee Inc.</t>
  </si>
  <si>
    <t>Personalized Collection Services</t>
  </si>
  <si>
    <t>Approved Mortgage Source, LLC</t>
  </si>
  <si>
    <t>Federated Adjustment Company, Inc.</t>
  </si>
  <si>
    <t>RK Chevrolet Subaru</t>
  </si>
  <si>
    <t>Personal Loan Service</t>
  </si>
  <si>
    <t>PMMC and Associates, LLC</t>
  </si>
  <si>
    <t>Quantum Financial, Inc.</t>
  </si>
  <si>
    <t>TSALTA FINANCIAL COMPANY, LLC</t>
  </si>
  <si>
    <t>Infinity Holding Corporation</t>
  </si>
  <si>
    <t>Wise Finance, LLC</t>
  </si>
  <si>
    <t>First Pacific Funding Inc.</t>
  </si>
  <si>
    <t>Colonial Mortgage Service Co. Of America</t>
  </si>
  <si>
    <t>Edmonds &amp; Logue PC</t>
  </si>
  <si>
    <t>Springfield Recovery, Inc.</t>
  </si>
  <si>
    <t>AGORA NOTUS, LLC</t>
  </si>
  <si>
    <t>Bailey Automotive Finance Inc.</t>
  </si>
  <si>
    <t>CHARTER CAPITAL CORPORATION</t>
  </si>
  <si>
    <t>FCN Catalogue &amp; Equipment, Inc.</t>
  </si>
  <si>
    <t>Perry Law Office, P.C.</t>
  </si>
  <si>
    <t>David Deep Law Offices</t>
  </si>
  <si>
    <t>Cress Law Group PC</t>
  </si>
  <si>
    <t>American Student Loan Advocates</t>
  </si>
  <si>
    <t>Bierer Law Group, P.A.</t>
  </si>
  <si>
    <t>MORTGAGE CORPORATION OF THE SOUTH</t>
  </si>
  <si>
    <t>Bullseye Collection Agency</t>
  </si>
  <si>
    <t>Total Loan Company, LLC</t>
  </si>
  <si>
    <t>DM Motors</t>
  </si>
  <si>
    <t>Pacific Credit Services, Inc.</t>
  </si>
  <si>
    <t>Opensky Legal Services</t>
  </si>
  <si>
    <t>No Limits Access</t>
  </si>
  <si>
    <t>Meredian Inc</t>
  </si>
  <si>
    <t>AMERICAN ARMED FORCES MUTUAL AID ASSOCIATION</t>
  </si>
  <si>
    <t>Economic Recovery Consultants, Inc</t>
  </si>
  <si>
    <t>Hexagon Collection Services, LLC</t>
  </si>
  <si>
    <t>Windermere Mortgage Services Series LLC</t>
  </si>
  <si>
    <t>Law Offices of Vincent J. Buzek</t>
  </si>
  <si>
    <t>Darnieder &amp; Sosnay</t>
  </si>
  <si>
    <t>Springboard CDFI</t>
  </si>
  <si>
    <t>Bay Shore Finance, Inc.</t>
  </si>
  <si>
    <t>SilverLake Financial LLC</t>
  </si>
  <si>
    <t>People's Finance Co</t>
  </si>
  <si>
    <t>Laurens Financial Services Inc</t>
  </si>
  <si>
    <t>SOFTGATE SYSTEMS, INC.</t>
  </si>
  <si>
    <t>America Transfers, Inc.</t>
  </si>
  <si>
    <t>SMARTPAY, LLC</t>
  </si>
  <si>
    <t>Professional Solutions Collection Agency, LLC</t>
  </si>
  <si>
    <t>Malacko Law Office</t>
  </si>
  <si>
    <t>Madison Atrina LLC</t>
  </si>
  <si>
    <t>Hebrew Free Loan Society, Inc.</t>
  </si>
  <si>
    <t>American Capital Recovery LLC</t>
  </si>
  <si>
    <t>Consumer Credit Counseling Foundation, Inc.</t>
  </si>
  <si>
    <t>ALG Trustee LLC</t>
  </si>
  <si>
    <t>Elite Student Solutions</t>
  </si>
  <si>
    <t>Resolute Credit, LLC</t>
  </si>
  <si>
    <t>INDIANAPOLIS NEIGHBORHOOD HOUSING PARTNERSHIP</t>
  </si>
  <si>
    <t>Ready Finance LLC</t>
  </si>
  <si>
    <t>Greenberg &amp; Sada PC</t>
  </si>
  <si>
    <t>First American Mitigators, PLLC.</t>
  </si>
  <si>
    <t>Fresh Start Credit Solutions</t>
  </si>
  <si>
    <t>Frank Innovations, Inc</t>
  </si>
  <si>
    <t>Scoutlogic Inc.</t>
  </si>
  <si>
    <t>Grand American Resources, Inc</t>
  </si>
  <si>
    <t>AUDUBON LIBERTY &amp; ASSOCIATES</t>
  </si>
  <si>
    <t>Atlantic Mortgage Direct LLC</t>
  </si>
  <si>
    <t>Option Funding, Inc.</t>
  </si>
  <si>
    <t>TRG Auto Finance LLC</t>
  </si>
  <si>
    <t>O‚ÄôReilly Rancilio P.C.</t>
  </si>
  <si>
    <t>Cayetano Development, LLC</t>
  </si>
  <si>
    <t>Grace Recovery Services, Inc.</t>
  </si>
  <si>
    <t>National Screening Bureau, LLC</t>
  </si>
  <si>
    <t>EliteCashWire.com Inc</t>
  </si>
  <si>
    <t>Felhaber Larson</t>
  </si>
  <si>
    <t>Kiva Microfunds</t>
  </si>
  <si>
    <t>AMKO Lending, LLC</t>
  </si>
  <si>
    <t>GLFinancial Services LLC</t>
  </si>
  <si>
    <t>KIRKSTON MORTGAGE LENDING LLC</t>
  </si>
  <si>
    <t>Kompato AI Inc</t>
  </si>
  <si>
    <t>Gabriel FInancial Group, Inc.</t>
  </si>
  <si>
    <t>Credit Reporting Services, Inc.</t>
  </si>
  <si>
    <t>Franklin Cohen and Allbright Arbitrations LLC</t>
  </si>
  <si>
    <t>Weissman Attorney at Law</t>
  </si>
  <si>
    <t>CMD Investment Group, Inc.</t>
  </si>
  <si>
    <t>Guaranty Solutions LLC</t>
  </si>
  <si>
    <t>American First Financial Services, Inc.</t>
  </si>
  <si>
    <t>Cumberland Financial Services, INC.</t>
  </si>
  <si>
    <t>Brightside Benefit, Inc.</t>
  </si>
  <si>
    <t>Doberman Credit &amp; Collection Consultants, LLC</t>
  </si>
  <si>
    <t>The Day Law Firm, LLC.</t>
  </si>
  <si>
    <t>Mother Lode Holding Company</t>
  </si>
  <si>
    <t>Reference Services, Inc.</t>
  </si>
  <si>
    <t>NewFed Mortgage Corp</t>
  </si>
  <si>
    <t>Homestead Designation Services</t>
  </si>
  <si>
    <t>Pettitt &amp; Kimball, PLLC</t>
  </si>
  <si>
    <t>Topline Recovery</t>
  </si>
  <si>
    <t>Mid Atlantic Auto Finance</t>
  </si>
  <si>
    <t>Speed Investments LLC</t>
  </si>
  <si>
    <t>Sands Recovery Group</t>
  </si>
  <si>
    <t>Student Loan Freedom, LLC</t>
  </si>
  <si>
    <t>Tritium Card Services, Inc., Naples, FL Branch</t>
  </si>
  <si>
    <t>Nationwide Recovery Group LLC</t>
  </si>
  <si>
    <t>POLI MORTGAGE GROUP, INC.</t>
  </si>
  <si>
    <t>NORTH HIGHLAND HOLDING COMPANY LLC, THE</t>
  </si>
  <si>
    <t>CNJ Enterprises LLC DBA Legal-Bay LLC</t>
  </si>
  <si>
    <t>HomeKey Lending, LLC</t>
  </si>
  <si>
    <t>SMI Lending, Inc.</t>
  </si>
  <si>
    <t>Navigant Cymetrix Healthcare</t>
  </si>
  <si>
    <t>Affordable Financial Solutions</t>
  </si>
  <si>
    <t>PingYo, Inc.</t>
  </si>
  <si>
    <t>Class AMC Intermediate</t>
  </si>
  <si>
    <t>SOUTH EXCHANGE, INC</t>
  </si>
  <si>
    <t>Financial Triangle, Inc.</t>
  </si>
  <si>
    <t>Harrington, anderson &amp; deblasio</t>
  </si>
  <si>
    <t>Citywide Mortgage Associates, Inc.</t>
  </si>
  <si>
    <t>Premlo Inc.</t>
  </si>
  <si>
    <t>Mr. Mortgage, LLC</t>
  </si>
  <si>
    <t>Parkstone Mortgage, LLC</t>
  </si>
  <si>
    <t>Mundt Law Group, LLC</t>
  </si>
  <si>
    <t>Benchmark Capital Management, LLC</t>
  </si>
  <si>
    <t>Doonan, Graves &amp; Longoria</t>
  </si>
  <si>
    <t>Hometown Mortgage Services, Inc.</t>
  </si>
  <si>
    <t>Munar Mortgage, LLC DBA Co/LAB Lending</t>
  </si>
  <si>
    <t>Anchor Loans, Inc.</t>
  </si>
  <si>
    <t>Daiyaan, Inc</t>
  </si>
  <si>
    <t>Account Control Services, Inc</t>
  </si>
  <si>
    <t>Hannah Financial LLC</t>
  </si>
  <si>
    <t>American Northwest Recovery Solutions Inc</t>
  </si>
  <si>
    <t>DCB Financial LLC</t>
  </si>
  <si>
    <t>Gulf Coast Auto Credit Corporation</t>
  </si>
  <si>
    <t>Settle It Inc.</t>
  </si>
  <si>
    <t>Northbrook and Associates</t>
  </si>
  <si>
    <t>Blue Bay Capital</t>
  </si>
  <si>
    <t>Vantage Point Group</t>
  </si>
  <si>
    <t>SM Law, PC</t>
  </si>
  <si>
    <t>Fowler Bell PLLC</t>
  </si>
  <si>
    <t>DMI America Inc</t>
  </si>
  <si>
    <t>Vivix Credit Solutions</t>
  </si>
  <si>
    <t>Nelson Automotive Finance</t>
  </si>
  <si>
    <t>CRCO</t>
  </si>
  <si>
    <t>Campos Financial Corp.</t>
  </si>
  <si>
    <t>Sky Bridge Financial, LLC</t>
  </si>
  <si>
    <t>Cornerstone Home Mortgage</t>
  </si>
  <si>
    <t>Wilson Law. LLC</t>
  </si>
  <si>
    <t>First Coast Auto Finance</t>
  </si>
  <si>
    <t>Associates Title, Inc.</t>
  </si>
  <si>
    <t>Qualified Home Solutions LLC</t>
  </si>
  <si>
    <t>North Arkansas Abstract &amp; Title Co., Inc.</t>
  </si>
  <si>
    <t>Mike Rome Holdings LLC</t>
  </si>
  <si>
    <t>Value Auto Mart Inc.</t>
  </si>
  <si>
    <t>Associates Financial Solutions Inc</t>
  </si>
  <si>
    <t>Platinum Finance Company, LLC</t>
  </si>
  <si>
    <t>URS Solutions, LLC</t>
  </si>
  <si>
    <t>ACS Financial LLC</t>
  </si>
  <si>
    <t>Gordon, Feldbaum &amp; Cantora</t>
  </si>
  <si>
    <t>EZ Finance Company</t>
  </si>
  <si>
    <t>EML Payments USA, LLC</t>
  </si>
  <si>
    <t>LAKE MORTGAGE COMPANY INC.</t>
  </si>
  <si>
    <t>Auto World Financial, Inc.</t>
  </si>
  <si>
    <t>International Debt Buying Consultants, LLC</t>
  </si>
  <si>
    <t>Cash Money LLC</t>
  </si>
  <si>
    <t>Isla Repossesions &amp; Collection Inc</t>
  </si>
  <si>
    <t>PROSPER FIRST FUNDING CORPORATION</t>
  </si>
  <si>
    <t>Cordoba &amp; Associates</t>
  </si>
  <si>
    <t>Claims Recovery Systems, Inc.</t>
  </si>
  <si>
    <t>Advance Loan Service</t>
  </si>
  <si>
    <t>Latham, Wagner, Steele &amp; Lehman, P.C.</t>
  </si>
  <si>
    <t>Felt &amp; Lukes, LLC</t>
  </si>
  <si>
    <t>Shenandoah Legal Group, P.C.</t>
  </si>
  <si>
    <t>ABC Finance Co.</t>
  </si>
  <si>
    <t>CBC Holdings LLC</t>
  </si>
  <si>
    <t>Kaiter Enterprises Inc.</t>
  </si>
  <si>
    <t>TitanPrep Inc</t>
  </si>
  <si>
    <t>Cash-Installment LLC</t>
  </si>
  <si>
    <t>RWLS Mortgage LLC</t>
  </si>
  <si>
    <t>Suffolk Consulting Group Inc</t>
  </si>
  <si>
    <t>Hawaii Mortgage Experts</t>
  </si>
  <si>
    <t>Beacon Recovery Group LLC</t>
  </si>
  <si>
    <t>John B. Ingleson, Attorney at Law</t>
  </si>
  <si>
    <t>Baird Home Corporation</t>
  </si>
  <si>
    <t>JAMES A. MOUNGER, PLC</t>
  </si>
  <si>
    <t>Double D Finance dba Idaho Finance</t>
  </si>
  <si>
    <t>Union Credit, Inc.</t>
  </si>
  <si>
    <t>American Credit</t>
  </si>
  <si>
    <t>Financial Management &amp; Associates, Inc.</t>
  </si>
  <si>
    <t>Debt Busters</t>
  </si>
  <si>
    <t>AMERICONSULTANTS, LLC</t>
  </si>
  <si>
    <t>Fix Media</t>
  </si>
  <si>
    <t>LATIN AMERICAN FINANCIAL</t>
  </si>
  <si>
    <t>Credit Mount</t>
  </si>
  <si>
    <t>Waveland LLC dba FJM</t>
  </si>
  <si>
    <t>Smart Money Capital, LLC</t>
  </si>
  <si>
    <t>EQUITY HOME LENDERS, INC</t>
  </si>
  <si>
    <t>KOP Collection Services LLC</t>
  </si>
  <si>
    <t>Changed Inc.</t>
  </si>
  <si>
    <t>Summit Mortgage Bankers, Inc</t>
  </si>
  <si>
    <t>ONLINE MORTGAGE GROUP</t>
  </si>
  <si>
    <t>ECN Platinum LLC</t>
  </si>
  <si>
    <t>Riverstone Law, LLC</t>
  </si>
  <si>
    <t>SimpliFast Lending, LLC</t>
  </si>
  <si>
    <t>Garrison Law Office L.L.C.</t>
  </si>
  <si>
    <t>American Receivables Agency, LLC</t>
  </si>
  <si>
    <t>American Financial Lending, Inc.</t>
  </si>
  <si>
    <t>RH Portfolio I, LLC</t>
  </si>
  <si>
    <t>BATON ROUGE FINANCIAL SERVICES, L.L.C.</t>
  </si>
  <si>
    <t>American Mortgage Partners Inc.</t>
  </si>
  <si>
    <t>Golden Financial Services</t>
  </si>
  <si>
    <t>American Cash Exchange Enterprise of Tennessee, LLC</t>
  </si>
  <si>
    <t>Capital Mortgage</t>
  </si>
  <si>
    <t>FERRANTE ASSOCIATE</t>
  </si>
  <si>
    <t>Andover Auto Sales, Inc. D.B.A. Broadway Auto Mall</t>
  </si>
  <si>
    <t>Investment Management Company, LLC</t>
  </si>
  <si>
    <t>Leib Solutions, LLC</t>
  </si>
  <si>
    <t>Brilliance Credit, LLC</t>
  </si>
  <si>
    <t>10 Cent Title Pawn Inc</t>
  </si>
  <si>
    <t>The CKB Firm, P.C.</t>
  </si>
  <si>
    <t>Frontier Financial Inc.</t>
  </si>
  <si>
    <t>Dominus Law and Recovery, LLC.</t>
  </si>
  <si>
    <t>Paragon Home Loans, Inc</t>
  </si>
  <si>
    <t>F10 Financial Group, LLC</t>
  </si>
  <si>
    <t>Hometown Select Mortgage LLC</t>
  </si>
  <si>
    <t>Alternative Resource Services Inc</t>
  </si>
  <si>
    <t>Superior Home Loans, Inc.</t>
  </si>
  <si>
    <t>Accel Loans, LLC</t>
  </si>
  <si>
    <t>Apex Recovery Services, LLC</t>
  </si>
  <si>
    <t>Coastline Capital Fund Management, LLC</t>
  </si>
  <si>
    <t>Ershowsky Verstandig PLLC</t>
  </si>
  <si>
    <t>Money Matters Professional Collections, LLC</t>
  </si>
  <si>
    <t>Hanson Capital LLC</t>
  </si>
  <si>
    <t>MAC5 Mortgage, Inc.</t>
  </si>
  <si>
    <t>Best Ride Inc</t>
  </si>
  <si>
    <t>STATE LAW GROUP</t>
  </si>
  <si>
    <t>Trinity Reverse Mortgage</t>
  </si>
  <si>
    <t>Darby Law Firm, LLC</t>
  </si>
  <si>
    <t>Apex Advising LLC DBA Apex Credit Fix</t>
  </si>
  <si>
    <t>Luna Financial LLC</t>
  </si>
  <si>
    <t>Reax Capital, LLC</t>
  </si>
  <si>
    <t>Unbank Company, LLP</t>
  </si>
  <si>
    <t>National Integrity LLC</t>
  </si>
  <si>
    <t>Equity Wave Lending, Inc.</t>
  </si>
  <si>
    <t>Pacific Coast Legal Services, Inc.</t>
  </si>
  <si>
    <t>FINANCIAL FREEDOM MORTGAGE INC</t>
  </si>
  <si>
    <t>AD Capital LLC</t>
  </si>
  <si>
    <t>Best Account Receivables Management Solutions, LLC</t>
  </si>
  <si>
    <t>Greene Finance Corporation</t>
  </si>
  <si>
    <t>VANDERHEYDEN LAW OFFICE, P.A.</t>
  </si>
  <si>
    <t>Comenity Capital Bank</t>
  </si>
  <si>
    <t>Mortgage Lender Services, Inc.</t>
  </si>
  <si>
    <t>Security Credit Corporation</t>
  </si>
  <si>
    <t>Michaels, Louis &amp; Associates, Inc.</t>
  </si>
  <si>
    <t>TRN Financial LLC</t>
  </si>
  <si>
    <t>Service Investment Company, Inc.</t>
  </si>
  <si>
    <t>Personal Asset Recovery, LLC</t>
  </si>
  <si>
    <t>Quantum Leap Mortgage Corporation</t>
  </si>
  <si>
    <t>Inheritance Funding Company, Inc.</t>
  </si>
  <si>
    <t>Solera</t>
  </si>
  <si>
    <t>Shore View Financial Partners Inc.</t>
  </si>
  <si>
    <t>Keypoint Mortgage, LLC</t>
  </si>
  <si>
    <t>Patriot Lending Services Inc</t>
  </si>
  <si>
    <t>Retl Mnanagement LLC</t>
  </si>
  <si>
    <t>Covington Pike Acceptance Company</t>
  </si>
  <si>
    <t>ADA Brown LLC dba Star of Texas Financial Solutions</t>
  </si>
  <si>
    <t>Haines &amp; Krieger, LLC</t>
  </si>
  <si>
    <t>Wilson Breit</t>
  </si>
  <si>
    <t>Mapother &amp; Mapother, PSC</t>
  </si>
  <si>
    <t>Rocky Mountain Service Bureau, Inc</t>
  </si>
  <si>
    <t>The Money Company</t>
  </si>
  <si>
    <t>ABA Recovery Service, Inc.</t>
  </si>
  <si>
    <t>Asset Mediation Partners LLC</t>
  </si>
  <si>
    <t>American Financial Mortgage Services, Inc.</t>
  </si>
  <si>
    <t>David N. Hull Attorney at Law P.C.</t>
  </si>
  <si>
    <t>BANKERS MORTGAGE LENDING, INC.</t>
  </si>
  <si>
    <t>All Kind Check Cashing, Inc.</t>
  </si>
  <si>
    <t>Foundation Title &amp; Settlement Services, LLC</t>
  </si>
  <si>
    <t>Premier Lending, Inc.</t>
  </si>
  <si>
    <t>WHOLESALE CAPITAL CORPORATION</t>
  </si>
  <si>
    <t>TAG Financial Services Inc.</t>
  </si>
  <si>
    <t>PROFESSIONAL SOLUTIONS GROUP</t>
  </si>
  <si>
    <t>Arcstone Financial Inc.</t>
  </si>
  <si>
    <t>Money Transfer Systems, Inc.</t>
  </si>
  <si>
    <t>Georgia Receivables, Inc.</t>
  </si>
  <si>
    <t>Legacy Credits</t>
  </si>
  <si>
    <t>HANNA, LLP | HANNA LAW, PLLC</t>
  </si>
  <si>
    <t>EQUITABLE MORTGAGE CORPORATION</t>
  </si>
  <si>
    <t>Hughes Acceptance Corporation</t>
  </si>
  <si>
    <t>Mid-American Financial Group, Inc</t>
  </si>
  <si>
    <t>Xpert Home Lending Inc.</t>
  </si>
  <si>
    <t>Canyon Mortgage Corp.</t>
  </si>
  <si>
    <t>LeasePoint Funding Group, LLC</t>
  </si>
  <si>
    <t>Capture Financial, LLC</t>
  </si>
  <si>
    <t>Advantage Recovery Group, Inc</t>
  </si>
  <si>
    <t>Digital Access, LLC</t>
  </si>
  <si>
    <t>Red Rock Mortgage &amp; Lending LLC</t>
  </si>
  <si>
    <t>Smith, Slusky, Pohren &amp; Rogers, LLP</t>
  </si>
  <si>
    <t>Strive Lending, Inc.</t>
  </si>
  <si>
    <t>Elite 1 Financial Services</t>
  </si>
  <si>
    <t>BANCO PICHINCHA MIAMI AGENCY</t>
  </si>
  <si>
    <t>Doral Capital Corporation</t>
  </si>
  <si>
    <t>Anchor Mortgage, LLC</t>
  </si>
  <si>
    <t>Frank, Frank, Goldstein &amp; Nager, P.C.</t>
  </si>
  <si>
    <t>4finance US Holding Company, Inc.</t>
  </si>
  <si>
    <t>Financiera Campeon, LLC dba Champion Equipment Finance</t>
  </si>
  <si>
    <t>Cars-N-Credit Finance, Inc.</t>
  </si>
  <si>
    <t>Credit Suite Inc.</t>
  </si>
  <si>
    <t>ANDERSON FINANCIAL GROUP</t>
  </si>
  <si>
    <t>John F. Hayter, Attorney At Law, P.A.</t>
  </si>
  <si>
    <t>Loancutters Inc.</t>
  </si>
  <si>
    <t>Post Oak Title</t>
  </si>
  <si>
    <t>1st Midwest Mortgage Corp</t>
  </si>
  <si>
    <t>LifeTree Lending, LLC.</t>
  </si>
  <si>
    <t>Efron &amp; Efron, Professional Corporation</t>
  </si>
  <si>
    <t>National Auto Group LLC</t>
  </si>
  <si>
    <t>Ray Skillman Northeast Imports Inc</t>
  </si>
  <si>
    <t>America's Mortgage Center, LTD.</t>
  </si>
  <si>
    <t>Godwin-Jones &amp; Price, P.C.</t>
  </si>
  <si>
    <t>Aries Loans Inc</t>
  </si>
  <si>
    <t>Fitzgerald &amp; Campbell, A Professional Law Corporation</t>
  </si>
  <si>
    <t>Donna A Daniels Law Offices PC</t>
  </si>
  <si>
    <t>Insta Financial</t>
  </si>
  <si>
    <t>Northrim Capital Investments Co.</t>
  </si>
  <si>
    <t>Equity Now Inc.</t>
  </si>
  <si>
    <t>Brookings Credit Bureau and Collection Agency, Inc.</t>
  </si>
  <si>
    <t>TGA</t>
  </si>
  <si>
    <t>JAMS-01, Inc</t>
  </si>
  <si>
    <t>SELFi, Inc.</t>
  </si>
  <si>
    <t>ALASKA HOUSING FINANCE CORPORATION</t>
  </si>
  <si>
    <t>Receivables Management Associates, Inc.</t>
  </si>
  <si>
    <t>RMCN Credit Services, Inc.</t>
  </si>
  <si>
    <t>Town &amp; Country Mortgage Services, INC.</t>
  </si>
  <si>
    <t>Amicus Lending</t>
  </si>
  <si>
    <t>Drake, Meyers, &amp; Associates</t>
  </si>
  <si>
    <t>ML Mortgage Corp.</t>
  </si>
  <si>
    <t>Credit Advisors Foundation</t>
  </si>
  <si>
    <t>Empire Acceptance Company, Inc.</t>
  </si>
  <si>
    <t>PinReid, LLC</t>
  </si>
  <si>
    <t>Andesite Finance Company, LLC</t>
  </si>
  <si>
    <t>Luno US, Inc.</t>
  </si>
  <si>
    <t>HUNT Real Estate Corporation</t>
  </si>
  <si>
    <t>Credit My Rent Inc</t>
  </si>
  <si>
    <t>US Gold Cards Inc</t>
  </si>
  <si>
    <t>First Peachtree Finance, Inc.</t>
  </si>
  <si>
    <t>Digital Media Solutions, LLC</t>
  </si>
  <si>
    <t>Law Office of Cynthia Hitt Kent, LLC</t>
  </si>
  <si>
    <t>Alternative Finance Company, LLC</t>
  </si>
  <si>
    <t>I. C. Unlimited, Inc.</t>
  </si>
  <si>
    <t>Aswad &amp; Ingraham, LLP</t>
  </si>
  <si>
    <t>National Loan Review Consultants Corporation</t>
  </si>
  <si>
    <t>Student Debt Consolidation LLC</t>
  </si>
  <si>
    <t>Strategic Funding, Inc.</t>
  </si>
  <si>
    <t>Grisham Cummins, LLC</t>
  </si>
  <si>
    <t>Law Offices of Brian P. Kowal PA</t>
  </si>
  <si>
    <t>California Enterprise Agencies</t>
  </si>
  <si>
    <t>Future Financial Inc.</t>
  </si>
  <si>
    <t>Zero Parallel, LLC</t>
  </si>
  <si>
    <t>Lending Hand Mortgage, LLC</t>
  </si>
  <si>
    <t>STARBOARD FINANCIAL MANAGEMENT</t>
  </si>
  <si>
    <t>US Claims Litigation Funding, LLC</t>
  </si>
  <si>
    <t>AlpacaDB, Inc.</t>
  </si>
  <si>
    <t>Ward Kilduff Mortgage</t>
  </si>
  <si>
    <t>Ripple Labs Inc.</t>
  </si>
  <si>
    <t>AUTOMATED RECOVERY SYSTEMS, INC</t>
  </si>
  <si>
    <t>United Lending Team, LLC</t>
  </si>
  <si>
    <t>Point Boosters</t>
  </si>
  <si>
    <t>Delay Group DBA The Debt Management Group</t>
  </si>
  <si>
    <t>First World Mortgage Corporation</t>
  </si>
  <si>
    <t>AGN Auto Gallery Inc</t>
  </si>
  <si>
    <t>Oz Gram Investment, Inc.</t>
  </si>
  <si>
    <t>Loom Capital, LLC</t>
  </si>
  <si>
    <t>Certified Direct Solutions</t>
  </si>
  <si>
    <t>Porter Law Firm</t>
  </si>
  <si>
    <t>Leading Mortgage Solutions</t>
  </si>
  <si>
    <t>Purpose Funding Inc.</t>
  </si>
  <si>
    <t>Ross Morgan &amp; Associates, LLC</t>
  </si>
  <si>
    <t>MWS Financial Services LLC</t>
  </si>
  <si>
    <t>PLDR</t>
  </si>
  <si>
    <t>America's Moneyline, Inc.</t>
  </si>
  <si>
    <t>RADIUS FINANCIAL GROUP INC.</t>
  </si>
  <si>
    <t>Revenue Recovery Systems</t>
  </si>
  <si>
    <t>Seashine Financial, LLC</t>
  </si>
  <si>
    <t>National Title Co.</t>
  </si>
  <si>
    <t>BAV Solutions, LLC</t>
  </si>
  <si>
    <t>Wedgewood, LLC</t>
  </si>
  <si>
    <t>American Heritage Capital, LP</t>
  </si>
  <si>
    <t>N A NATIONWIDE MORTGAGE</t>
  </si>
  <si>
    <t>Harbour Portfolio Advisors, LLC</t>
  </si>
  <si>
    <t>Magnus Title Agency, LLC</t>
  </si>
  <si>
    <t>Glassen Rhead Mclean Campbell &amp; Schumaker P.L.C.</t>
  </si>
  <si>
    <t>Bayview Investment Group LLC</t>
  </si>
  <si>
    <t>REARDEN S INCORPORATED</t>
  </si>
  <si>
    <t>United Mortgage,  LLC</t>
  </si>
  <si>
    <t>Medisys Ventures</t>
  </si>
  <si>
    <t>Progressive Debt Relief LLC</t>
  </si>
  <si>
    <t>Marel Consultants Inc</t>
  </si>
  <si>
    <t>Cunningham Law Inc.</t>
  </si>
  <si>
    <t>Island Title Services, Inc.</t>
  </si>
  <si>
    <t>ROBERTSON ANSCHUTZ VETTERS</t>
  </si>
  <si>
    <t>NORTHEAST HOME LOAN</t>
  </si>
  <si>
    <t>Haase and Long, Inc.</t>
  </si>
  <si>
    <t>FINANCIAL INSIGHT</t>
  </si>
  <si>
    <t>Thunder Auto Finance LLC</t>
  </si>
  <si>
    <t>Able Mortgage</t>
  </si>
  <si>
    <t>Fountainhead Commercial Capital, LLC</t>
  </si>
  <si>
    <t>Credit Diva of Dallas Inc.</t>
  </si>
  <si>
    <t>North Georgia Loans, Inc.</t>
  </si>
  <si>
    <t>Zieg Law Group, LLC</t>
  </si>
  <si>
    <t>GULF ATLANTIC FUNDING GROUP INC.</t>
  </si>
  <si>
    <t>CR-MPM, LLC dba Don Carro</t>
  </si>
  <si>
    <t>The Student Loan Project, Inc.</t>
  </si>
  <si>
    <t>ACC Management, Inc.</t>
  </si>
  <si>
    <t>208 Capital Holdings LLC</t>
  </si>
  <si>
    <t>J&amp;H Systems, LLC</t>
  </si>
  <si>
    <t>Ideal Direct Solutions</t>
  </si>
  <si>
    <t>Sprunger Law Office, LLC</t>
  </si>
  <si>
    <t>Georgia Assessment Recovery, LLC</t>
  </si>
  <si>
    <t>CHOICE LENDING CORP</t>
  </si>
  <si>
    <t>Homeland Financial Network, Inc.</t>
  </si>
  <si>
    <t>Leon Financial Services</t>
  </si>
  <si>
    <t>Appalachian Lending Corporation</t>
  </si>
  <si>
    <t>Auto Loan Inc.</t>
  </si>
  <si>
    <t>HK Recovery Group Inc.</t>
  </si>
  <si>
    <t>WESTERN OHIO MORTGAGE</t>
  </si>
  <si>
    <t>Student Advisor Center LLC</t>
  </si>
  <si>
    <t>COASTAL LAW FIRM, APLC</t>
  </si>
  <si>
    <t>Activo Corp</t>
  </si>
  <si>
    <t>REGENCY MORTGAGE CORP.</t>
  </si>
  <si>
    <t>Miranda Holdings LLC DBA Total Credit Relief</t>
  </si>
  <si>
    <t>MTACC Inc.</t>
  </si>
  <si>
    <t>VISION ONE MORTGAGE</t>
  </si>
  <si>
    <t>I.P.M. Group LLC</t>
  </si>
  <si>
    <t>PRODIGY MORTGAGE CORP</t>
  </si>
  <si>
    <t>J &amp; K Financial Services, LLC</t>
  </si>
  <si>
    <t>Barton Benson Jones PLLC</t>
  </si>
  <si>
    <t>Welcome Home Finance</t>
  </si>
  <si>
    <t>Ladera Ranch Home Loans, Inc.</t>
  </si>
  <si>
    <t>LD Settlement Services, LLC</t>
  </si>
  <si>
    <t>Dennis P Lee P.C., L.L.O.</t>
  </si>
  <si>
    <t>American 1st Rate Mortgage, LLC</t>
  </si>
  <si>
    <t>Kwest Mortgage Group,  LLC</t>
  </si>
  <si>
    <t>The Mortgage Specialists, Inc.</t>
  </si>
  <si>
    <t>Helvetica Servicing Inc.</t>
  </si>
  <si>
    <t>Dedicated Credit Repair</t>
  </si>
  <si>
    <t>Automania, Inc</t>
  </si>
  <si>
    <t>BYTE FEDERAL, INC.</t>
  </si>
  <si>
    <t>Tal Lewis Incorporated</t>
  </si>
  <si>
    <t>Management Location Services Inc.</t>
  </si>
  <si>
    <t>WCS FUNDING GROUP, INC.</t>
  </si>
  <si>
    <t>EZ Financing Inc</t>
  </si>
  <si>
    <t>Fast Money Loan</t>
  </si>
  <si>
    <t>Advance Paychecks,  LLC</t>
  </si>
  <si>
    <t>Pitbladdo Botteron and Jarvis, LLC</t>
  </si>
  <si>
    <t>Maynard Nexsen PC</t>
  </si>
  <si>
    <t>Retailers' Credit Association of Grass Valley, Inc.</t>
  </si>
  <si>
    <t>Spec Hoffman Auto Sales Inc.</t>
  </si>
  <si>
    <t>Lucie, Scalf, Sutton &amp; Bougher, Attorney At Law</t>
  </si>
  <si>
    <t>PrimeLine Capital, Inc.</t>
  </si>
  <si>
    <t>American Billing &amp; Collection</t>
  </si>
  <si>
    <t>CORPORATE INVESTORS MORTGAGE</t>
  </si>
  <si>
    <t>Caramel Dealer Services, LLC</t>
  </si>
  <si>
    <t>Padfield &amp; Stout, LLP</t>
  </si>
  <si>
    <t>Alexander, Winton &amp; Associates, Inc.</t>
  </si>
  <si>
    <t>World Credit Recovery, LLC</t>
  </si>
  <si>
    <t>ResidentCheck, Inc.</t>
  </si>
  <si>
    <t>CollectPark, LLC</t>
  </si>
  <si>
    <t>Right Key Mortgage, LLC</t>
  </si>
  <si>
    <t>Fair Credit Firm  (Kona Credit)</t>
  </si>
  <si>
    <t>MILES FUNDING, L.L.C.</t>
  </si>
  <si>
    <t>Real Property Title Group LLC</t>
  </si>
  <si>
    <t>Thrifty Motors Inc.</t>
  </si>
  <si>
    <t>Car Credit Solutions, Inc.</t>
  </si>
  <si>
    <t>MM RV JV 1, LLC</t>
  </si>
  <si>
    <t>Mid Valley Financial</t>
  </si>
  <si>
    <t>Medical Debt Management</t>
  </si>
  <si>
    <t>FIRST OHIO HOME FINANCE, INC</t>
  </si>
  <si>
    <t>Safe Harbor Funding LLC</t>
  </si>
  <si>
    <t>Loan Garden LLC</t>
  </si>
  <si>
    <t>Empire Mortgage (NV)</t>
  </si>
  <si>
    <t>Lawyers Title of Cincinnati, Inc.</t>
  </si>
  <si>
    <t>Heritage Pacific Financial, LLC</t>
  </si>
  <si>
    <t>Oakdale Group of Companies, LLC</t>
  </si>
  <si>
    <t>Legal Alliance Network</t>
  </si>
  <si>
    <t>First Mile Group, Inc.</t>
  </si>
  <si>
    <t>Foundation Realty Group</t>
  </si>
  <si>
    <t>Law Office of Michael R Naughton</t>
  </si>
  <si>
    <t>Critical Ideas, Inc.</t>
  </si>
  <si>
    <t>Intercounty Mortgage Network Corp.</t>
  </si>
  <si>
    <t>Whitewater Recovery Solutions, LLC</t>
  </si>
  <si>
    <t>Rock Solid Funding, LLC</t>
  </si>
  <si>
    <t>M3 Financial Services, Inc.</t>
  </si>
  <si>
    <t>Rithm Capital Corp.</t>
  </si>
  <si>
    <t>McGlinchey Stafford PLLC</t>
  </si>
  <si>
    <t>Avenify Corporation</t>
  </si>
  <si>
    <t>Maryland Mutual Mortgage, LLC</t>
  </si>
  <si>
    <t>Mortgage Vintage Inc.</t>
  </si>
  <si>
    <t>Prisma Capital LLC</t>
  </si>
  <si>
    <t>Cember &amp; Cember P.C.</t>
  </si>
  <si>
    <t>Truemper, Titiner &amp; brouch Ltd</t>
  </si>
  <si>
    <t>Premier Lending and Real Estate</t>
  </si>
  <si>
    <t>MERFICAP, LLC</t>
  </si>
  <si>
    <t>Wilner &amp; Associates, Inc.</t>
  </si>
  <si>
    <t>Vis Law, LLC</t>
  </si>
  <si>
    <t>Homelife International Mortgage Co. Inc.</t>
  </si>
  <si>
    <t>West Michigan Mortgage, LLC</t>
  </si>
  <si>
    <t>Advocates Professional Services, Inc.</t>
  </si>
  <si>
    <t>DK Auto LLC</t>
  </si>
  <si>
    <t>MAKENNA KALI &amp; ASSOCIATES, INCORPORATED</t>
  </si>
  <si>
    <t>Blackwell, Burns &amp; Pratt</t>
  </si>
  <si>
    <t>Community Credit of Leeds, Inc.</t>
  </si>
  <si>
    <t>Schriever Legal, PLLC</t>
  </si>
  <si>
    <t>AARON DELGADO AND ASSOCIATES INC</t>
  </si>
  <si>
    <t>Class Financial</t>
  </si>
  <si>
    <t>R.M. Jackson &amp; Associates, P.C.</t>
  </si>
  <si>
    <t>THE GUERRINI LAW FIRM</t>
  </si>
  <si>
    <t>River Ridge Financial Solutions, LLC</t>
  </si>
  <si>
    <t>Coconut Point Finance</t>
  </si>
  <si>
    <t>Better Debt Solutions LLC</t>
  </si>
  <si>
    <t>Academy Mortgage Corporation (NY)</t>
  </si>
  <si>
    <t>Haws, Inc. d/b/a Loan House</t>
  </si>
  <si>
    <t>Superior Settlement Services LLC</t>
  </si>
  <si>
    <t>Kyle Law Group, P.C.</t>
  </si>
  <si>
    <t>Escrow of the West</t>
  </si>
  <si>
    <t>ALLIED NATIONAL INC</t>
  </si>
  <si>
    <t>Advantage Finance LLC</t>
  </si>
  <si>
    <t>DEBTWEBEX, LLC</t>
  </si>
  <si>
    <t>STREETER BROTHERS MORTGAGE CORPORATION</t>
  </si>
  <si>
    <t>Equity Express Mortgage, LLC</t>
  </si>
  <si>
    <t>EDULOAN DOCS</t>
  </si>
  <si>
    <t>TRINITY CREDIT SERVICES</t>
  </si>
  <si>
    <t>Urban Settlement Services, LLC</t>
  </si>
  <si>
    <t>Hart West Financial, Inc</t>
  </si>
  <si>
    <t>College Lending Solutions of Salem</t>
  </si>
  <si>
    <t>Derricka Harwell Enterprises</t>
  </si>
  <si>
    <t>PPCC, Inc. dba Allied Collection Resources, Inc.</t>
  </si>
  <si>
    <t>16 Hands LLC. dba Fiducius</t>
  </si>
  <si>
    <t>CASH IN A FLASH INC</t>
  </si>
  <si>
    <t>Normandy Corporation</t>
  </si>
  <si>
    <t>Unlock Wealth $</t>
  </si>
  <si>
    <t>Daramad LLC</t>
  </si>
  <si>
    <t>Shop Your Own Corp</t>
  </si>
  <si>
    <t>Accountable Finance Inc</t>
  </si>
  <si>
    <t>Peterson Young P.C., d/b/a  Miller Cohen Peterson Young P.C.</t>
  </si>
  <si>
    <t>Rosen Harwood, P.A.</t>
  </si>
  <si>
    <t>Automotive Financial of America, Inc.</t>
  </si>
  <si>
    <t>ACG FUNDING INC</t>
  </si>
  <si>
    <t>Richard D. London &amp; Associates, P.C.</t>
  </si>
  <si>
    <t>United Services Veterans Mortgage, LLC</t>
  </si>
  <si>
    <t>America's Mortgage Lender, L.L.C.</t>
  </si>
  <si>
    <t>CARILION CLINIC</t>
  </si>
  <si>
    <t>Wyolaw, LLC</t>
  </si>
  <si>
    <t>Fortune Title Agency, Inc.</t>
  </si>
  <si>
    <t>Two Dots Inc.</t>
  </si>
  <si>
    <t>AMERICAN FAMILY FUNDING GROUP Inc.</t>
  </si>
  <si>
    <t>Credit Bureau of Marianna, Inc</t>
  </si>
  <si>
    <t>Diversified Company</t>
  </si>
  <si>
    <t>Cycleone Financial Group</t>
  </si>
  <si>
    <t>Kolter Financial Services, LLC</t>
  </si>
  <si>
    <t>INTEGRITY CREDIT CORPORATION</t>
  </si>
  <si>
    <t>Action Rent To Own</t>
  </si>
  <si>
    <t>Asset Law Group, P.C.</t>
  </si>
  <si>
    <t>Equinox Home Financing, Inc.</t>
  </si>
  <si>
    <t>AML Funding LLC</t>
  </si>
  <si>
    <t>Doctor Billa LLC</t>
  </si>
  <si>
    <t>Devon Clark Currency Exchange, Inc</t>
  </si>
  <si>
    <t>INTEGRA SERVICING, LLC</t>
  </si>
  <si>
    <t>Tri-Cities Finance Company</t>
  </si>
  <si>
    <t>Precision Capital Mediation</t>
  </si>
  <si>
    <t>Rutherford Credit</t>
  </si>
  <si>
    <t>Grassland Financial Services, LLC</t>
  </si>
  <si>
    <t>VanKeef Financial LLC</t>
  </si>
  <si>
    <t>Associated Management Company Inc</t>
  </si>
  <si>
    <t>Belem Servicing LLC</t>
  </si>
  <si>
    <t>Regional Mediation Associates LLC</t>
  </si>
  <si>
    <t>Advent Financial Systems, LLC</t>
  </si>
  <si>
    <t>The Law Office of Ginger Crosby Zuravel</t>
  </si>
  <si>
    <t>1st Maryland Mortgage Corporation</t>
  </si>
  <si>
    <t>Neat Capital Inc.</t>
  </si>
  <si>
    <t>Best Loan Service, LLC.</t>
  </si>
  <si>
    <t>DirectArms</t>
  </si>
  <si>
    <t>Oplis Financial LLC</t>
  </si>
  <si>
    <t>Results! Dental Collection Services, LLC</t>
  </si>
  <si>
    <t>Metrolina Credit Co. of Burlington, INC.</t>
  </si>
  <si>
    <t>Commerce Credit Corp.</t>
  </si>
  <si>
    <t>Broadway Advance LLC</t>
  </si>
  <si>
    <t>Kovach Law Firm, PLLC</t>
  </si>
  <si>
    <t>First Commerce, LLC</t>
  </si>
  <si>
    <t>We Find Everyone, Inc.</t>
  </si>
  <si>
    <t>Missouri Loan Center LLC</t>
  </si>
  <si>
    <t>Eagle Rentals, Inc</t>
  </si>
  <si>
    <t>Taekus Inc</t>
  </si>
  <si>
    <t>Advanced Credit Management</t>
  </si>
  <si>
    <t>Financial Aid Network, LLC</t>
  </si>
  <si>
    <t>snw investments</t>
  </si>
  <si>
    <t>REVERSE MORTGAGE USA, INC.</t>
  </si>
  <si>
    <t>MotoRefi, Inc.</t>
  </si>
  <si>
    <t>Augusta Financial, Inc.</t>
  </si>
  <si>
    <t>CNP Solutions</t>
  </si>
  <si>
    <t>Steven R. Hrdlicka, Attorney at Law</t>
  </si>
  <si>
    <t>Vion Holdco I LLC</t>
  </si>
  <si>
    <t>BOVA Financial Group LLC</t>
  </si>
  <si>
    <t>Scott and Goldman, Inc.</t>
  </si>
  <si>
    <t>Andy Bowers &amp; Associates LLC</t>
  </si>
  <si>
    <t>EXECUTIVE FINANCIAL GROUP</t>
  </si>
  <si>
    <t>Loandrone, Inc.</t>
  </si>
  <si>
    <t>Comenity Bank</t>
  </si>
  <si>
    <t>Goldman, Imani &amp; Goldberg, Inc</t>
  </si>
  <si>
    <t>GREATAMERICA FINANCIAL SERVICES CORP.</t>
  </si>
  <si>
    <t>Law Offices of Bradley G Nykamp PC</t>
  </si>
  <si>
    <t>Divergent Consumer Services</t>
  </si>
  <si>
    <t>Arundina, LLC</t>
  </si>
  <si>
    <t>Student Loan Control, LLC</t>
  </si>
  <si>
    <t>Titan Title &amp; Closing, LLC</t>
  </si>
  <si>
    <t>ISCC, LLC</t>
  </si>
  <si>
    <t>United Mortgage Services, LLC</t>
  </si>
  <si>
    <t>Insight Financial Services LLC</t>
  </si>
  <si>
    <t>Allied Consumer Assistance</t>
  </si>
  <si>
    <t>Horizon Digital Finance Holdings, Inc</t>
  </si>
  <si>
    <t>Betz-Mitchell Associates, Inc.</t>
  </si>
  <si>
    <t>West Penn Financial Service Center, Inc.</t>
  </si>
  <si>
    <t>DMA Financial Corp.</t>
  </si>
  <si>
    <t>NORTHSTAR FUNDING INC</t>
  </si>
  <si>
    <t>First Choice Credit Management</t>
  </si>
  <si>
    <t>Sure Recovery Service LLC</t>
  </si>
  <si>
    <t>Optimum First, Inc.</t>
  </si>
  <si>
    <t>Nexgen Services Inc</t>
  </si>
  <si>
    <t>TM Communication LLC</t>
  </si>
  <si>
    <t>Liberty Finance Co., Inc.</t>
  </si>
  <si>
    <t>Kevin A. Stevens</t>
  </si>
  <si>
    <t>PIC Capital, Inc. dba Direct Home Lending</t>
  </si>
  <si>
    <t>FMK Credit Education Center, INC</t>
  </si>
  <si>
    <t>Public Auto Sales Inc.</t>
  </si>
  <si>
    <t>HJ Ventures, LLC</t>
  </si>
  <si>
    <t>Costello Sury &amp; Rooney, P.C.</t>
  </si>
  <si>
    <t>RumbleOn Finance LLC</t>
  </si>
  <si>
    <t>Unisource Joint Ventures LLC</t>
  </si>
  <si>
    <t>MST Consulting LLC</t>
  </si>
  <si>
    <t>TK Credit Recovery, Inc</t>
  </si>
  <si>
    <t>Meridian Title  Corporation</t>
  </si>
  <si>
    <t>Direct, Inc</t>
  </si>
  <si>
    <t>HomeQuest Mortgage Corporation</t>
  </si>
  <si>
    <t>MarineMax East, Inc.</t>
  </si>
  <si>
    <t>Mortgage One Solutions, Inc.</t>
  </si>
  <si>
    <t>ACCORD CREDITOR SERVICES, LLC</t>
  </si>
  <si>
    <t>Biorn Corporation</t>
  </si>
  <si>
    <t>DocuService</t>
  </si>
  <si>
    <t>Paradigm Capital Group</t>
  </si>
  <si>
    <t>Seth L. Goldner PC</t>
  </si>
  <si>
    <t>Equinox Counseling Services</t>
  </si>
  <si>
    <t>The Westmoore Group, LLC</t>
  </si>
  <si>
    <t>ZOOM HOME LENDING LLC</t>
  </si>
  <si>
    <t>Boomerang Capital Partners, LLC</t>
  </si>
  <si>
    <t>AM Systems, LLC</t>
  </si>
  <si>
    <t>Glick Management, LLC</t>
  </si>
  <si>
    <t>TITLE MIDWEST INC</t>
  </si>
  <si>
    <t>Argolica, LLC</t>
  </si>
  <si>
    <t>William J Allen, P.A.</t>
  </si>
  <si>
    <t>Florida Pro Mortgage LLC</t>
  </si>
  <si>
    <t>Tex-Mex Primo Auto Sales</t>
  </si>
  <si>
    <t>Hawk, Haynie, Kammeyer &amp; Smith, LLP</t>
  </si>
  <si>
    <t>Barker Financial LLC</t>
  </si>
  <si>
    <t>THE JUDGE LAW FIRM, A LAW CORPORATION</t>
  </si>
  <si>
    <t>Fairway Consumer Discount Company</t>
  </si>
  <si>
    <t>The Borrowing Club</t>
  </si>
  <si>
    <t>Community Home Lending</t>
  </si>
  <si>
    <t>Elmview Management Services</t>
  </si>
  <si>
    <t>Scott‚Äôs Jewelry &amp; Pawn Inc.</t>
  </si>
  <si>
    <t>J&amp;D Recovery, Inc.</t>
  </si>
  <si>
    <t>National Background Solution</t>
  </si>
  <si>
    <t>Onset Financial, Inc.</t>
  </si>
  <si>
    <t>DAVID W. EDWARDS, P.C.</t>
  </si>
  <si>
    <t>ARP &amp; Associates LLC</t>
  </si>
  <si>
    <t>Atlas Acquisitions LLC</t>
  </si>
  <si>
    <t>Parker &amp; Associates</t>
  </si>
  <si>
    <t>ClearBalance Holdings, LLC</t>
  </si>
  <si>
    <t>Certify Student Services</t>
  </si>
  <si>
    <t>Horizon West Financial, Inc</t>
  </si>
  <si>
    <t>Affirmative Law, PC</t>
  </si>
  <si>
    <t>The Law Office of Alan Pritchard, PLLC</t>
  </si>
  <si>
    <t>All Home Lending, Inc.</t>
  </si>
  <si>
    <t>JP Development, Inc.</t>
  </si>
  <si>
    <t>Asset Pursuit, LLC</t>
  </si>
  <si>
    <t>Selection Management Systems, Inc.</t>
  </si>
  <si>
    <t>Stewart Title of Sacramento\Placer</t>
  </si>
  <si>
    <t>SUNSTREET MORTGAGE LLC</t>
  </si>
  <si>
    <t>Surepay Lending Group LLC</t>
  </si>
  <si>
    <t>OP Group Holdings, LLC</t>
  </si>
  <si>
    <t>CLuisMortgages, LLC</t>
  </si>
  <si>
    <t>Key, Greer, Harrison &amp; Casey</t>
  </si>
  <si>
    <t>Lone Star Credit Co. Inc</t>
  </si>
  <si>
    <t>ATKB PORTFOLIO MANAGEMENT, LLC</t>
  </si>
  <si>
    <t>1st Nationwide Mortgage of Texas Corp.</t>
  </si>
  <si>
    <t>Monroe Credit, LLC</t>
  </si>
  <si>
    <t>National Account Systems of Madison, Inc</t>
  </si>
  <si>
    <t>ONE WAY RECOVERY SOLUTIONS, LLC</t>
  </si>
  <si>
    <t>FundFlare LLC</t>
  </si>
  <si>
    <t>The Zellman Group, LLC</t>
  </si>
  <si>
    <t>Curo Inc.</t>
  </si>
  <si>
    <t>Accelerate Financial, LLC</t>
  </si>
  <si>
    <t>Layer2 Financial Inc.</t>
  </si>
  <si>
    <t>Consumers Alliance Processing Corporation</t>
  </si>
  <si>
    <t>Council Law Group, PLLC</t>
  </si>
  <si>
    <t>Commercial and Medical Credit Services</t>
  </si>
  <si>
    <t>Longhorn Asset Management LLC</t>
  </si>
  <si>
    <t>AHL Funding</t>
  </si>
  <si>
    <t>East Coast Capital Corp</t>
  </si>
  <si>
    <t>PRIME MORTGAGE LENDING, INC</t>
  </si>
  <si>
    <t>APEX HOME LOANS</t>
  </si>
  <si>
    <t>Directors Financial Group</t>
  </si>
  <si>
    <t>Best in Funding, Inc.</t>
  </si>
  <si>
    <t>American Fidelity Mortgage Services, Inc.</t>
  </si>
  <si>
    <t>Southern Freedom Financial Services, LLC</t>
  </si>
  <si>
    <t>Gershfeld Law Group, P.C.</t>
  </si>
  <si>
    <t>Insight Financial, LLC</t>
  </si>
  <si>
    <t>CREDIGY SOLUTIONS INC.</t>
  </si>
  <si>
    <t>SUN AMERICAN MORTGAGE</t>
  </si>
  <si>
    <t>RESIDENTIAL MORTGAGE CORP</t>
  </si>
  <si>
    <t>First Wholesale Lending, Inc</t>
  </si>
  <si>
    <t>Layfayette Funding</t>
  </si>
  <si>
    <t>TriMark Financial Solutions DBA Distressed Mortgage Solutions</t>
  </si>
  <si>
    <t>Cascade Collections LLC</t>
  </si>
  <si>
    <t>RETAIL MERCHANTS ASSOCIATION OF LUBBOCK</t>
  </si>
  <si>
    <t>Harrison Financial Group</t>
  </si>
  <si>
    <t>SHAPIRO LAW OFFICE, PC</t>
  </si>
  <si>
    <t>Student Loans Consolidated, Inc</t>
  </si>
  <si>
    <t>AAA COLLECTORS, INC.</t>
  </si>
  <si>
    <t>Flagstone Financial Services, Inc.</t>
  </si>
  <si>
    <t>Armand Law Group, PLLC.</t>
  </si>
  <si>
    <t>99th Floor LLC</t>
  </si>
  <si>
    <t>Castle Rock Mortgage, LLC</t>
  </si>
  <si>
    <t>PRICE FINANCIAL SERVICES</t>
  </si>
  <si>
    <t>Alpine Mortgage Services, LLC</t>
  </si>
  <si>
    <t>Silvermine Ventures, LLC</t>
  </si>
  <si>
    <t>Capital 1 Consultants</t>
  </si>
  <si>
    <t>NORTHPOINT MORTGAGE, INC.</t>
  </si>
  <si>
    <t>Harris Law Group</t>
  </si>
  <si>
    <t>Vericheck</t>
  </si>
  <si>
    <t>Rate Plus, Inc.</t>
  </si>
  <si>
    <t>South Fork Funding, inc.</t>
  </si>
  <si>
    <t>Williams -Williams Commercial Collections, Inc</t>
  </si>
  <si>
    <t>F&amp;B Acquisition Group LLC</t>
  </si>
  <si>
    <t>JRCM, LLC</t>
  </si>
  <si>
    <t>Texas National Holding, LLC</t>
  </si>
  <si>
    <t>Enhanced Recovery Services 2, Inc.</t>
  </si>
  <si>
    <t>Loancare Auto Finance</t>
  </si>
  <si>
    <t>Evans &amp; Green LLP</t>
  </si>
  <si>
    <t>Clifton Mortgage Services, LLC</t>
  </si>
  <si>
    <t>Retail Recovery Service N. J., Inc.</t>
  </si>
  <si>
    <t>MORTGAGE LINK, INC., THE</t>
  </si>
  <si>
    <t>Accenture LLP</t>
  </si>
  <si>
    <t>Educational Opportunity</t>
  </si>
  <si>
    <t>Securitas Financial Inc</t>
  </si>
  <si>
    <t>Ekimoto &amp; Morris, a Hawaii Limited Liability Law Company</t>
  </si>
  <si>
    <t>Xapo, Inc.</t>
  </si>
  <si>
    <t>McManamy, McLeod, Heller, LLC</t>
  </si>
  <si>
    <t>Greenberg Law Firm, Professional Corporation</t>
  </si>
  <si>
    <t>Scott-Roberts and Associates LLC</t>
  </si>
  <si>
    <t>Allarin Professional Group LLC</t>
  </si>
  <si>
    <t>Global DS Group LLC</t>
  </si>
  <si>
    <t>Nationwide TFS, LLC</t>
  </si>
  <si>
    <t>Middlegate Funding LLC</t>
  </si>
  <si>
    <t>BON TERRE CREDIT, LLC</t>
  </si>
  <si>
    <t>Dowler Law Firm, PLLC</t>
  </si>
  <si>
    <t>Northwest Title Company</t>
  </si>
  <si>
    <t>www.TrustScience.com USA Inc.</t>
  </si>
  <si>
    <t>States Resources Corp.</t>
  </si>
  <si>
    <t>JMBM Investments And LRAR Investments</t>
  </si>
  <si>
    <t>Advansse, Inc</t>
  </si>
  <si>
    <t>snapfi, inc.</t>
  </si>
  <si>
    <t>Julem Capital Corp</t>
  </si>
  <si>
    <t>Harrison Financial, LLC</t>
  </si>
  <si>
    <t>Simple Solutions Credit &amp; Debt Consulting Inc.</t>
  </si>
  <si>
    <t>Atlas Mortgage Partners, LLC</t>
  </si>
  <si>
    <t>CapitalHut Finance</t>
  </si>
  <si>
    <t>MTAG Services, LLC</t>
  </si>
  <si>
    <t>TITLE FINANCIAL CORPORATION</t>
  </si>
  <si>
    <t>COOPERATIVA DE AHORRO Y CREDITO BARRANQUITAS</t>
  </si>
  <si>
    <t>Powerhouse Solutions, Inc.</t>
  </si>
  <si>
    <t>CAC Services, Inc.</t>
  </si>
  <si>
    <t>AMERICAN HOME MORTGAGE, INC.</t>
  </si>
  <si>
    <t>Lakeview Mortgage Inc.</t>
  </si>
  <si>
    <t>Lakeland Recovery Solutions</t>
  </si>
  <si>
    <t>Tango Delta Financial, Inc.</t>
  </si>
  <si>
    <t>Branson Quick Cash, Inc.</t>
  </si>
  <si>
    <t>FIRST RATE MORTGAGE CORP</t>
  </si>
  <si>
    <t>RenoFi Inc.</t>
  </si>
  <si>
    <t>Albert E. Acuna, P.A.</t>
  </si>
  <si>
    <t>ERI Financial Services</t>
  </si>
  <si>
    <t>CLS Mortgage Inc.</t>
  </si>
  <si>
    <t>Strand Finance Inc.</t>
  </si>
  <si>
    <t>Lafayette, Ayers &amp; Whitlock, PLC</t>
  </si>
  <si>
    <t>WESTERN EXPRESS LENDING</t>
  </si>
  <si>
    <t>The Wilhelm Law Group, LLC</t>
  </si>
  <si>
    <t>SIBCY CLINE MORTGAGE SERVICE</t>
  </si>
  <si>
    <t>COMPASS FINANCIAL HOLDING GROUP, LLC</t>
  </si>
  <si>
    <t>NORTH AMERICAN FINANCIAL CORP</t>
  </si>
  <si>
    <t>Huron Law Group PLLC</t>
  </si>
  <si>
    <t>First Sun Financial Inc</t>
  </si>
  <si>
    <t>Debt Recovery Pro ,LLC</t>
  </si>
  <si>
    <t>T &amp; I Enterprises, LLC</t>
  </si>
  <si>
    <t>Full Service Mortgage Group, LLC</t>
  </si>
  <si>
    <t>HAC Holding Inc.</t>
  </si>
  <si>
    <t>Brian P. Mickles, PLLC</t>
  </si>
  <si>
    <t>Williams Starbuck</t>
  </si>
  <si>
    <t>Assets Recovered, LLC</t>
  </si>
  <si>
    <t>Maury's Motors Inc DBA Midpoint Auto Group</t>
  </si>
  <si>
    <t>Greeneville Collection Service, Inc.</t>
  </si>
  <si>
    <t>Hertzmark, Crean &amp; Lahey, LLP.</t>
  </si>
  <si>
    <t>Boich Law Offices</t>
  </si>
  <si>
    <t>MORTGAGE FINANCIAL SERVICES</t>
  </si>
  <si>
    <t>Santo Domingo Motors Inc.</t>
  </si>
  <si>
    <t>Law Offices of Paul L. Marks, P.L.L.C</t>
  </si>
  <si>
    <t>Sagal, Filbert, Quasney &amp; Betten, P. A.</t>
  </si>
  <si>
    <t>Southwest Finance, L.L.C.</t>
  </si>
  <si>
    <t>Cypress Creek Financial, LLC</t>
  </si>
  <si>
    <t>ALPHA COLLECTION SERVICES</t>
  </si>
  <si>
    <t>Roseth Mortgage LLC</t>
  </si>
  <si>
    <t>David B. Schumacher, P.C.</t>
  </si>
  <si>
    <t>Law Office of David A. Bader, LLC</t>
  </si>
  <si>
    <t>RUSH COLLECTIONS AGENCY, CORP.</t>
  </si>
  <si>
    <t>SCENIC OAKS FUNDING</t>
  </si>
  <si>
    <t>Ahn Management LLC</t>
  </si>
  <si>
    <t>Homefront Mortgages, Inc</t>
  </si>
  <si>
    <t>Electric Solidus LLC</t>
  </si>
  <si>
    <t>MovoCash, Inc.</t>
  </si>
  <si>
    <t>Real Property Business Services, Inc.</t>
  </si>
  <si>
    <t>Levon Gukasyan DBA Garman Financial</t>
  </si>
  <si>
    <t>American Preferred Lending</t>
  </si>
  <si>
    <t>LegumFitzpatrick, PLC</t>
  </si>
  <si>
    <t>Collection Specialists</t>
  </si>
  <si>
    <t>Salmon Law Firm PLLC</t>
  </si>
  <si>
    <t>Lovitts Auto Sales Inc</t>
  </si>
  <si>
    <t>OMNI MORTGAGE CORP.</t>
  </si>
  <si>
    <t>Jones &amp; Walden, LLC</t>
  </si>
  <si>
    <t>Amerivest Mortgages</t>
  </si>
  <si>
    <t>ZIP CAPITAL GROUP, LLC</t>
  </si>
  <si>
    <t>Headwaters Financial Corp.</t>
  </si>
  <si>
    <t>US Mortgage Lenders LLC</t>
  </si>
  <si>
    <t>Heis &amp; Wenstrup Co., L.P.A</t>
  </si>
  <si>
    <t>Southern Fidelity Mortgage Group of Huntsville</t>
  </si>
  <si>
    <t>Great Northern Mortgage Corp.</t>
  </si>
  <si>
    <t>Cash Advance Centers of KY, Inc.</t>
  </si>
  <si>
    <t>William A. Hecht, P.C.</t>
  </si>
  <si>
    <t>Law Offices of Thomas B. Peterman, P.A.</t>
  </si>
  <si>
    <t>MORTGAGE FINANCIAL SERVICES, INC</t>
  </si>
  <si>
    <t>MCGLONE MORTGAGE COMPANY, INC.</t>
  </si>
  <si>
    <t>Philip Sellers P.C.</t>
  </si>
  <si>
    <t>CREDIT CARD MANAGEMENT SERVICES INC</t>
  </si>
  <si>
    <t>MBM Collections, LLC</t>
  </si>
  <si>
    <t>Island Portfolios Services, LLC</t>
  </si>
  <si>
    <t>Imagine Home Lending, LLC</t>
  </si>
  <si>
    <t>Orion Title &amp; Escrow LLC</t>
  </si>
  <si>
    <t>Northern Lakes Mortgage LLC</t>
  </si>
  <si>
    <t>SECURITY HOME MORTGAGE</t>
  </si>
  <si>
    <t>Keystone Funding, Inc.</t>
  </si>
  <si>
    <t>Manufacturers Acceptance Corp.</t>
  </si>
  <si>
    <t>Elite Mortgage Funding inc</t>
  </si>
  <si>
    <t>Sky Venture Holdings LLC</t>
  </si>
  <si>
    <t>College Guidance Resources  LLC</t>
  </si>
  <si>
    <t>Fortress University Inc.</t>
  </si>
  <si>
    <t>1st Florida Lending CORP</t>
  </si>
  <si>
    <t>Armin, O'Conner &amp; Boch, LLC</t>
  </si>
  <si>
    <t>LAW OFFICES OF RANDALL L. PRATT, P.C.</t>
  </si>
  <si>
    <t>Members Mortgage Services, L.L.C.</t>
  </si>
  <si>
    <t>Texas Mortgage Lending LLC</t>
  </si>
  <si>
    <t>Ace Customer Services, LLC</t>
  </si>
  <si>
    <t>Business Starters, Inc</t>
  </si>
  <si>
    <t>Shield Home Loans Inc.</t>
  </si>
  <si>
    <t>TOWER MORTGAGE CORPORATION</t>
  </si>
  <si>
    <t>Accredited Land Transfer Col, Inc.</t>
  </si>
  <si>
    <t>Cambridge Credit Counseling Corp.</t>
  </si>
  <si>
    <t>Henschel &amp; Beinhaker P.A.</t>
  </si>
  <si>
    <t>HR MORTGAGE CORPORATION</t>
  </si>
  <si>
    <t>Great Lakes Entities</t>
  </si>
  <si>
    <t>A.L. Babbs and Associates, LLC</t>
  </si>
  <si>
    <t>SIRY INC., DBA SIRY AUTO GROUP</t>
  </si>
  <si>
    <t>Fairfax Lending Inc.</t>
  </si>
  <si>
    <t>Prosperity Connection</t>
  </si>
  <si>
    <t>Landmark Mortgage LLC</t>
  </si>
  <si>
    <t>Kratochvil Law, P.C.</t>
  </si>
  <si>
    <t>Eads Murray &amp; Pugh, P.C.</t>
  </si>
  <si>
    <t>Tapper and Fratto, LLC</t>
  </si>
  <si>
    <t>DoubleCheck Solutions</t>
  </si>
  <si>
    <t>Instant Loans, Inc</t>
  </si>
  <si>
    <t>Select One Mortgage, Inc.</t>
  </si>
  <si>
    <t>245 Holdings LLC</t>
  </si>
  <si>
    <t>CREDIT BUSINESS SERVICES, INC.</t>
  </si>
  <si>
    <t>Bailey &amp; Galyen</t>
  </si>
  <si>
    <t>Advance Title &amp; Abstract, Inc.</t>
  </si>
  <si>
    <t>Uniquity Financial, LLC</t>
  </si>
  <si>
    <t>Robert P. Tomasso Mortgage Company, Inc</t>
  </si>
  <si>
    <t>Mesce Associates, Inc.</t>
  </si>
  <si>
    <t>INTERACTIVE MORTGAGE</t>
  </si>
  <si>
    <t>Dominion Residential Mortgage, LLC, Fairfax, VA Branch</t>
  </si>
  <si>
    <t>O&amp;G Title, Inc</t>
  </si>
  <si>
    <t>American Home Funding, Inc.</t>
  </si>
  <si>
    <t>Eckhoff &amp; Massarelli, P.C.</t>
  </si>
  <si>
    <t>1 Stop Payday Loan Services LLC</t>
  </si>
  <si>
    <t>Home Mortgage Finance Corp</t>
  </si>
  <si>
    <t>MORTGAGE 4 U LLC</t>
  </si>
  <si>
    <t>Ultimate Analysis Billing</t>
  </si>
  <si>
    <t>Newman &amp; Lickstein</t>
  </si>
  <si>
    <t>Morningside Funding LLC</t>
  </si>
  <si>
    <t>Check Loans of South Carolina, Inc.</t>
  </si>
  <si>
    <t>Moran Financial Group LLC</t>
  </si>
  <si>
    <t>Stratedge Inc</t>
  </si>
  <si>
    <t>North Prime Lending Inc</t>
  </si>
  <si>
    <t>KCM &amp; AHS LLC</t>
  </si>
  <si>
    <t>CURevl LLC</t>
  </si>
  <si>
    <t>TARRANT GROUP, LLC</t>
  </si>
  <si>
    <t>iCollect.com, Corp.</t>
  </si>
  <si>
    <t>Southeastern Mortgage Corporation</t>
  </si>
  <si>
    <t>Vertical Capital Asset Management, LLC</t>
  </si>
  <si>
    <t>ALG Real Estate Services, Inc</t>
  </si>
  <si>
    <t>Mahomes Capital</t>
  </si>
  <si>
    <t>Flyhomes Mortgage, LLC</t>
  </si>
  <si>
    <t>AIM Financial LLC</t>
  </si>
  <si>
    <t>Executive Lending Group, LLC</t>
  </si>
  <si>
    <t>National Cash Lenders, LLC</t>
  </si>
  <si>
    <t>Hays Potter &amp; Martin LLP</t>
  </si>
  <si>
    <t>Fontenot Parker and Associates</t>
  </si>
  <si>
    <t>McCallin Law Offices</t>
  </si>
  <si>
    <t>Fulfillment Financial Solutions</t>
  </si>
  <si>
    <t>FAITH FINANCIAL LLC</t>
  </si>
  <si>
    <t>ANI International, Inc</t>
  </si>
  <si>
    <t>SMB Enterprises, LLC</t>
  </si>
  <si>
    <t>CITY CREDIT CORPORATION</t>
  </si>
  <si>
    <t>Aspen Home Mortgage Group</t>
  </si>
  <si>
    <t>The Law Offices of Matthew R. Wildermuth</t>
  </si>
  <si>
    <t>International Mortgage &amp; Finance Group, Inc.</t>
  </si>
  <si>
    <t>Eisenberg, Gold &amp; Agrawal, P.C.</t>
  </si>
  <si>
    <t>EM Auto Corporation</t>
  </si>
  <si>
    <t>Heller and Frisone, LTD.</t>
  </si>
  <si>
    <t>Affordable Interest Mortgage</t>
  </si>
  <si>
    <t>Resource Marketing Corp. LLC</t>
  </si>
  <si>
    <t>North American Service Company, Inc.</t>
  </si>
  <si>
    <t>TriStar Mortgage Corp</t>
  </si>
  <si>
    <t>STATEWIDE HOME MORTGAGE, INC</t>
  </si>
  <si>
    <t>Thomas Law Firm, P.C.</t>
  </si>
  <si>
    <t>cottman check cashing l.p.</t>
  </si>
  <si>
    <t>William Lavender dba Credit Restoration Services</t>
  </si>
  <si>
    <t>HUDDLESTON AND MOORE, INC.</t>
  </si>
  <si>
    <t>Boxwood Mortgage LLC</t>
  </si>
  <si>
    <t>Madison Avenue Associates</t>
  </si>
  <si>
    <t>Apple Auto Sales, Inc.</t>
  </si>
  <si>
    <t>Basil Lease Corp.</t>
  </si>
  <si>
    <t>RESPONSIVE MORTGAGE CORPORATION</t>
  </si>
  <si>
    <t>Radiant Title, LLC</t>
  </si>
  <si>
    <t>Martin Lake Law Office</t>
  </si>
  <si>
    <t>Blackburn Law Office, LLC</t>
  </si>
  <si>
    <t>COLLECTION AGENCY OF THE HIGH COUNTRY,INC</t>
  </si>
  <si>
    <t>Molinar LLC dba El Patron Title Loans</t>
  </si>
  <si>
    <t>Borns &amp; Steele, P.C.</t>
  </si>
  <si>
    <t>Mortgage South of Tennessee Inc.</t>
  </si>
  <si>
    <t>Wagestream</t>
  </si>
  <si>
    <t>Concord Enterprises, LLC</t>
  </si>
  <si>
    <t>The Law Office of Patrick V. Foltz, P.C.</t>
  </si>
  <si>
    <t>Michigan First Title Agency</t>
  </si>
  <si>
    <t>The Academy Law Group, P.A.</t>
  </si>
  <si>
    <t>Richard J. Knapp &amp; Associates, P.C.</t>
  </si>
  <si>
    <t>MEMBERS MORTGAGE COMPANY, INC.</t>
  </si>
  <si>
    <t>Texas Professional Mortgage LLC</t>
  </si>
  <si>
    <t>LAFOURCHE MORTGAGE &amp; LOAN, INC.</t>
  </si>
  <si>
    <t>JB Motors LLC</t>
  </si>
  <si>
    <t>Hometown Title Agency</t>
  </si>
  <si>
    <t>Fidelity First Real Estate and Mortgage Inc</t>
  </si>
  <si>
    <t>Real Pay, Inc</t>
  </si>
  <si>
    <t>Gregg M. Horowitz, P.A</t>
  </si>
  <si>
    <t>Neuhauser Law PLLC</t>
  </si>
  <si>
    <t>Loan Pronto, Inc.</t>
  </si>
  <si>
    <t>PACOR MORTGAGE CORP.</t>
  </si>
  <si>
    <t>Tuten Title and Escrow, LLC</t>
  </si>
  <si>
    <t>Reset Financial Technologies, Inc.</t>
  </si>
  <si>
    <t>Affinity Mortgage, L.L.C.</t>
  </si>
  <si>
    <t>Community Housing Council of Fresno</t>
  </si>
  <si>
    <t>KITTREDGE MORTGAGE CORPORATION</t>
  </si>
  <si>
    <t>Key Debt Recovery, Inc.</t>
  </si>
  <si>
    <t>Levelset Collection LLC</t>
  </si>
  <si>
    <t>The RaymondPaul Group, LLC</t>
  </si>
  <si>
    <t>Coldwater Mediation Group LLP</t>
  </si>
  <si>
    <t>A.I.T. Credit Services Inc.</t>
  </si>
  <si>
    <t>Injury Case Funding Services LLC D/B/A Injury Case Funding LLC</t>
  </si>
  <si>
    <t>Midstate Finance Company, Inc.</t>
  </si>
  <si>
    <t>Empire Realty Inc. DBA US Funding Co.</t>
  </si>
  <si>
    <t>RHF Commercial Capital, LLC</t>
  </si>
  <si>
    <t>SOUTH COUNTRY CAPITAL MANAGEMENT, LLC</t>
  </si>
  <si>
    <t>GENEQUITY MORTGAGE</t>
  </si>
  <si>
    <t>Jones Law Group, LLC</t>
  </si>
  <si>
    <t>GL Holdings, LLC</t>
  </si>
  <si>
    <t>Brandywine Professional Services</t>
  </si>
  <si>
    <t>US Military Loans, Inc.</t>
  </si>
  <si>
    <t>Buckingham, Doolittle &amp; Burroughs, LLC</t>
  </si>
  <si>
    <t>ATLANTIC COAST FINANCIAL SERVICES, INC.</t>
  </si>
  <si>
    <t>Brian McCaffrey, Attorney At Law</t>
  </si>
  <si>
    <t>Direct Lending Group, Inc</t>
  </si>
  <si>
    <t>Law Office of Marsha D. Holzhauer P.C.</t>
  </si>
  <si>
    <t>Halpin Slagh PC</t>
  </si>
  <si>
    <t>Eagle Auto Credit Inc</t>
  </si>
  <si>
    <t>Cornerstone Mortgage, LLC</t>
  </si>
  <si>
    <t>Alpine Capital Investments, LLC</t>
  </si>
  <si>
    <t>American United Mortgage Corporation</t>
  </si>
  <si>
    <t>EMPIRE HOME MORTGAGE, INC.</t>
  </si>
  <si>
    <t>Deason Title Agency, LLC</t>
  </si>
  <si>
    <t>Pacific National Lending, Inc.</t>
  </si>
  <si>
    <t>PINGPONG GLOBAL SOLUTIONS INC</t>
  </si>
  <si>
    <t>PREMIER HOME MORTGAGE LOANS</t>
  </si>
  <si>
    <t>First Financial of Tennessee Home Loans LLC</t>
  </si>
  <si>
    <t>Fink &amp; McGregor Mortgage, LC</t>
  </si>
  <si>
    <t>Compass Property Group, LLC</t>
  </si>
  <si>
    <t>Lenders Valuation Services</t>
  </si>
  <si>
    <t>onDemand Lending Inc.</t>
  </si>
  <si>
    <t>Excellent Credit Matters LLC</t>
  </si>
  <si>
    <t>National Foreclosure Rescue Center</t>
  </si>
  <si>
    <t>Amplicon LLC</t>
  </si>
  <si>
    <t>Walentine O‚ÄôToole, LLP</t>
  </si>
  <si>
    <t>Pegasus Legal Capital, LLC</t>
  </si>
  <si>
    <t>Quality Title, Inc.</t>
  </si>
  <si>
    <t>Globe Loan Company of Moultrie, Georgia, Inc</t>
  </si>
  <si>
    <t>Castle Restorations, Inc.</t>
  </si>
  <si>
    <t>Metro Capital Mortgage Corporation</t>
  </si>
  <si>
    <t>Mythe Huff &amp; Murphy, PC</t>
  </si>
  <si>
    <t>ALLTRAN FINANCIAL, LP</t>
  </si>
  <si>
    <t>Eblen Freed PC</t>
  </si>
  <si>
    <t>TRISTATE CAPITAL HOLDINGS, INC</t>
  </si>
  <si>
    <t>Capital M Lending, LLC</t>
  </si>
  <si>
    <t>World Wide Pay Day Advance, Inc</t>
  </si>
  <si>
    <t>First Advantage Title Partners, LLC</t>
  </si>
  <si>
    <t>The Car Network llc</t>
  </si>
  <si>
    <t>The Singer Law Group</t>
  </si>
  <si>
    <t>ST. JAMES MORTGAGE CORP.</t>
  </si>
  <si>
    <t>McPhail Sanchez, LLC</t>
  </si>
  <si>
    <t>Digital Currency Services Inc.</t>
  </si>
  <si>
    <t>Quantum Accounts Receivable Management Services Inc.</t>
  </si>
  <si>
    <t>Ideal Lending Solutions, Inc.</t>
  </si>
  <si>
    <t>Metro Denver Title, LLC</t>
  </si>
  <si>
    <t>JLM R.E. INVESTMENTS</t>
  </si>
  <si>
    <t>Beyer Financial Corporation</t>
  </si>
  <si>
    <t>BCAF, Inc</t>
  </si>
  <si>
    <t>CSI Mortgage Corporation</t>
  </si>
  <si>
    <t>Grande Financial, Inc</t>
  </si>
  <si>
    <t>Moneyguard LLC</t>
  </si>
  <si>
    <t>Wembley's Inc</t>
  </si>
  <si>
    <t>Potomac Trust Mortgage Company LLC</t>
  </si>
  <si>
    <t>Princeton Financial, LLC</t>
  </si>
  <si>
    <t>Spectrum Funding Group, LLC</t>
  </si>
  <si>
    <t>FIRSTRUST MORTGAGE, INC.</t>
  </si>
  <si>
    <t>FIDELITY INVESTMENTS</t>
  </si>
  <si>
    <t>MCM Holdings, Inc.</t>
  </si>
  <si>
    <t>ECG Debt Collection Corp.</t>
  </si>
  <si>
    <t>WINCHESTER SELLERS FOSTER &amp; STEELE PC</t>
  </si>
  <si>
    <t>DSJ Service Corporation</t>
  </si>
  <si>
    <t>JGB Management Inc.</t>
  </si>
  <si>
    <t>W. M. BEVCO, INC.</t>
  </si>
  <si>
    <t>T.J. FINANCIAL, INC.</t>
  </si>
  <si>
    <t>Habitat for Humanity of Boulder Valley</t>
  </si>
  <si>
    <t>Inland Debt Management</t>
  </si>
  <si>
    <t>Odunlami Law Firm, LLC</t>
  </si>
  <si>
    <t>Orange County Housing Finance Authority</t>
  </si>
  <si>
    <t>First County Mortgage, LLC</t>
  </si>
  <si>
    <t>Negotiation Credit Services, LLC</t>
  </si>
  <si>
    <t>PEOPLES UNITED BANK</t>
  </si>
  <si>
    <t>TPI ASSET MANAGEMENT, LLC</t>
  </si>
  <si>
    <t>Blackburne &amp; Sons Realty Capital Corporation</t>
  </si>
  <si>
    <t>El Paisano Motors Inc.</t>
  </si>
  <si>
    <t>JZ Mortgage Services, Inc.</t>
  </si>
  <si>
    <t>Student Relief LLC</t>
  </si>
  <si>
    <t>Pizer &amp; Associates, P.C.</t>
  </si>
  <si>
    <t>FHC Mortgage</t>
  </si>
  <si>
    <t>Byers Law, LLC</t>
  </si>
  <si>
    <t>Milberg, Klein PL</t>
  </si>
  <si>
    <t>Buckingham Mortgage LLC</t>
  </si>
  <si>
    <t>Westpark Equity Group, Inc.</t>
  </si>
  <si>
    <t>Thrivest</t>
  </si>
  <si>
    <t>A Credits Works</t>
  </si>
  <si>
    <t>Krawczyk, Duginski &amp; Rohr, S.C.</t>
  </si>
  <si>
    <t>Sunset Marketing Group LLC. DBA Acceptance Financial</t>
  </si>
  <si>
    <t>Spicewood Funding Group</t>
  </si>
  <si>
    <t>BAY VALLEY</t>
  </si>
  <si>
    <t>Craig's Auto &amp; RV Inc</t>
  </si>
  <si>
    <t>Timios, Inc.</t>
  </si>
  <si>
    <t>LoanMe, Inc.</t>
  </si>
  <si>
    <t>Home Base Mortgage Group</t>
  </si>
  <si>
    <t>Keyhole Financial Services</t>
  </si>
  <si>
    <t>Wolfe Jones Wolfe Hancock Daniel &amp; South LLC</t>
  </si>
  <si>
    <t>Anthony J. Musto</t>
  </si>
  <si>
    <t>Absolute investment Group</t>
  </si>
  <si>
    <t>Merchants Acquisition Group LLC</t>
  </si>
  <si>
    <t>Top Credit Consulting</t>
  </si>
  <si>
    <t>O.D. REI, Inc</t>
  </si>
  <si>
    <t>Nolensville Road Auto Mart, Inc.</t>
  </si>
  <si>
    <t>Gregory Hagan</t>
  </si>
  <si>
    <t>SCHEER LAW GROUP LLP</t>
  </si>
  <si>
    <t>SENIOR MORTGAGE BANKERS, INC.</t>
  </si>
  <si>
    <t>Law Offices of Sarah A Ponath LLC</t>
  </si>
  <si>
    <t>Alavi Law, PLLC</t>
  </si>
  <si>
    <t>Approve Lending Holdings LLC</t>
  </si>
  <si>
    <t>Isanthes, LLC</t>
  </si>
  <si>
    <t>Vehicle Acceptance Corporation</t>
  </si>
  <si>
    <t>Gary A. Smiley Assoc.</t>
  </si>
  <si>
    <t>J. J. WALKER &amp; ASSOCIATES, LLC</t>
  </si>
  <si>
    <t>Vanderwey Investments, LLC</t>
  </si>
  <si>
    <t>T &amp; O Recoveries, LLC</t>
  </si>
  <si>
    <t>Zenith Financial Mortgage Company, Inc.</t>
  </si>
  <si>
    <t>Northwest Acceptance Corp. Inc.</t>
  </si>
  <si>
    <t>LAW OFFICES OF ROBERT S. PERRY, P.C.</t>
  </si>
  <si>
    <t>DHA FINANCIAL, INC.</t>
  </si>
  <si>
    <t>Mortgage Expert, Inc. dba The Mortgage Expert</t>
  </si>
  <si>
    <t>Finest Title Company</t>
  </si>
  <si>
    <t>Aristocrat Title, LLC</t>
  </si>
  <si>
    <t>Kendris, LLC</t>
  </si>
  <si>
    <t>CardarelliBridgewaterandAssociates,INC.</t>
  </si>
  <si>
    <t>Cajie LLC</t>
  </si>
  <si>
    <t>A Top Golden Lending</t>
  </si>
  <si>
    <t>Chester County Auto Finance Inc</t>
  </si>
  <si>
    <t>PNK INVESTMENTS, LLC</t>
  </si>
  <si>
    <t>Neb-Tex of Dalhart LLC</t>
  </si>
  <si>
    <t>P.M.B. Inc. dba Twin Tier Mortgage</t>
  </si>
  <si>
    <t>NuView Financial Services, LLC</t>
  </si>
  <si>
    <t>Green Monarch Mortgage, Inc.</t>
  </si>
  <si>
    <t>Mastercars Auto Group</t>
  </si>
  <si>
    <t>Irongate Home Finance, LLC</t>
  </si>
  <si>
    <t>Midwest Mortgage Investments LTD</t>
  </si>
  <si>
    <t>First Home Equity Loans, LLC</t>
  </si>
  <si>
    <t>Sabatina &amp; Associates, P.C.</t>
  </si>
  <si>
    <t>JUMBO LOAN EXPERTS LLC</t>
  </si>
  <si>
    <t>Higlobe, Inc.</t>
  </si>
  <si>
    <t>Minnesota Home Financial, LLC</t>
  </si>
  <si>
    <t>Southern Star Capital, L.L.C.</t>
  </si>
  <si>
    <t>American Title Managers LLC</t>
  </si>
  <si>
    <t>Shnayder Law Firm LLC</t>
  </si>
  <si>
    <t>Check Cashing &amp; Loans</t>
  </si>
  <si>
    <t>David E. Gray Attorney at Law LLC</t>
  </si>
  <si>
    <t>Scoreably</t>
  </si>
  <si>
    <t>Packers HC LLC</t>
  </si>
  <si>
    <t>JBrucker Advisors</t>
  </si>
  <si>
    <t>PROVINCE MORTGAGE ASSOCIATES</t>
  </si>
  <si>
    <t>iSolved HCM Services, LLC</t>
  </si>
  <si>
    <t>SweetPay LLC</t>
  </si>
  <si>
    <t>Victory Realty at the Greene LLC</t>
  </si>
  <si>
    <t>Atlas Finance LLC</t>
  </si>
  <si>
    <t>Own Up Holdings, Inc.</t>
  </si>
  <si>
    <t>World Wide Land Transfer, Inc.</t>
  </si>
  <si>
    <t>Wilson Salamoff, LLP</t>
  </si>
  <si>
    <t>Western Mortgage Services</t>
  </si>
  <si>
    <t>Peters &amp; Associates, LLP</t>
  </si>
  <si>
    <t>Hileman &amp; Associates PC</t>
  </si>
  <si>
    <t>Progress Law, LLC</t>
  </si>
  <si>
    <t>xCoins, Inc.</t>
  </si>
  <si>
    <t>Mercadolar, Inc.</t>
  </si>
  <si>
    <t>Top Used Cars, Inc</t>
  </si>
  <si>
    <t>GRB Law</t>
  </si>
  <si>
    <t>Link Chain World Inc</t>
  </si>
  <si>
    <t>Continental Finance Capital Corporation</t>
  </si>
  <si>
    <t>Morgan &amp; Curtis Associates, Inc.</t>
  </si>
  <si>
    <t>Spark Mortgage Advisors LLC</t>
  </si>
  <si>
    <t>Schaefer Legal LLC</t>
  </si>
  <si>
    <t>J&amp;J Financial Services LLC</t>
  </si>
  <si>
    <t>Guardian Angel Mortgage</t>
  </si>
  <si>
    <t>Law Office of David A. Fernandez</t>
  </si>
  <si>
    <t>EZ Mortgages, Inc</t>
  </si>
  <si>
    <t>AFI Loan Servicing, LLC</t>
  </si>
  <si>
    <t>Northwest Contract Collections, Inc.</t>
  </si>
  <si>
    <t>Keystone Mortgage Group LLC</t>
  </si>
  <si>
    <t>Law Office of Gregory Javardian, LLC</t>
  </si>
  <si>
    <t>Leedom Management Group, Inc.</t>
  </si>
  <si>
    <t>StrongBox Home Loans, LLC</t>
  </si>
  <si>
    <t>Silverline Lending L.L.C.</t>
  </si>
  <si>
    <t>Lucie R. Bernheim, Attorney at Law</t>
  </si>
  <si>
    <t>Blueprint Holding Co., Inc</t>
  </si>
  <si>
    <t>Integrity Home Mortgage and Finance, Inc.</t>
  </si>
  <si>
    <t>Maryville Collection Service Incorporated</t>
  </si>
  <si>
    <t>Inspire Mortgage LLC.</t>
  </si>
  <si>
    <t>James W. Crocker, PC</t>
  </si>
  <si>
    <t>Sonora Lending Corporation</t>
  </si>
  <si>
    <t>Lincoln Capital, LLC</t>
  </si>
  <si>
    <t>VALLEY ESTATES ESCROW</t>
  </si>
  <si>
    <t>Freedom Rides, Inc.</t>
  </si>
  <si>
    <t>Howard L. Stomel, A Professional Corporation    AKA  Law Offices of  Howard L. Stomel</t>
  </si>
  <si>
    <t>CASH, INC.</t>
  </si>
  <si>
    <t>Franklinton Pre-Owned, Inc.</t>
  </si>
  <si>
    <t>Mid-Continent Funding, Inc.</t>
  </si>
  <si>
    <t>COOPERATIVA DE AHORRO Y CREDITO HATILLO</t>
  </si>
  <si>
    <t>Florida Recovery Credit Services Corp</t>
  </si>
  <si>
    <t>Midwest Credits, Inc.</t>
  </si>
  <si>
    <t>Brazington Mortgage, LLC</t>
  </si>
  <si>
    <t>Trustpoint Lending Corporation</t>
  </si>
  <si>
    <t>Capital Recovery, LLC (Closed)</t>
  </si>
  <si>
    <t>SCSM, Inc. dba ABC Collectors, Inc.</t>
  </si>
  <si>
    <t>Make A Way Worldwide</t>
  </si>
  <si>
    <t>Amplify Revenue Solutions, LLC</t>
  </si>
  <si>
    <t>Unlimited Credit Repair</t>
  </si>
  <si>
    <t>Citadel Finance Company</t>
  </si>
  <si>
    <t>Democracy Capital Corporation</t>
  </si>
  <si>
    <t>Horizon Lending services, LLC</t>
  </si>
  <si>
    <t>Grupo Estrella, LLC</t>
  </si>
  <si>
    <t>CAPITOL TITLE INSURANCE AGENCY, INC.</t>
  </si>
  <si>
    <t>WALTON FUNDING LLC</t>
  </si>
  <si>
    <t>Security Mortgage Corporation</t>
  </si>
  <si>
    <t>DEPENDON COLLECTION SERVICE INC</t>
  </si>
  <si>
    <t>Groundwork Holdings LLC</t>
  </si>
  <si>
    <t>Blue Ox II LLC dba MyHRScreens</t>
  </si>
  <si>
    <t>Delphi Group Inc.</t>
  </si>
  <si>
    <t>LANDMARK ACCOUNTS, INC</t>
  </si>
  <si>
    <t>RPT Recovery Authority LLC</t>
  </si>
  <si>
    <t>Metes &amp; Bounds Title Company</t>
  </si>
  <si>
    <t>PNH Worldwide Inc.</t>
  </si>
  <si>
    <t>Michael C. Koehn, S.C.</t>
  </si>
  <si>
    <t>Bit Express, LLC</t>
  </si>
  <si>
    <t>Credit Expert LLC</t>
  </si>
  <si>
    <t>Ark Law Group, PLLC</t>
  </si>
  <si>
    <t>Pacific Capital Mortgage Corporation</t>
  </si>
  <si>
    <t>S Foreman &amp; Associates Inc</t>
  </si>
  <si>
    <t>Aidenbaum Schloff and Bloom PLLC</t>
  </si>
  <si>
    <t>J Martinez Investments LLC</t>
  </si>
  <si>
    <t>Mortgage Choice LLC dba: Motto Mortgage Choice</t>
  </si>
  <si>
    <t>Repair Like A Pro LLC</t>
  </si>
  <si>
    <t>Credilife ...A Financial Wellness Company</t>
  </si>
  <si>
    <t>CAPITAL SOLUTIONS MANAGEMENT, INC.</t>
  </si>
  <si>
    <t>Snellings Law LLC</t>
  </si>
  <si>
    <t>PB Financial Group Corp</t>
  </si>
  <si>
    <t>TOO STRONG Mortgage LLC</t>
  </si>
  <si>
    <t>Mortgage Lending Masters, LLC</t>
  </si>
  <si>
    <t>Fountain, Schultz &amp; Associates, P.L.</t>
  </si>
  <si>
    <t>Signature Finance Company</t>
  </si>
  <si>
    <t>Carolina's Premier Mortgage Corporation</t>
  </si>
  <si>
    <t>Checkpoint Screening</t>
  </si>
  <si>
    <t>M H Loans Corporation</t>
  </si>
  <si>
    <t>Mortgage Professionals of Sun Valley, Incorporated</t>
  </si>
  <si>
    <t>The Schutzer Group, PLLC</t>
  </si>
  <si>
    <t>Lawrence A. Patish, P.C.</t>
  </si>
  <si>
    <t>Paragon Mortgage Services, Inc.</t>
  </si>
  <si>
    <t>Spiriter LLC</t>
  </si>
  <si>
    <t>Future Credit Fix</t>
  </si>
  <si>
    <t>CNY Management Group Inc</t>
  </si>
  <si>
    <t>C. Edwin Walker Attorney at Law</t>
  </si>
  <si>
    <t>Swartz &amp; Brough, Inc</t>
  </si>
  <si>
    <t>Money Tree Cash House llc</t>
  </si>
  <si>
    <t>Witkes Law Firm LLC</t>
  </si>
  <si>
    <t>Brentwood Pacific Financial</t>
  </si>
  <si>
    <t>Interest Smart Home Loans</t>
  </si>
  <si>
    <t>Brady Distributing Company</t>
  </si>
  <si>
    <t>Roost Lending, Inc.</t>
  </si>
  <si>
    <t>Huston &amp; Angus</t>
  </si>
  <si>
    <t>Express Auto Finance, LLC</t>
  </si>
  <si>
    <t>American Settlement Funding, LLC</t>
  </si>
  <si>
    <t>Golden State Home Loans Inc.</t>
  </si>
  <si>
    <t>PROVENTURE CAPITAL LLC</t>
  </si>
  <si>
    <t>Asset One Mortgage, Inc.</t>
  </si>
  <si>
    <t>WEST ASSET MANAGEMENT, INC.</t>
  </si>
  <si>
    <t>Kirkwood Law, LLC</t>
  </si>
  <si>
    <t>Counsel Mortgage Group, LLC</t>
  </si>
  <si>
    <t>FPS-Nationwide, LLC</t>
  </si>
  <si>
    <t>Esler And Lindie, P.A.</t>
  </si>
  <si>
    <t>ALG</t>
  </si>
  <si>
    <t>Peter T. Roach and Associates, P.C.</t>
  </si>
  <si>
    <t>Safetrust Mortgage, LLC</t>
  </si>
  <si>
    <t>RESIDENTIAL WHOLESALE MORTGAGE</t>
  </si>
  <si>
    <t>Hasson Law, LLC</t>
  </si>
  <si>
    <t>Grads Financial</t>
  </si>
  <si>
    <t>Counselors Title LLC</t>
  </si>
  <si>
    <t>Zenith Financial</t>
  </si>
  <si>
    <t>O'Kelley &amp; Sorohan, Attorneys at Law, LLC</t>
  </si>
  <si>
    <t>Granite Law Group, PLLC</t>
  </si>
  <si>
    <t>Direct Home Loans, LLC</t>
  </si>
  <si>
    <t>Azcar Capital, Inc.</t>
  </si>
  <si>
    <t>CWI INC</t>
  </si>
  <si>
    <t>Norwest Auto Sales, Inc</t>
  </si>
  <si>
    <t>Black Equity Lending LLC</t>
  </si>
  <si>
    <t>MyPrimeHomeLoan.com, LLC</t>
  </si>
  <si>
    <t>Lender Services, Inc</t>
  </si>
  <si>
    <t>Henry Andrew Schmidt III</t>
  </si>
  <si>
    <t>Inclusive Action for the City</t>
  </si>
  <si>
    <t>Encompass Mortgage Services Inc.</t>
  </si>
  <si>
    <t>Atlantis National Services, Inc.</t>
  </si>
  <si>
    <t>OttoMoto</t>
  </si>
  <si>
    <t>Student Loan Processing Direct, INC</t>
  </si>
  <si>
    <t>Global Home Finance Inc.</t>
  </si>
  <si>
    <t>Reliable Home Lenders, LLC</t>
  </si>
  <si>
    <t>Intelty, Inc</t>
  </si>
  <si>
    <t>Indian River County Habitat for Humanity, Inc.</t>
  </si>
  <si>
    <t>TitleMax LLC</t>
  </si>
  <si>
    <t>SPP, Inc.</t>
  </si>
  <si>
    <t>Benefit Recovery Group, LLC</t>
  </si>
  <si>
    <t>American Capital Mortgage, Inc</t>
  </si>
  <si>
    <t>SATORI FINANCIALMORTGAGE GROUP LLC</t>
  </si>
  <si>
    <t>Keith A. Ringelspaugh, P.A.</t>
  </si>
  <si>
    <t>G.W. Golden Enterprises, Inc.</t>
  </si>
  <si>
    <t>Mohr Investigative Services, Inc.</t>
  </si>
  <si>
    <t>bitFlyer USA, Inc.</t>
  </si>
  <si>
    <t>Bueno Title and Escrow</t>
  </si>
  <si>
    <t>Phelan Hallinan Diamond &amp; Jones, PLLC</t>
  </si>
  <si>
    <t>Kohner, Mann &amp; Kailas, S.C.</t>
  </si>
  <si>
    <t>Eastern Recovery Management Inc</t>
  </si>
  <si>
    <t>Lighthouse Realty &amp; Mortgage, Inc</t>
  </si>
  <si>
    <t>Financial Services of America</t>
  </si>
  <si>
    <t>Rediger Investment Corporation</t>
  </si>
  <si>
    <t>PERLAND TITLE &amp; ESCROW SERVICES CORP</t>
  </si>
  <si>
    <t>Singer Financial Corp.</t>
  </si>
  <si>
    <t>Vanderpool, Frostick &amp; Nishanian, P.C.</t>
  </si>
  <si>
    <t>HLT CHECK EXCHANGE LLP</t>
  </si>
  <si>
    <t>American Asset Recovery, Inc (CA)</t>
  </si>
  <si>
    <t>Gulf Coast Financial Associates, Inc.</t>
  </si>
  <si>
    <t>Adam I. Skolnik, P.A. d/b/a Law Office of Adam I. Skolnik, P.A.</t>
  </si>
  <si>
    <t>Lewisfin.com, LLC</t>
  </si>
  <si>
    <t>LEXUS FINANCIAL SERVICES</t>
  </si>
  <si>
    <t>Richard P. Joblove, P.A.</t>
  </si>
  <si>
    <t>Executive Title &amp; Closing, Inc.</t>
  </si>
  <si>
    <t>Northstar Management, Inc.</t>
  </si>
  <si>
    <t>NATIONAL NETWORK NEGOTIATOR'S INC.</t>
  </si>
  <si>
    <t>Southern Tier Credit Center Inc</t>
  </si>
  <si>
    <t>Cleveland Mortgage Corporation</t>
  </si>
  <si>
    <t>AMERICAN MORTGAGE AND INVESTMENT SERVICES, INC.</t>
  </si>
  <si>
    <t>Quad Cities Financial, Inc.</t>
  </si>
  <si>
    <t>Even Responsible Finance, Inc.</t>
  </si>
  <si>
    <t>MedPlan Credit, LLC</t>
  </si>
  <si>
    <t>Law Offices of Lawrence P. Zamzok</t>
  </si>
  <si>
    <t>Hanbery &amp; Turner P.A.</t>
  </si>
  <si>
    <t>QUEST FINANCE  LLC</t>
  </si>
  <si>
    <t>Handshake Home Loans Inc.</t>
  </si>
  <si>
    <t>Gault Financial, LLC</t>
  </si>
  <si>
    <t>Efinity Financial, LLC</t>
  </si>
  <si>
    <t>Occupational Management Group, LLC</t>
  </si>
  <si>
    <t>Clarksville Mortgage Corporation</t>
  </si>
  <si>
    <t>Results Mortgage, LLC</t>
  </si>
  <si>
    <t>Accelerated Revenue, Inc.</t>
  </si>
  <si>
    <t>Rockdale Capital Management</t>
  </si>
  <si>
    <t>Atlantis Financial Group, Inc</t>
  </si>
  <si>
    <t>Kaydem Enterprises LLC</t>
  </si>
  <si>
    <t>The Grimes Legal Group, LLC</t>
  </si>
  <si>
    <t>Clear Lending Corp</t>
  </si>
  <si>
    <t>MACOY CAPITAL PARTNERS, INC.</t>
  </si>
  <si>
    <t>Action One Mortgage Banker, LLC</t>
  </si>
  <si>
    <t>Law Offices of Philip H. Monagan</t>
  </si>
  <si>
    <t>NSA Partners, Ltd.</t>
  </si>
  <si>
    <t>Storehouse Mortgage, LLC</t>
  </si>
  <si>
    <t>R&amp;R Medical Billing, Inc.</t>
  </si>
  <si>
    <t>Assure Home Mortgage LLC</t>
  </si>
  <si>
    <t>Infinity Capital Group, LLC (CO)</t>
  </si>
  <si>
    <t>SOFI LOCAL CORP</t>
  </si>
  <si>
    <t>CHEXTOP of America Inc.</t>
  </si>
  <si>
    <t>Saban Consulting Group, Inc.</t>
  </si>
  <si>
    <t>Rapidly Financial, Inc.</t>
  </si>
  <si>
    <t>Redfin Mortgage, LLC</t>
  </si>
  <si>
    <t>Auto Acceptance Finance LLC</t>
  </si>
  <si>
    <t>Legal Recovery Specialists LLC</t>
  </si>
  <si>
    <t>Simplending Financial LLC</t>
  </si>
  <si>
    <t>Elite Recreational Finance</t>
  </si>
  <si>
    <t>Latham Keele Lehman Ratcliff Carter &amp; Clarke, PC</t>
  </si>
  <si>
    <t>Affiliated Collection Service of Florida, Inc</t>
  </si>
  <si>
    <t>DSW Mortgage, Inc.</t>
  </si>
  <si>
    <t>American Mortgage Inc.</t>
  </si>
  <si>
    <t>Metropolitan Bureau of Collections, Inc.</t>
  </si>
  <si>
    <t>Certus Capital, LLC</t>
  </si>
  <si>
    <t>NCR Financial Services Inc</t>
  </si>
  <si>
    <t>Launch Financial Group, LLC</t>
  </si>
  <si>
    <t>DebtWave Credit Counseling, Inc.</t>
  </si>
  <si>
    <t>Acer Capital Recovery LLC</t>
  </si>
  <si>
    <t>Proscript media and advertising services, llc DBA Bank Rover</t>
  </si>
  <si>
    <t>Evergreen Anchor Capital LLC</t>
  </si>
  <si>
    <t>RUSSELL, MIRKOVICH &amp; MORROW</t>
  </si>
  <si>
    <t>Presto Mas, Inc.</t>
  </si>
  <si>
    <t>RIGHT SIDE UP LENDING, LLC</t>
  </si>
  <si>
    <t>KCC Services, LLC</t>
  </si>
  <si>
    <t>Bay Luxury Autos</t>
  </si>
  <si>
    <t>Billco, Inc</t>
  </si>
  <si>
    <t>Sterling Mortgage Services</t>
  </si>
  <si>
    <t>Bullet Recovery, LLC.</t>
  </si>
  <si>
    <t>Olympia Title &amp; Escrow Corporation</t>
  </si>
  <si>
    <t>New Start Capital</t>
  </si>
  <si>
    <t>Inter-America Finance Corp.</t>
  </si>
  <si>
    <t>RDM Capital Funding LLC</t>
  </si>
  <si>
    <t>Georgia Medical Collection Services, Inc.</t>
  </si>
  <si>
    <t>Lannister Law Corporation</t>
  </si>
  <si>
    <t>Advantage Credit Counseling Service, Inc.</t>
  </si>
  <si>
    <t>PRACTICAL VENTURES, LLC.</t>
  </si>
  <si>
    <t>SGCP Holdco LLC</t>
  </si>
  <si>
    <t>Gary L. Brueggeman, Attorney at Law</t>
  </si>
  <si>
    <t>AltCap</t>
  </si>
  <si>
    <t>KPL Select Mortgage Inc</t>
  </si>
  <si>
    <t>Nationwide T &amp; L Holdings, LLC</t>
  </si>
  <si>
    <t>Pacific Mortgage Advisors, Inc.</t>
  </si>
  <si>
    <t>Florida Equity Capital</t>
  </si>
  <si>
    <t>KAITER ENTERPRISES, INC, DBA COLORADO LENDING GROUP</t>
  </si>
  <si>
    <t>Rockport Holdings, LLC</t>
  </si>
  <si>
    <t>Anchor Home Mortgage, Inc.</t>
  </si>
  <si>
    <t>First Florida Financial, Inc.</t>
  </si>
  <si>
    <t>Simpson, Uchitel &amp; Wilson, LLP</t>
  </si>
  <si>
    <t>Home Funding Corporation</t>
  </si>
  <si>
    <t>AAA  LENDERS INC.</t>
  </si>
  <si>
    <t>Recovery Exchange LLC</t>
  </si>
  <si>
    <t>Sanders, Ranck &amp; Skilling, P.C.</t>
  </si>
  <si>
    <t>Omni-Fund, Inc.</t>
  </si>
  <si>
    <t>Credit Points 720</t>
  </si>
  <si>
    <t>The Credit Laboratory</t>
  </si>
  <si>
    <t>Aspire Mortgage Advisors LLC</t>
  </si>
  <si>
    <t>Nationwide Funding Group Corp.</t>
  </si>
  <si>
    <t>The Law Offices of Garry L. Hayes, a professional corporation</t>
  </si>
  <si>
    <t>PPPLF ECONOMIC AND COMMUNITY DEVELOPMENT INSTITUTE</t>
  </si>
  <si>
    <t>Alpha Mortgage, LLC</t>
  </si>
  <si>
    <t>Tweedy Law Office, LLC</t>
  </si>
  <si>
    <t>On The Barrelhead, LLC</t>
  </si>
  <si>
    <t>New Silver Lending LLC</t>
  </si>
  <si>
    <t>Pave, Inc.</t>
  </si>
  <si>
    <t>Coastal Custom Mortgage, Inc.</t>
  </si>
  <si>
    <t>Lionheart Funding LLC</t>
  </si>
  <si>
    <t>Secured Marketing Concepts Corporation</t>
  </si>
  <si>
    <t>Midwest Bankers Mortgage Services, Inc</t>
  </si>
  <si>
    <t>CRL Home Loans</t>
  </si>
  <si>
    <t>J &amp; C Auto Sales of Collier County, LLC</t>
  </si>
  <si>
    <t>Welts, White &amp; Fontaine, P.C.</t>
  </si>
  <si>
    <t>James D. Calmes, 111</t>
  </si>
  <si>
    <t>Money Service Centers of Hawaii</t>
  </si>
  <si>
    <t>Title One, Inc.</t>
  </si>
  <si>
    <t>SOUTHERN FUNDING ALLIANCE USA</t>
  </si>
  <si>
    <t>The Lending Source, Ltd.</t>
  </si>
  <si>
    <t>Commercial Mortgage Consultants, Inc.</t>
  </si>
  <si>
    <t>VanVorst Law Firm, PLLC</t>
  </si>
  <si>
    <t>Dario Auto Sales</t>
  </si>
  <si>
    <t>SIERRA LENDING GROUP, LLC</t>
  </si>
  <si>
    <t>Rosen &amp; McCarthy, LLP.</t>
  </si>
  <si>
    <t>Vision Mortgage Company, Ltd.</t>
  </si>
  <si>
    <t>Ciconte Wasserman Scerba &amp; Kerrick, LLC</t>
  </si>
  <si>
    <t>Styner Enterprises, Inc., Menifee, CA Branch</t>
  </si>
  <si>
    <t>Jumpstart Capital Management, LLC</t>
  </si>
  <si>
    <t>GVG Financial Services, Inc</t>
  </si>
  <si>
    <t>Lendah LLC</t>
  </si>
  <si>
    <t>AMERICAN FINANCIAL MANAGEMENT, INC.</t>
  </si>
  <si>
    <t>Go Rascal Inc.</t>
  </si>
  <si>
    <t>AXIS FINANCIAL SERVICES, INC.</t>
  </si>
  <si>
    <t>Loanatik, L.L.C.</t>
  </si>
  <si>
    <t>Sorensen Auto Plaza</t>
  </si>
  <si>
    <t>Loan Fox Inc</t>
  </si>
  <si>
    <t>CZFC Incorporated</t>
  </si>
  <si>
    <t>D&amp;D Motors S, Inc</t>
  </si>
  <si>
    <t>Allied California</t>
  </si>
  <si>
    <t>Bay Area Title Services, LLC</t>
  </si>
  <si>
    <t>Student Connections, LLC</t>
  </si>
  <si>
    <t>Fleet Mortgage Corp</t>
  </si>
  <si>
    <t>Digital Mortgage, LLC</t>
  </si>
  <si>
    <t>Cheney Financial Services, Inc.</t>
  </si>
  <si>
    <t>The Law Office of Heather Cullen, A Professional Corporation</t>
  </si>
  <si>
    <t>JOHNSON MORTGAGE COMPANY, LLC</t>
  </si>
  <si>
    <t>Associated Management Services, Inc..</t>
  </si>
  <si>
    <t>Taylor Pigue Marchetti &amp; Blair, PLLC</t>
  </si>
  <si>
    <t>PEARL LOANS INC</t>
  </si>
  <si>
    <t>Lakeside Title Company</t>
  </si>
  <si>
    <t>Zillow Group Marketplace, Inc.</t>
  </si>
  <si>
    <t>International Collection Corporation</t>
  </si>
  <si>
    <t>BLUE WATER CREDIT, LLC</t>
  </si>
  <si>
    <t>G.R.S Holdings, Inc</t>
  </si>
  <si>
    <t>Law Offices of Matthew Baysinger, Inc.</t>
  </si>
  <si>
    <t>Wisdom Financial</t>
  </si>
  <si>
    <t>Newby Sartip &amp; Masel LLC</t>
  </si>
  <si>
    <t>Rate Rabbit, Inc.</t>
  </si>
  <si>
    <t>Gergory, Doyle, Calhoun &amp; Rogers, LLC</t>
  </si>
  <si>
    <t>STME LLC</t>
  </si>
  <si>
    <t>Liberate Debt, Inc. 9156</t>
  </si>
  <si>
    <t>Kelly Harvey P.C.</t>
  </si>
  <si>
    <t>MSK Group, Inc.</t>
  </si>
  <si>
    <t>ACCESS TO LOANS FOR LEARNING STUDENT LOAN CORP.</t>
  </si>
  <si>
    <t>Welcome¬†Tech,¬†Inc.</t>
  </si>
  <si>
    <t>Donald G. Karpowich, Attorney-at-Law, PC</t>
  </si>
  <si>
    <t>Saale &amp; Bailey, LLC</t>
  </si>
  <si>
    <t>Executive Title Company</t>
  </si>
  <si>
    <t>PrimeCore Group</t>
  </si>
  <si>
    <t>Aiden &amp; Bodley  Enterprise</t>
  </si>
  <si>
    <t>Global American Title Agency, Inc.</t>
  </si>
  <si>
    <t>Richard T. Smith, PC dba Smith Cavin &amp; Corbin, LLC</t>
  </si>
  <si>
    <t>PacWest Funding Inc</t>
  </si>
  <si>
    <t>Harrington Law Firm, P.C.</t>
  </si>
  <si>
    <t>Louis M. Turchiarelli Attorney at Law</t>
  </si>
  <si>
    <t>Georgia Mortgage Resources, LLC</t>
  </si>
  <si>
    <t>Instant Cash Point</t>
  </si>
  <si>
    <t>Williams &amp; Rivera Litigation Group LLC</t>
  </si>
  <si>
    <t>Southern Fidelity Mortgage</t>
  </si>
  <si>
    <t>Conville &amp; Conville, PLLC</t>
  </si>
  <si>
    <t>PACIFIC SOUTHWEST NOTE FUND, LLC</t>
  </si>
  <si>
    <t>SUPERIOR CAR CREDIT</t>
  </si>
  <si>
    <t>River City Financial, LLC</t>
  </si>
  <si>
    <t>West Coast Mortgage Associates</t>
  </si>
  <si>
    <t>United One Mortgage Inc.</t>
  </si>
  <si>
    <t>JKS Mortgage, LLC</t>
  </si>
  <si>
    <t>FTA Financial LLC</t>
  </si>
  <si>
    <t>Off Lease Only Inc.</t>
  </si>
  <si>
    <t>COMPREHENSIVE LEGAL SOLUTIONS, INC.</t>
  </si>
  <si>
    <t>ADVANCE MORTGAGE &amp; INVESTMENT</t>
  </si>
  <si>
    <t>Blue Printing Success Inc</t>
  </si>
  <si>
    <t>UNITED ATLANTIC MORTGAGE CORP OF VIRGINIA</t>
  </si>
  <si>
    <t>E &amp; C Finace Company Inc</t>
  </si>
  <si>
    <t>Capital Realty Professional LLC</t>
  </si>
  <si>
    <t>Centara Capital Group, Inc.</t>
  </si>
  <si>
    <t>Full Advance LLC</t>
  </si>
  <si>
    <t>RANTAX INC</t>
  </si>
  <si>
    <t>K2 Lending, Inc.</t>
  </si>
  <si>
    <t>Dellwo, Roberts &amp; Scanlon, P.S.</t>
  </si>
  <si>
    <t>MBO Holdings Corp.</t>
  </si>
  <si>
    <t>Winton Law</t>
  </si>
  <si>
    <t>TrustLine Mortgage, Inc.</t>
  </si>
  <si>
    <t>General Financial Group Inc</t>
  </si>
  <si>
    <t>Affordable Auto Finance, Inc</t>
  </si>
  <si>
    <t>WT Capital Lender Services, a California Corporation</t>
  </si>
  <si>
    <t>Time Auto Group</t>
  </si>
  <si>
    <t>Student Account Management Services, LLC</t>
  </si>
  <si>
    <t>360 Mortgage Inc.</t>
  </si>
  <si>
    <t>Prominence Capital Partners, LLC</t>
  </si>
  <si>
    <t>Burt, Blee, Dixon, Sutton &amp; Bloom, LLP</t>
  </si>
  <si>
    <t>Bartley &amp; Spears, P.C.</t>
  </si>
  <si>
    <t>Old Union Financial, LLC</t>
  </si>
  <si>
    <t>Accredited Business Solutions LLC</t>
  </si>
  <si>
    <t>Mark Sank &amp; Associates, LLC</t>
  </si>
  <si>
    <t>Gulf Coast Real Estate Emerald Coast, LLC,  d/b/a Motto Mortgage On The Gulf</t>
  </si>
  <si>
    <t>Standard Mortgage Group LLC</t>
  </si>
  <si>
    <t>Demorest Group, LLC</t>
  </si>
  <si>
    <t>Community Lending of America, Inc.</t>
  </si>
  <si>
    <t>American Homestead Mortgage, LLC</t>
  </si>
  <si>
    <t>Reese Pyle Meyer PLL</t>
  </si>
  <si>
    <t>Greg King DBA Karma Consulting</t>
  </si>
  <si>
    <t>Student Funding Corporation of America, Inc.</t>
  </si>
  <si>
    <t>Summit Mortgage Group, LLC</t>
  </si>
  <si>
    <t>One on One Mortgage loans, inc</t>
  </si>
  <si>
    <t>GLOBAL TRUST FINANCE, LLC</t>
  </si>
  <si>
    <t>John C. Compton PC</t>
  </si>
  <si>
    <t>Law Office of Stephen Buckley PLLC</t>
  </si>
  <si>
    <t>Northeast Resolutions Inc</t>
  </si>
  <si>
    <t>SCHAEFER MORTGAGE CORPORATION</t>
  </si>
  <si>
    <t>TRT HOME LOANS, INC.</t>
  </si>
  <si>
    <t>HOVOT Management, LLC</t>
  </si>
  <si>
    <t>ME Title Holding LLC</t>
  </si>
  <si>
    <t>Saul Jablon Attorney at Law</t>
  </si>
  <si>
    <t>KENT MORTGAGE CORPORATION</t>
  </si>
  <si>
    <t>Corpra Care, Inc.</t>
  </si>
  <si>
    <t>Royalty Lending Financial Services Inc.</t>
  </si>
  <si>
    <t>AAA Checkmate, L.L.C.</t>
  </si>
  <si>
    <t>Revela Inc</t>
  </si>
  <si>
    <t>G. R. Isidro</t>
  </si>
  <si>
    <t>Marquee Funding Group Inc.</t>
  </si>
  <si>
    <t>Kurt A. Holmes, PA</t>
  </si>
  <si>
    <t>Garden State Mortgage Corp.</t>
  </si>
  <si>
    <t>Crosspoint Financial Inc.</t>
  </si>
  <si>
    <t>Homestead Title Abstract Agency Inc.</t>
  </si>
  <si>
    <t>International Credit Inc</t>
  </si>
  <si>
    <t>Family Mortgage, Inc</t>
  </si>
  <si>
    <t>Weiss Spicer Cash PLLC</t>
  </si>
  <si>
    <t>VStar Financial, LLC</t>
  </si>
  <si>
    <t>Global Mobile Limited Liability Company</t>
  </si>
  <si>
    <t>Commercial Research &amp; Recovery, Inc.</t>
  </si>
  <si>
    <t>Barley Mortgage, LLC</t>
  </si>
  <si>
    <t>MORTGAGE BANK OF CALIFORNIA, INC.</t>
  </si>
  <si>
    <t>LORD MORTGAGE &amp; LOAN, INC.</t>
  </si>
  <si>
    <t>Legacy Title Service</t>
  </si>
  <si>
    <t>Student Loan Discharge Options LLC</t>
  </si>
  <si>
    <t>O'Currance, Inc.</t>
  </si>
  <si>
    <t>Lota Financial Group, Inc.</t>
  </si>
  <si>
    <t>Credit Points LLC</t>
  </si>
  <si>
    <t>TFLC Trust</t>
  </si>
  <si>
    <t>Envision Funding Solutions</t>
  </si>
  <si>
    <t>AZ LENDING EXPERTS, LLC</t>
  </si>
  <si>
    <t>BG Lenders Service LLC</t>
  </si>
  <si>
    <t>Premium Security Inc.</t>
  </si>
  <si>
    <t>Law Office of Henry L. Robertson PLLC</t>
  </si>
  <si>
    <t>Leverage Lending Group LLC</t>
  </si>
  <si>
    <t>Rosen Legal, LLC</t>
  </si>
  <si>
    <t>Beloin &amp; Brown LLC</t>
  </si>
  <si>
    <t>Law Offices of Stage &amp; Associates PA</t>
  </si>
  <si>
    <t>1ST CHOICE LOANS, LLC.</t>
  </si>
  <si>
    <t>Lexicon Title Services LLC</t>
  </si>
  <si>
    <t>Costner Law Office, PLLC</t>
  </si>
  <si>
    <t>Capehart &amp; Scatchard PA</t>
  </si>
  <si>
    <t>Cross State Motors, LLC</t>
  </si>
  <si>
    <t>DRAGAS MORTGAGE COMPANY</t>
  </si>
  <si>
    <t>Crystal R. Cole, Attorney at Law</t>
  </si>
  <si>
    <t>Stone Haven Capital</t>
  </si>
  <si>
    <t>Sharpe Mortgage Lending Services of Georgia, Inc.</t>
  </si>
  <si>
    <t>Greenkey Financial, Inc.</t>
  </si>
  <si>
    <t>MSV RECOVERY LLC</t>
  </si>
  <si>
    <t>Watson Mortgage Corp.</t>
  </si>
  <si>
    <t>The Gentry Law Office LLC</t>
  </si>
  <si>
    <t>WFI Funding Inc</t>
  </si>
  <si>
    <t>RateBeat LLC</t>
  </si>
  <si>
    <t>PHILADELPHIA MORTGAGE ADVISORS</t>
  </si>
  <si>
    <t>Omni Group, Inc</t>
  </si>
  <si>
    <t>Freedom First Financial Services, Inc.</t>
  </si>
  <si>
    <t>PINNACLE CAPITAL MORTGAGE CORP</t>
  </si>
  <si>
    <t>Golden Capital Services, LLC</t>
  </si>
  <si>
    <t>Klutch Technologies, Inc.</t>
  </si>
  <si>
    <t>Mann &amp; Carducci Co., LPA</t>
  </si>
  <si>
    <t>Bifulco and Associates, P.C.</t>
  </si>
  <si>
    <t>Streamline Financial Group, Inc.</t>
  </si>
  <si>
    <t>GuardHill Financial LLC</t>
  </si>
  <si>
    <t>Care Cash Express LLC</t>
  </si>
  <si>
    <t>Eagle Creek Mortgage, LLC</t>
  </si>
  <si>
    <t>Fairfield Services M, LLC</t>
  </si>
  <si>
    <t>Turke &amp; Strauss LLP</t>
  </si>
  <si>
    <t>Cope Enterprises, LLC</t>
  </si>
  <si>
    <t>ADVANCED COLLECTION SOLUTIONS LLC</t>
  </si>
  <si>
    <t>Flathmann and Stern, LLC</t>
  </si>
  <si>
    <t>CONVERGING CAPITAL, LLC</t>
  </si>
  <si>
    <t>HomeLight, Inc.</t>
  </si>
  <si>
    <t>Lending Base Inc.</t>
  </si>
  <si>
    <t>Scranton Recovery Group LLC</t>
  </si>
  <si>
    <t>Capital Assessment Service Company, Inc.</t>
  </si>
  <si>
    <t>Owl Automotive Group, Inc.</t>
  </si>
  <si>
    <t>Robert E. Lee Attorney At Law</t>
  </si>
  <si>
    <t>Accountant Exchange Group</t>
  </si>
  <si>
    <t>Applewood Funding Corporation</t>
  </si>
  <si>
    <t>CREDIT BUREAU OF LANCASTER &amp; PALMDALE, A CORPORATION</t>
  </si>
  <si>
    <t>Pando Mortgage, LLC</t>
  </si>
  <si>
    <t>Sawko &amp; Burroughs, P.C.</t>
  </si>
  <si>
    <t>Carfast Financial Holdings</t>
  </si>
  <si>
    <t>Fulkerson Wing, P.C.</t>
  </si>
  <si>
    <t>Evans, Simpson and Associates, Inc.</t>
  </si>
  <si>
    <t>Duane C. Romanello, P.A., Inc.</t>
  </si>
  <si>
    <t>Origen Capital Investments II, LLC</t>
  </si>
  <si>
    <t>Maddocks Collection Services, LLC</t>
  </si>
  <si>
    <t>The Law Office of Peter S. Lake, P. C.</t>
  </si>
  <si>
    <t>Home Lending Pal, Inc.</t>
  </si>
  <si>
    <t>Dr.Skiptracer, LLC</t>
  </si>
  <si>
    <t>US Best Credit Solutions, Inc.</t>
  </si>
  <si>
    <t>24/7 MORTGAGE CORPORATION</t>
  </si>
  <si>
    <t>Thinkwallet Loans</t>
  </si>
  <si>
    <t>NEIGHBORHOOD ECONOMIC DEVELOPMENT CORPORATION (NEDCO)</t>
  </si>
  <si>
    <t>Keeping Capital LLC</t>
  </si>
  <si>
    <t>Coastal Bend Loans</t>
  </si>
  <si>
    <t>LAW OFFICES OF STEPHEN A. BROWN</t>
  </si>
  <si>
    <t>Murrell Law, LLC</t>
  </si>
  <si>
    <t>New Light Marketing Inc</t>
  </si>
  <si>
    <t>GRANDE HOMES INC</t>
  </si>
  <si>
    <t>Wyatt Johnson Automotive Group Holdings, LLC</t>
  </si>
  <si>
    <t>Snap Mortgage, LLC</t>
  </si>
  <si>
    <t>RP Field Services LLC</t>
  </si>
  <si>
    <t>Priority Recovery Law PLC</t>
  </si>
  <si>
    <t>BLACK MANN &amp; GRAHAM LLP</t>
  </si>
  <si>
    <t>Wilkie Puchi L.L.P.</t>
  </si>
  <si>
    <t>Marlin Mortgage Holdings, LLC</t>
  </si>
  <si>
    <t>A-M-S Mortgage Services, Inc.</t>
  </si>
  <si>
    <t>The Satterwhite Law Firm PC</t>
  </si>
  <si>
    <t>Gaskell &amp; Giovannini, LLC</t>
  </si>
  <si>
    <t>RELIABLE HOLDINGS MANAGER LLC</t>
  </si>
  <si>
    <t>Michael Scott Cohen LLC</t>
  </si>
  <si>
    <t>Provadus LLC</t>
  </si>
  <si>
    <t>Lakeview Mortgage Bankers Corp.</t>
  </si>
  <si>
    <t>Northern Credit Bureau</t>
  </si>
  <si>
    <t>Value Recovery Holding, LLC</t>
  </si>
  <si>
    <t>Keowee Auto Sales, Inc.</t>
  </si>
  <si>
    <t>Foothills Mortgage Group, LLC</t>
  </si>
  <si>
    <t>Signature Home Lending Inc</t>
  </si>
  <si>
    <t>CNC MORTGAGE, LLC</t>
  </si>
  <si>
    <t>Private Mortgage Advisors, LLC</t>
  </si>
  <si>
    <t>Integrity Home Lending, LLC</t>
  </si>
  <si>
    <t>Dolan Gaddi Lending, Inc.</t>
  </si>
  <si>
    <t>DB Premier Asset Partners LLC</t>
  </si>
  <si>
    <t>Suna Capital III, LLC</t>
  </si>
  <si>
    <t>MTGLQ Investors, L.P.</t>
  </si>
  <si>
    <t>Wheeler Law Firm, PLLC</t>
  </si>
  <si>
    <t>Free Debt USA, Inc</t>
  </si>
  <si>
    <t>CAPITAL AUTO FINANCIAL, INC.</t>
  </si>
  <si>
    <t>Consumer Defense Group, LLC</t>
  </si>
  <si>
    <t>Construction Credit and Finance Group, LLC</t>
  </si>
  <si>
    <t>COUNTRY CLUB MORTGAGE, INC.</t>
  </si>
  <si>
    <t>Fintology Technologies</t>
  </si>
  <si>
    <t>SUMMIT TITLE SERVICES CORP.</t>
  </si>
  <si>
    <t>CaseAdvance</t>
  </si>
  <si>
    <t>HOMEPROMISE CORPORATION</t>
  </si>
  <si>
    <t>Bay to Bay Lending LLC</t>
  </si>
  <si>
    <t>World-Wide Communication Center</t>
  </si>
  <si>
    <t>Maxim Lending, Corp</t>
  </si>
  <si>
    <t>HomeTown Lending Partners, LLC</t>
  </si>
  <si>
    <t>Meridian Capital Management, LLC</t>
  </si>
  <si>
    <t>Coastal Breeze Mortgage, LLC</t>
  </si>
  <si>
    <t>Pure Debt Solutions</t>
  </si>
  <si>
    <t>Second Chance Advocate</t>
  </si>
  <si>
    <t>Caroline Peters Belsom, Attorney at Law, LLC</t>
  </si>
  <si>
    <t>G &amp; D COMPLIANCE</t>
  </si>
  <si>
    <t>Wyre, Inc.</t>
  </si>
  <si>
    <t>Mohsin Mortgage Corp.</t>
  </si>
  <si>
    <t>Skylight Lending, LLC</t>
  </si>
  <si>
    <t>South Gate Financial LLC</t>
  </si>
  <si>
    <t>Brookhaven Law Group PLLC</t>
  </si>
  <si>
    <t>Public Title Services, LLC</t>
  </si>
  <si>
    <t>Blackwood Credit Service</t>
  </si>
  <si>
    <t>Barham &amp; Maucere LLC</t>
  </si>
  <si>
    <t>Xperia Credit Solutions</t>
  </si>
  <si>
    <t>First Equity Mortgage Group LLC</t>
  </si>
  <si>
    <t>Olin Berthelot &amp; Associates, L.L.C.</t>
  </si>
  <si>
    <t>1st Capital Mortgage, LLC</t>
  </si>
  <si>
    <t>THOMPSON KANE &amp; COMPANY, LLC</t>
  </si>
  <si>
    <t>Alliance Credit Counseling, Inc.</t>
  </si>
  <si>
    <t>HealthCare Revenue Recovery, LLC</t>
  </si>
  <si>
    <t>Mortgage.Shop LLC</t>
  </si>
  <si>
    <t>Salter Enterprises, Inc.</t>
  </si>
  <si>
    <t>Taggart Motor Co</t>
  </si>
  <si>
    <t>Liberty Capital Services LLC</t>
  </si>
  <si>
    <t>Autoflex Leasing - Dallas I LLC</t>
  </si>
  <si>
    <t>Homes By Hunt LLC</t>
  </si>
  <si>
    <t>Recovery Legal Group</t>
  </si>
  <si>
    <t>ONTARIO AUTO LENDING</t>
  </si>
  <si>
    <t>Credit Service Repair</t>
  </si>
  <si>
    <t>Horizon Financial Group, Inc.</t>
  </si>
  <si>
    <t>ACE Midland Holdings</t>
  </si>
  <si>
    <t>DA AUTO GROUP, INC</t>
  </si>
  <si>
    <t>Be Money, Inc. (DBA Daylight)</t>
  </si>
  <si>
    <t>MyCRD</t>
  </si>
  <si>
    <t>States Title Holding, Inc.</t>
  </si>
  <si>
    <t>Seasons Collection Service</t>
  </si>
  <si>
    <t>Credit West, LLC</t>
  </si>
  <si>
    <t>The Avon Group dba Wyn Financial</t>
  </si>
  <si>
    <t>Southern Mortgage Corp.</t>
  </si>
  <si>
    <t>Universal Commercial Capital. Inc</t>
  </si>
  <si>
    <t>Alpha Title, LLC</t>
  </si>
  <si>
    <t>Gingo Palumbo Law Group LLC</t>
  </si>
  <si>
    <t>Law Offices of Snyder &amp; Associates, LLC</t>
  </si>
  <si>
    <t>FIVE STAR MORTGAGE</t>
  </si>
  <si>
    <t>West Forest Capital II LLC</t>
  </si>
  <si>
    <t>ROWLETT MORTGAGE LENDING, LTD</t>
  </si>
  <si>
    <t>PARAMOUNT BOND &amp; MORTGAGE CO.</t>
  </si>
  <si>
    <t>Republic Credit Indemnity Companies, Inc.</t>
  </si>
  <si>
    <t>ERO LENDING,LLC</t>
  </si>
  <si>
    <t>Loan Park (Loanpark Mortgage Lending)</t>
  </si>
  <si>
    <t>Bluegrass Credit Corporation, Inc.</t>
  </si>
  <si>
    <t>Minnesota Financial Solutions, LLC</t>
  </si>
  <si>
    <t>XANDER MORTGAGE &amp; REAL ESTATE INC</t>
  </si>
  <si>
    <t>GOLDEN BEAR CAPITAL INC.</t>
  </si>
  <si>
    <t>ELITE FINANCIAL SERVICES INC</t>
  </si>
  <si>
    <t>FlexPoint, Inc.</t>
  </si>
  <si>
    <t>Phil Watson, P.C.</t>
  </si>
  <si>
    <t>Revenue Recovery Solutions  Inc.</t>
  </si>
  <si>
    <t>Monogram LLC</t>
  </si>
  <si>
    <t>X5 Home Loans LLC</t>
  </si>
  <si>
    <t>DCFC PL</t>
  </si>
  <si>
    <t>Landed Home Loans LLC</t>
  </si>
  <si>
    <t>Devor Mortgage Investment Corp, DBA Quality Home Mortgage</t>
  </si>
  <si>
    <t>DMC Inc</t>
  </si>
  <si>
    <t>Cheryl A. Warzynski PLLC</t>
  </si>
  <si>
    <t>Titan Home Lending,LLC</t>
  </si>
  <si>
    <t>Valorem Lending LLC</t>
  </si>
  <si>
    <t>LEE S. DENNISON, P.C.</t>
  </si>
  <si>
    <t>Unified Lending Inc.</t>
  </si>
  <si>
    <t>Green Tree Case Funding, LLC</t>
  </si>
  <si>
    <t>STAT Financial, Inc.</t>
  </si>
  <si>
    <t>Position One Group</t>
  </si>
  <si>
    <t>Debt Reduction Services, Inc.</t>
  </si>
  <si>
    <t>Consumer Financial Services of Tampa, FL LLC</t>
  </si>
  <si>
    <t>Concorde Land Title Services, Inc.</t>
  </si>
  <si>
    <t>Williams Law Office, PC</t>
  </si>
  <si>
    <t>The Peak Service Corp.</t>
  </si>
  <si>
    <t>Predian Financial Services, LLC</t>
  </si>
  <si>
    <t>THE GENESIS GROUP, INC.</t>
  </si>
  <si>
    <t>Champlin &amp; Associates PLLC</t>
  </si>
  <si>
    <t>TORO COMPANY, THE</t>
  </si>
  <si>
    <t>Principe &amp; Strasnick, P.C.</t>
  </si>
  <si>
    <t>HONG LAN SERVICES, INC.</t>
  </si>
  <si>
    <t>Thrift McLemore, LLC</t>
  </si>
  <si>
    <t>Staunton Financial, Inc.</t>
  </si>
  <si>
    <t>ABC First Inc</t>
  </si>
  <si>
    <t>MARQUEE MORTGAGE</t>
  </si>
  <si>
    <t>iHome Financial Inc.</t>
  </si>
  <si>
    <t>Signature Mortgage Inc of Indiana</t>
  </si>
  <si>
    <t>iMove Mortgage, LLC</t>
  </si>
  <si>
    <t>Great State Mortgage, LLC</t>
  </si>
  <si>
    <t>EzeCreditServices, LLC</t>
  </si>
  <si>
    <t>Severin, Ringsak &amp; Morrow</t>
  </si>
  <si>
    <t>Robert Morgan Group Inc</t>
  </si>
  <si>
    <t>The AAA Company</t>
  </si>
  <si>
    <t>MTH LENDING GROUP LP</t>
  </si>
  <si>
    <t>FYM Capital LLC</t>
  </si>
  <si>
    <t>LeVasseur Dyer &amp; Associates, PC</t>
  </si>
  <si>
    <t>Admiral Holdings, LLC</t>
  </si>
  <si>
    <t>Thomason Law Firm, LLC</t>
  </si>
  <si>
    <t>Rent One</t>
  </si>
  <si>
    <t>El Dorado Financial, Inc. DBA Omni Financial</t>
  </si>
  <si>
    <t>Hollander, Goode &amp; Lopez, PLLC</t>
  </si>
  <si>
    <t>Miller Harrison LLC</t>
  </si>
  <si>
    <t>Centennial Title Agency, Inc.</t>
  </si>
  <si>
    <t>Maison Capital Group Inc</t>
  </si>
  <si>
    <t>Law Office of Alisa Richman</t>
  </si>
  <si>
    <t>Crux Commercial Partners, LLC</t>
  </si>
  <si>
    <t>Linden Research, Inc.</t>
  </si>
  <si>
    <t>DOSS Group, Inc.</t>
  </si>
  <si>
    <t>Armstrong Teasdale LLP</t>
  </si>
  <si>
    <t>East McComb Check Cash</t>
  </si>
  <si>
    <t>4 RE Services llc</t>
  </si>
  <si>
    <t>VIAL FOTHERINGHAM</t>
  </si>
  <si>
    <t>Jeffrey R. Lankenau, Attorney at Law</t>
  </si>
  <si>
    <t>Law Offices of Benjamin Woo</t>
  </si>
  <si>
    <t>Mary Mae Financial, LLC</t>
  </si>
  <si>
    <t>Beard &amp; Lane, P.C.</t>
  </si>
  <si>
    <t>Safe Financial Group LLC</t>
  </si>
  <si>
    <t>RICHLAND LOAN PROCESSING CENTER, LLC</t>
  </si>
  <si>
    <t>LPI-IV, LLC dba American Foreclosure Prevention</t>
  </si>
  <si>
    <t>CENTENNIAL LENDING GROUP LLC</t>
  </si>
  <si>
    <t>EZ Loans Co LLC</t>
  </si>
  <si>
    <t>Credit Star Funding</t>
  </si>
  <si>
    <t>DEVLIN INC</t>
  </si>
  <si>
    <t>Unitas Lending, LLC</t>
  </si>
  <si>
    <t>B Walters CO., LLC</t>
  </si>
  <si>
    <t>HOMEOWNER MORTGAGE OF AMERICA</t>
  </si>
  <si>
    <t>CENTRAL BANC MORTGAGE CORPORATION</t>
  </si>
  <si>
    <t>Hardesty Law Office, PLLC</t>
  </si>
  <si>
    <t>Paula G Kaplan Esq</t>
  </si>
  <si>
    <t>CAROLINA FINANCIAL OF BEAUFORT INC.</t>
  </si>
  <si>
    <t>RESOURCE LENDERS, INC</t>
  </si>
  <si>
    <t>Silver Cloud Financial, Inc</t>
  </si>
  <si>
    <t>Wall Financial, Inc.</t>
  </si>
  <si>
    <t>OfferMarket</t>
  </si>
  <si>
    <t>Jackson Law Offices, PLLC</t>
  </si>
  <si>
    <t>Guy C. Zukeran, Attorney at Law, LLLC</t>
  </si>
  <si>
    <t>Monex Inc.</t>
  </si>
  <si>
    <t>SECURITY NATIONAL TITLE AND ESCROW, LLC</t>
  </si>
  <si>
    <t>Abendroth and Russell, P.C.</t>
  </si>
  <si>
    <t>Century Financial Group</t>
  </si>
  <si>
    <t>The Law Office of Richard M Kitrick Esq. LLC</t>
  </si>
  <si>
    <t>LN CAPITAL CORP.</t>
  </si>
  <si>
    <t>Red Leaf Servicing</t>
  </si>
  <si>
    <t>Equity 4 U, Inc.</t>
  </si>
  <si>
    <t>AFFORDABLE MORTGAGE ADVISORS LLC</t>
  </si>
  <si>
    <t>Consumer Credit Counseling Service of San Francisco</t>
  </si>
  <si>
    <t>F C Tucker Company, Inc</t>
  </si>
  <si>
    <t>ODYSSEY FUNDING LLC</t>
  </si>
  <si>
    <t>Car Cash of Lawrenceville LLC</t>
  </si>
  <si>
    <t>The Chusid Law Firm, LLC</t>
  </si>
  <si>
    <t>Airport Finance</t>
  </si>
  <si>
    <t>Wertjes Atkission Law PS</t>
  </si>
  <si>
    <t>RecFi,LLC</t>
  </si>
  <si>
    <t>JRG FUNDING LLC</t>
  </si>
  <si>
    <t>Bragg and Associates Real Estate LLC</t>
  </si>
  <si>
    <t>PLAC Guarantee</t>
  </si>
  <si>
    <t>SCW Acquisitions LLC DBA TrustARG</t>
  </si>
  <si>
    <t>REVERSE e MORTGAGE LLC Dba CrossPoint Funding</t>
  </si>
  <si>
    <t>Evelyn Financial Services</t>
  </si>
  <si>
    <t>Continental Title Holding Co., Inc.</t>
  </si>
  <si>
    <t>Edco Bridge</t>
  </si>
  <si>
    <t>Maven Asset Management, Inc.</t>
  </si>
  <si>
    <t>National Credit Managers Association</t>
  </si>
  <si>
    <t>Hidden Meadow Lending</t>
  </si>
  <si>
    <t>AT&amp;T</t>
  </si>
  <si>
    <t>LKN Capital Mortgage, Inc.</t>
  </si>
  <si>
    <t>SEB Legal, LLC</t>
  </si>
  <si>
    <t>Horman Nichols LLC</t>
  </si>
  <si>
    <t>Zbest Cars, Inc.</t>
  </si>
  <si>
    <t>Ozark Mountain Mortgage, LLC</t>
  </si>
  <si>
    <t>Take Charge America, Inc.</t>
  </si>
  <si>
    <t>Optimal Management Group, LLC</t>
  </si>
  <si>
    <t>PCF Holdings Corp.</t>
  </si>
  <si>
    <t>A1 Lending Team LLC</t>
  </si>
  <si>
    <t>Fridge &amp; Resendez, P.C.</t>
  </si>
  <si>
    <t>PREFERRED LOANS LLC</t>
  </si>
  <si>
    <t>Richard A. Abrams, Attorney at Law</t>
  </si>
  <si>
    <t>Venture Auto Finance</t>
  </si>
  <si>
    <t>Malik J Hall Inc</t>
  </si>
  <si>
    <t>JACKSON &amp; McPHERSON, LLC</t>
  </si>
  <si>
    <t>Randolph Walzer &amp; Associates, LLC</t>
  </si>
  <si>
    <t>Choice Payment Services</t>
  </si>
  <si>
    <t>Call A Friend Financial Services, LLC</t>
  </si>
  <si>
    <t>Law Offices of Bill Malone, Jr.</t>
  </si>
  <si>
    <t>Amos &amp; Muffoletto, LLC</t>
  </si>
  <si>
    <t>B-LO LLC</t>
  </si>
  <si>
    <t>Miller George and Suggs, PLLC</t>
  </si>
  <si>
    <t>Lo Inc. DBA Reliance Mortgage</t>
  </si>
  <si>
    <t>BR &amp; CA Finance Corp</t>
  </si>
  <si>
    <t>Select Us Consulting and Coaching</t>
  </si>
  <si>
    <t>Hernandez R E Services</t>
  </si>
  <si>
    <t>Meyer &amp; Kerschner, Ltd.</t>
  </si>
  <si>
    <t>The Green Law Firm, PC</t>
  </si>
  <si>
    <t>Bench Equity, L.L.C.</t>
  </si>
  <si>
    <t>Francois Capital LLC</t>
  </si>
  <si>
    <t>Automatic Financing, Inc.</t>
  </si>
  <si>
    <t>Kees to Success</t>
  </si>
  <si>
    <t>Spinwheel Solutions, Inc.</t>
  </si>
  <si>
    <t>Tactical Mortgage LLC</t>
  </si>
  <si>
    <t>Benchmark Services, Inc.</t>
  </si>
  <si>
    <t>Pro Equity Partners, Inc.</t>
  </si>
  <si>
    <t>OVERSTOCK.COM INC</t>
  </si>
  <si>
    <t>Pinnacle Capital Funding Corporation</t>
  </si>
  <si>
    <t>Integrity Acquisitions Group</t>
  </si>
  <si>
    <t>PacificLife Servicing</t>
  </si>
  <si>
    <t>Midwest Recovery Ltd</t>
  </si>
  <si>
    <t>Limetree Lending, Inc.</t>
  </si>
  <si>
    <t>Home Financial Corporation</t>
  </si>
  <si>
    <t>Galin Mortgage Lending, LLC</t>
  </si>
  <si>
    <t>Bond Corporation</t>
  </si>
  <si>
    <t>Fidelity Home Group Corp.</t>
  </si>
  <si>
    <t>Cody Barden Daniels &amp; Palo, Inc. dba The Commercial Agency</t>
  </si>
  <si>
    <t>Abbey Mortgage of Ocala Inc.</t>
  </si>
  <si>
    <t>Auction Credit Enterprise</t>
  </si>
  <si>
    <t>Trusted Rate, Inc.</t>
  </si>
  <si>
    <t>OpenRoad Financial Services Inc</t>
  </si>
  <si>
    <t>MORTGAGE EQUITY PARTNERS LLC</t>
  </si>
  <si>
    <t>INTERFIRST LENDING CORPORATION</t>
  </si>
  <si>
    <t>Residential Funding Consultants LLC</t>
  </si>
  <si>
    <t>Simple Loans</t>
  </si>
  <si>
    <t>Credit Restoration of Texas</t>
  </si>
  <si>
    <t>XPRESS CREDIT MANAGEMENT, LLC</t>
  </si>
  <si>
    <t>Recovery Remedies Corporation</t>
  </si>
  <si>
    <t>Richard J. Murphey, Attorney at Law</t>
  </si>
  <si>
    <t>Loan Velocity, Inc.</t>
  </si>
  <si>
    <t>Smith &amp; Johnson, Attorneys  PC</t>
  </si>
  <si>
    <t>Credit Power LLC</t>
  </si>
  <si>
    <t>Pacific Mortgage Planning LLC</t>
  </si>
  <si>
    <t>Clear Title Solutions, Inc.</t>
  </si>
  <si>
    <t>Praxis Finance LLC</t>
  </si>
  <si>
    <t>Jet Cash Funding Inc.</t>
  </si>
  <si>
    <t>Land Title Guarantee Company, a Colorado corporation</t>
  </si>
  <si>
    <t>NATIONS TRUST MORTGAGE INC</t>
  </si>
  <si>
    <t>Warlick, Stebbins, Murray &amp; Chew, LLP</t>
  </si>
  <si>
    <t>Dash Funding Source LLC</t>
  </si>
  <si>
    <t>North Main Motors Inc.</t>
  </si>
  <si>
    <t>JMEN Capital Group Ltd</t>
  </si>
  <si>
    <t>Trio Financial Technologies, Inc. DBA Finch</t>
  </si>
  <si>
    <t>Law Offices of Frank J. Maier &amp; Associates</t>
  </si>
  <si>
    <t>Landis Law</t>
  </si>
  <si>
    <t>United Mortgage Resolution, LLC</t>
  </si>
  <si>
    <t>Blueleven Capital Corporation</t>
  </si>
  <si>
    <t>Sander Law LLC</t>
  </si>
  <si>
    <t>Freeborn &amp; Peters LLP</t>
  </si>
  <si>
    <t>Ricardo A. Gonzalez dba Performance Elite Lending</t>
  </si>
  <si>
    <t>LA Financial Services, Inc.</t>
  </si>
  <si>
    <t>Infinity Home Lending</t>
  </si>
  <si>
    <t>Aerostar Finance Inc.</t>
  </si>
  <si>
    <t>Romain Automotive, LLC</t>
  </si>
  <si>
    <t>Law Offices of Phillip B. Ochs, Esq.</t>
  </si>
  <si>
    <t>SHAZAM, INC./IOWA TRANSFER SYSTEM, INC. (ITS)</t>
  </si>
  <si>
    <t>Dakota Bluff Financial, LLC</t>
  </si>
  <si>
    <t>I-NET, INC.</t>
  </si>
  <si>
    <t>Vela US Holdco. Inc.</t>
  </si>
  <si>
    <t>Pasadena Receivables, Inc.</t>
  </si>
  <si>
    <t>Perennial Funding LLC</t>
  </si>
  <si>
    <t>Dearden's</t>
  </si>
  <si>
    <t>Lightspeed Mortgage, Inc.</t>
  </si>
  <si>
    <t>Unified Mortgage Service, Inc.</t>
  </si>
  <si>
    <t>THE STUDENT LOAN HELP CENTER</t>
  </si>
  <si>
    <t>AmRes Corporation</t>
  </si>
  <si>
    <t>William Raveis Real Estate</t>
  </si>
  <si>
    <t>B-Focused Mobile LLC</t>
  </si>
  <si>
    <t>US Assets, LLC</t>
  </si>
  <si>
    <t>Victor, Inc.</t>
  </si>
  <si>
    <t>Liberty Mortgage Lending, Inc.</t>
  </si>
  <si>
    <t>National Recovery Association, LLC.</t>
  </si>
  <si>
    <t>Portview Billing Services, LLC</t>
  </si>
  <si>
    <t>Park Company Realtors</t>
  </si>
  <si>
    <t>SETERUS INC</t>
  </si>
  <si>
    <t>Phoenix mortgage specialist inc.</t>
  </si>
  <si>
    <t>NSH Partnership</t>
  </si>
  <si>
    <t>Hypur, Inc</t>
  </si>
  <si>
    <t>PIONEER CREDIT RECOVERY, INC.</t>
  </si>
  <si>
    <t>Monarch Title, Inc.</t>
  </si>
  <si>
    <t>Van Patten Mortgage Group</t>
  </si>
  <si>
    <t>1ST IBERIA CREDIT, INC.</t>
  </si>
  <si>
    <t>LIMESTONE TITLE AND ESCROW, LLC</t>
  </si>
  <si>
    <t>Gulf States Financial, L.L.C.</t>
  </si>
  <si>
    <t>AssetRecoveryplus</t>
  </si>
  <si>
    <t>Lori J. Frank PC</t>
  </si>
  <si>
    <t>Check First Inc</t>
  </si>
  <si>
    <t>Eastside Funding LLC</t>
  </si>
  <si>
    <t>The Law Office of Michael A. Priddle, LLC</t>
  </si>
  <si>
    <t>Balbec Capital LP</t>
  </si>
  <si>
    <t>Blitz Ventures, LLC</t>
  </si>
  <si>
    <t>C &amp; A Mortgage Services of Florence, Inc.</t>
  </si>
  <si>
    <t>STARK &amp; STARK, P.C.</t>
  </si>
  <si>
    <t>Steps Home Loans, LLC</t>
  </si>
  <si>
    <t>AMERICAN MIDWEST MORTGAGE</t>
  </si>
  <si>
    <t>Wallace Consulting and Investment Corp</t>
  </si>
  <si>
    <t>Alegria Auto Sales</t>
  </si>
  <si>
    <t>Crossman Portfolio Management</t>
  </si>
  <si>
    <t>Citizen Mortgage LLC</t>
  </si>
  <si>
    <t>GIBSON MORTGAGE, INC.</t>
  </si>
  <si>
    <t>AIV FINANCIAL GROUP, LLC</t>
  </si>
  <si>
    <t>Flangas Law Firm, LTD</t>
  </si>
  <si>
    <t>Vision Holdings</t>
  </si>
  <si>
    <t>Anchor Financial Mortgage, Inc.</t>
  </si>
  <si>
    <t>AAA LEGACY INVESTMENTS</t>
  </si>
  <si>
    <t>Loansmart Inc.</t>
  </si>
  <si>
    <t>Houston Home Loan, Inc.</t>
  </si>
  <si>
    <t>Efficient Recovery Services, LLC</t>
  </si>
  <si>
    <t>Grant Law, LLC</t>
  </si>
  <si>
    <t>Penrith Home Loans LLC</t>
  </si>
  <si>
    <t>S.S. Sampliner &amp; Co., Inc.</t>
  </si>
  <si>
    <t>Manhattan Financial Group, Inc.</t>
  </si>
  <si>
    <t>FIRST LIBERTY FINANCIAL MORTGAGE, A DIVISION OF EVANSVILLE TEACHERS FEDERAL CREDIT UNION</t>
  </si>
  <si>
    <t>Poole Mahoney PC</t>
  </si>
  <si>
    <t>PayFiniti, LLC</t>
  </si>
  <si>
    <t>POINT ESCROW, LLC</t>
  </si>
  <si>
    <t>BesTitle Agency, Inc.</t>
  </si>
  <si>
    <t>CLA Co, Inc.</t>
  </si>
  <si>
    <t>Invicta Mortgage Group, Inc.</t>
  </si>
  <si>
    <t>Elsea Financial Services Inc.</t>
  </si>
  <si>
    <t>Secure Financial Services, Inc. D/B/A Secure Mortgage Company</t>
  </si>
  <si>
    <t>MBOCAL</t>
  </si>
  <si>
    <t>iCore Lending, Inc.</t>
  </si>
  <si>
    <t>METRO ISLAND MORTGAGE INC.</t>
  </si>
  <si>
    <t>Brady &amp; Cissne Law</t>
  </si>
  <si>
    <t>Lofstrom Law Firm, LLC</t>
  </si>
  <si>
    <t>EAZZY CONSULTING GROUP, INC</t>
  </si>
  <si>
    <t>Barber, Kaper, Stamm, McWatters, Whitlock &amp; Maloney, LLP</t>
  </si>
  <si>
    <t>ONYX Lending, LLC</t>
  </si>
  <si>
    <t>Capital Provider Holdings, Inc.</t>
  </si>
  <si>
    <t>Miciul &amp; Associates, LLC</t>
  </si>
  <si>
    <t>IOWA MORTGAGE SOLUTIONS INC</t>
  </si>
  <si>
    <t>CBG Financial, LLC</t>
  </si>
  <si>
    <t>United Mutual Funding Corp</t>
  </si>
  <si>
    <t>Goldman &amp; Van Beek, P.C</t>
  </si>
  <si>
    <t>Davis, Pickren, Seydel &amp; Sneed, LLP</t>
  </si>
  <si>
    <t>Western Collections, Inc</t>
  </si>
  <si>
    <t>Westley Auto Inc</t>
  </si>
  <si>
    <t>1st Portfolio Holding Corporation</t>
  </si>
  <si>
    <t>AK Bell, Inc.</t>
  </si>
  <si>
    <t>COOPERATIVA DE AHORRO Y CREDITO ROOSEVELT ROADS</t>
  </si>
  <si>
    <t>FORTUNE FINANCIAL, INC.</t>
  </si>
  <si>
    <t>CAPITAL INTERNATIONAL FINANCIAL INC.</t>
  </si>
  <si>
    <t>SUISSE BANCORP</t>
  </si>
  <si>
    <t>TRI POINTE HOMES INC</t>
  </si>
  <si>
    <t>Trident Home Loans, LLC</t>
  </si>
  <si>
    <t>Schiller &amp; Adam, P.A.</t>
  </si>
  <si>
    <t>Jonsue, LLC</t>
  </si>
  <si>
    <t>Scott &amp; Goldman, Inc.</t>
  </si>
  <si>
    <t>The Loan Tree Corp</t>
  </si>
  <si>
    <t>Giordano, DelCollo, Werb &amp; Gagne, LLC</t>
  </si>
  <si>
    <t>Consider It Collected, LLC</t>
  </si>
  <si>
    <t>Xpress Cash Management, LLC</t>
  </si>
  <si>
    <t>Howard Solochek &amp; Weber, S.C.</t>
  </si>
  <si>
    <t>Curtin Law Firm, P.C.</t>
  </si>
  <si>
    <t>Harr Imports Inc</t>
  </si>
  <si>
    <t>IVAN BROWN</t>
  </si>
  <si>
    <t>Core Mortgage Services, LLC</t>
  </si>
  <si>
    <t>Cash Max LLC</t>
  </si>
  <si>
    <t>U.S. Home Capital, LLC</t>
  </si>
  <si>
    <t>Luper Neidenthal &amp; Logan, A Legal Professional Association</t>
  </si>
  <si>
    <t>Emerge Financial Services, Inc.</t>
  </si>
  <si>
    <t>J D FACTORS LLC</t>
  </si>
  <si>
    <t>THE MORTGAGE EXPERTS LLC</t>
  </si>
  <si>
    <t>Summerfield Mortgage, LLC</t>
  </si>
  <si>
    <t>IJLfinancial, Inc.</t>
  </si>
  <si>
    <t>Avanta Recovery Services</t>
  </si>
  <si>
    <t>CrediFlash LLC</t>
  </si>
  <si>
    <t>Dressman Benzinger LaVelle PSC</t>
  </si>
  <si>
    <t>Gold Law, A Professional Corporation</t>
  </si>
  <si>
    <t>Scout Mortgage, Inc.</t>
  </si>
  <si>
    <t>Law Office Of Phillip G. Krueger</t>
  </si>
  <si>
    <t>NATIONS TRUST MORTGAGE CORPORATION</t>
  </si>
  <si>
    <t>Starkes Law Firm, L.L.C.</t>
  </si>
  <si>
    <t>Unchained Capital, Inc.</t>
  </si>
  <si>
    <t>ACE LENDING GROUP, LLC</t>
  </si>
  <si>
    <t>Watanabe Ing LLP</t>
  </si>
  <si>
    <t>MORTGAGES UNLIMITED, INC.</t>
  </si>
  <si>
    <t>Davis &amp; Amaral Mortgage Consultants, Inc.</t>
  </si>
  <si>
    <t>CarsNow LLC</t>
  </si>
  <si>
    <t>Dalty Acquisitions, Inc.</t>
  </si>
  <si>
    <t>Title on Demand of NJ Inc.</t>
  </si>
  <si>
    <t>MM Cooperation, Ltd Co</t>
  </si>
  <si>
    <t>HARRIS AUTOMOTIVE GROUP LLC</t>
  </si>
  <si>
    <t>Stein &amp; Stein, LLP</t>
  </si>
  <si>
    <t>EVERETT ASSOCIATION OF CREDIT MEN, INC.</t>
  </si>
  <si>
    <t>Eagle Phillips LLC</t>
  </si>
  <si>
    <t>PARAGON REVENUE GROUP</t>
  </si>
  <si>
    <t>Gerard Services, Inc.</t>
  </si>
  <si>
    <t>Total Debt Assistance Group</t>
  </si>
  <si>
    <t>Enter Mortgage Inc</t>
  </si>
  <si>
    <t>Law Office of Anthony C. Onwuanibe</t>
  </si>
  <si>
    <t>Samsa Technologies Inc</t>
  </si>
  <si>
    <t>Devgru Financial LLC</t>
  </si>
  <si>
    <t>Lee Petersen, Attorney</t>
  </si>
  <si>
    <t>Cortland Capital Group, LLC</t>
  </si>
  <si>
    <t>GREAT LAKES HIGHER EDUCATION CORPORATION</t>
  </si>
  <si>
    <t>Law Offices of Erik Graeff, PC</t>
  </si>
  <si>
    <t>PRIDE LENDING LLC</t>
  </si>
  <si>
    <t>AR1 MORTGAGES, INC</t>
  </si>
  <si>
    <t>Tunnell &amp; Raysor, P.A.</t>
  </si>
  <si>
    <t>BYDcash LLC</t>
  </si>
  <si>
    <t>KINGS MORTGAGE SERVICES INCORPORATED</t>
  </si>
  <si>
    <t>Access Auto Group, Inc.</t>
  </si>
  <si>
    <t>MORTAGE WAREHOUSE LLC, THE</t>
  </si>
  <si>
    <t>Sportsman's Credit, LLC</t>
  </si>
  <si>
    <t>Mortgage Professionals, Inc.</t>
  </si>
  <si>
    <t>Trevathan Law Firm, APLC</t>
  </si>
  <si>
    <t>Partridge Snow &amp; Hahn LLP</t>
  </si>
  <si>
    <t>LEIJA ENTERPRISES, INC.</t>
  </si>
  <si>
    <t>A-1 Fast Cash of Tucker, Inc</t>
  </si>
  <si>
    <t>Futura TItle &amp; Escrow, LLC</t>
  </si>
  <si>
    <t>Atchison Account Management</t>
  </si>
  <si>
    <t>Capital Financial Group, LLC of Illinois</t>
  </si>
  <si>
    <t>BIRK CORPORATION</t>
  </si>
  <si>
    <t>Harris &amp; MacNeil, LLP</t>
  </si>
  <si>
    <t>First Choice Lending Group, LP</t>
  </si>
  <si>
    <t>Leatherstocking Group, Inc.</t>
  </si>
  <si>
    <t>PCMA, Inc.</t>
  </si>
  <si>
    <t>Saba Commercial Services Corp dba Saba &amp; Associates</t>
  </si>
  <si>
    <t>Fort Payne Finance Co. Inc.</t>
  </si>
  <si>
    <t>Jacob &amp; Griffin Associates</t>
  </si>
  <si>
    <t>iReverse Home Loans, Corporation</t>
  </si>
  <si>
    <t>Boostify Financial Solutions</t>
  </si>
  <si>
    <t>HENRY SCHEIN, INC.</t>
  </si>
  <si>
    <t>DriveNow Leasing LLC</t>
  </si>
  <si>
    <t>Prospering Home Loans LLC</t>
  </si>
  <si>
    <t>Pipeline Ventures</t>
  </si>
  <si>
    <t>Prosper Law Group</t>
  </si>
  <si>
    <t>A P Auto Finance Inc</t>
  </si>
  <si>
    <t>Law Offices of Nathan Lollis, LLC</t>
  </si>
  <si>
    <t>Commonwealth Auto Credit, LLC</t>
  </si>
  <si>
    <t>Association Collection Services LLC</t>
  </si>
  <si>
    <t>ProVisor, Inc.</t>
  </si>
  <si>
    <t>U.S. IMPACT, INC.</t>
  </si>
  <si>
    <t>COAST 2 COAST LENDERS, LLC</t>
  </si>
  <si>
    <t>Nemovi Law Group</t>
  </si>
  <si>
    <t>Laelia, LLC</t>
  </si>
  <si>
    <t>Benefit Mortgage</t>
  </si>
  <si>
    <t>Payment Servicing Corporation</t>
  </si>
  <si>
    <t>Car Cage Motors Inc</t>
  </si>
  <si>
    <t>Landis Technologies, Inc.</t>
  </si>
  <si>
    <t>Chesapeakes Services</t>
  </si>
  <si>
    <t>Three B Financial, LLC</t>
  </si>
  <si>
    <t>TASO Group LLC</t>
  </si>
  <si>
    <t>ATM OPS Inc</t>
  </si>
  <si>
    <t>Parlanti &amp; Cooperman, LLP</t>
  </si>
  <si>
    <t>Rhame, Elwood &amp; McClure PC</t>
  </si>
  <si>
    <t>LANDMARK MORTGAGE OF TAMPA BAY, INC</t>
  </si>
  <si>
    <t>AutoSmart  Acceptance Corporation</t>
  </si>
  <si>
    <t>ENSURE HOME LOANS LLC</t>
  </si>
  <si>
    <t>REDWOOD MORTGAGE INVESTORS</t>
  </si>
  <si>
    <t>Snap Credit, Inc.</t>
  </si>
  <si>
    <t>Rockwallet LLC</t>
  </si>
  <si>
    <t>Precise Home Loans, LLC</t>
  </si>
  <si>
    <t>Loansteady LLC</t>
  </si>
  <si>
    <t>Good Credit For Life, LLC</t>
  </si>
  <si>
    <t>AFC Recovery LLC</t>
  </si>
  <si>
    <t>Greenway Mortgage Funding Corp.</t>
  </si>
  <si>
    <t>A1 Solutions Group Inc</t>
  </si>
  <si>
    <t>Gregg &amp; Gregg, P.C.</t>
  </si>
  <si>
    <t>Equihome Mortgage, LLC</t>
  </si>
  <si>
    <t>Money Hungry, LLC</t>
  </si>
  <si>
    <t>Cornerstone Mortgage Group, LLC</t>
  </si>
  <si>
    <t>Property Collection Lawyers, LLC</t>
  </si>
  <si>
    <t>INGRAHAM &amp; ASSOCIATES, P.A.</t>
  </si>
  <si>
    <t>Law Office of R. Gary Shapley</t>
  </si>
  <si>
    <t>Land Closing Services, Inc.</t>
  </si>
  <si>
    <t>American Title Corp</t>
  </si>
  <si>
    <t>America's Secure Home Loans, Inc.</t>
  </si>
  <si>
    <t>Car World Group</t>
  </si>
  <si>
    <t>DeConcini McDonald Yetwin &amp; Lacy, PC</t>
  </si>
  <si>
    <t>Metropolitan Title, LLC</t>
  </si>
  <si>
    <t>National Litigation Law Group, LLP</t>
  </si>
  <si>
    <t>ALKAN MORTGAGE CORPORATION</t>
  </si>
  <si>
    <t>Girosol Corp.</t>
  </si>
  <si>
    <t>Senior Management Group, Inc.</t>
  </si>
  <si>
    <t>Housing &amp; Financial Educator</t>
  </si>
  <si>
    <t>Hudson United Mortgage LLC</t>
  </si>
  <si>
    <t>TJR Asset Recovery LLC</t>
  </si>
  <si>
    <t>Tucker Financing Inc.</t>
  </si>
  <si>
    <t>AMERITRUST MORTGAGE CORPORATION</t>
  </si>
  <si>
    <t>Thrash and Thrash, PLLC</t>
  </si>
  <si>
    <t>Cianfrone, Nikoloff, Grant, &amp; Greenberg, P.A.</t>
  </si>
  <si>
    <t>Rapido Credit Repair, Inc.</t>
  </si>
  <si>
    <t>Inlanta Mortgage, Inc.</t>
  </si>
  <si>
    <t>CLEVELAND HOME TITLE AGENCY</t>
  </si>
  <si>
    <t>Kna Global Enterprises Inc</t>
  </si>
  <si>
    <t>DeBellis Financial Services, Inc.</t>
  </si>
  <si>
    <t>Sandman Law Group LLC</t>
  </si>
  <si>
    <t>Copper Lake Financial, LLC</t>
  </si>
  <si>
    <t>Chowder, Inc.</t>
  </si>
  <si>
    <t>Two Rivers Title Company, LLC</t>
  </si>
  <si>
    <t>1st United Funding, LLC</t>
  </si>
  <si>
    <t>PACIFIC FORESIGHT FINANCIAL CORPORATION</t>
  </si>
  <si>
    <t>Medical Delinquency Management, Inc</t>
  </si>
  <si>
    <t>FIDELITY FUNDING MORTGAGE CORPORATION</t>
  </si>
  <si>
    <t>Rapture Technology</t>
  </si>
  <si>
    <t>Gregory and Jacobs Corporation</t>
  </si>
  <si>
    <t>STEPHEN¬†D¬†LANDAU</t>
  </si>
  <si>
    <t>Howard Howe Attorney at Law</t>
  </si>
  <si>
    <t>Andrea Visgilio-McGrath, LLC</t>
  </si>
  <si>
    <t>Eburch Consulting INC</t>
  </si>
  <si>
    <t>DARCARS AUTOMOTIVE  (Mariam Inc.)</t>
  </si>
  <si>
    <t>Flyhomes, Inc.</t>
  </si>
  <si>
    <t>Viceroy, Inc.</t>
  </si>
  <si>
    <t>Educational Funding Resources, Inc.</t>
  </si>
  <si>
    <t>Michelle A. Arace dbaThe Law Firm of Michelle A. Arace</t>
  </si>
  <si>
    <t>Hylan Asset Management, LLC</t>
  </si>
  <si>
    <t>Thrifty Loans, LLC</t>
  </si>
  <si>
    <t>Torin D. Togut</t>
  </si>
  <si>
    <t>Romano Parker &amp; Associates</t>
  </si>
  <si>
    <t>Wilhite and Associates Law Firm</t>
  </si>
  <si>
    <t>FIRST AMERICAN ACCEPTANCE CO., LLC</t>
  </si>
  <si>
    <t>ADF Automotives LLC</t>
  </si>
  <si>
    <t>America Trust Funding-Mortgage, Bankers LLC</t>
  </si>
  <si>
    <t>PPM CAPITAL INC.</t>
  </si>
  <si>
    <t>International Collection Agency &amp; Service Inc.</t>
  </si>
  <si>
    <t>RAYBOUN MULLIGAN, PLLC</t>
  </si>
  <si>
    <t>Goodman Law PLLC</t>
  </si>
  <si>
    <t>PAR FINANCE, INC.</t>
  </si>
  <si>
    <t>Mjollnir Group</t>
  </si>
  <si>
    <t>Wisconsin Title Group, LLC</t>
  </si>
  <si>
    <t>Nations Holding Company</t>
  </si>
  <si>
    <t>Darwin Solutions Inc.</t>
  </si>
  <si>
    <t>Centric Financial Group LLC</t>
  </si>
  <si>
    <t>CNG Investments, Inc</t>
  </si>
  <si>
    <t>Brewer's Quality Homes, Inc.</t>
  </si>
  <si>
    <t>NEW CENTURY FINANCIAL, L.L.C.</t>
  </si>
  <si>
    <t>MARSH ASSOCIATES, INC.</t>
  </si>
  <si>
    <t>Venanzi Law Office</t>
  </si>
  <si>
    <t>Central Land Title Guarantee Company</t>
  </si>
  <si>
    <t>Wallick &amp; Associates, Ltd</t>
  </si>
  <si>
    <t>Atlas Exploration, Inc.</t>
  </si>
  <si>
    <t>Thompson Steinberg</t>
  </si>
  <si>
    <t>Moneylink Mortgage, Inc.</t>
  </si>
  <si>
    <t>Freede Solutions Inc.</t>
  </si>
  <si>
    <t>Sentry Abstract Co.</t>
  </si>
  <si>
    <t>Unsecured Loan Specialists of North America, LLC</t>
  </si>
  <si>
    <t>Kirk Law Group PLLC dba Kirk Law</t>
  </si>
  <si>
    <t>9 Dots Lending LLC</t>
  </si>
  <si>
    <t>Hopkins Financial Services, Inc.</t>
  </si>
  <si>
    <t>CGB AGRI FINANCIAL SERVICES, INC.</t>
  </si>
  <si>
    <t>Moskowitz Mandell Salim &amp; Simowitz, PA</t>
  </si>
  <si>
    <t>Advance Title and Loans, LLC</t>
  </si>
  <si>
    <t>Paragon Title &amp; Escrow Company</t>
  </si>
  <si>
    <t>Freedom Trucks LLC</t>
  </si>
  <si>
    <t>Fred Fincher Motors</t>
  </si>
  <si>
    <t>Encompass Recovery Group LLC</t>
  </si>
  <si>
    <t>M3 Mortgage Specialists, Inc</t>
  </si>
  <si>
    <t>Law Office of Ralph L. Sims</t>
  </si>
  <si>
    <t>TRINITY CAPITAL ADVISORS LLC</t>
  </si>
  <si>
    <t>MORTGAGE MASTER SERVICE CORPORATION</t>
  </si>
  <si>
    <t>The Best Credit Group</t>
  </si>
  <si>
    <t>1st Look Mortgage, LLC</t>
  </si>
  <si>
    <t>Dadiwah 13 of Marietta, Inc.</t>
  </si>
  <si>
    <t>Home Loans Inc</t>
  </si>
  <si>
    <t>Varolii Corporation</t>
  </si>
  <si>
    <t>Pagliaro Inc. dba Collection Associates</t>
  </si>
  <si>
    <t>K Rockford LLC</t>
  </si>
  <si>
    <t>Inverterra Holdings, LLC</t>
  </si>
  <si>
    <t>RUEDY &amp; STITES ADVERTISING COMPANY</t>
  </si>
  <si>
    <t>Law Office of Ralph C. Lorigo</t>
  </si>
  <si>
    <t>Button Finance, Inc.</t>
  </si>
  <si>
    <t>AJM Consultants LLC</t>
  </si>
  <si>
    <t>CHECK COLLECTION OF AMERICA, INC.</t>
  </si>
  <si>
    <t>TyKy</t>
  </si>
  <si>
    <t>LIGHTHOUSE MORTGAGE COMPANY INC</t>
  </si>
  <si>
    <t>Thayer Properties Inc. DBA Residential First Capital</t>
  </si>
  <si>
    <t>Ostarch Hilmy &amp; McCauley, PLLC</t>
  </si>
  <si>
    <t>Cornerstone Lending Group Inc.</t>
  </si>
  <si>
    <t>Title Tree Holdings LLC</t>
  </si>
  <si>
    <t>Gateway Recovery Solutions</t>
  </si>
  <si>
    <t>Omni Investments Inc.</t>
  </si>
  <si>
    <t>SSI GROUP, INC</t>
  </si>
  <si>
    <t>Audubon Solutions LLC DBA Titan Portfolio Management Group</t>
  </si>
  <si>
    <t>DeWitt Mortgage Services and Property Management, LLC</t>
  </si>
  <si>
    <t>Pine Belt Credit, LLC</t>
  </si>
  <si>
    <t>North Colony Law Group, PC</t>
  </si>
  <si>
    <t>LEXINGTON LAW FIRM</t>
  </si>
  <si>
    <t>Zenith Financial &amp; Insurance Solutions Inc.</t>
  </si>
  <si>
    <t>Florida Coastal Closing &amp; Escrow LLC</t>
  </si>
  <si>
    <t>The Title Connection Of South Florida, Inc.</t>
  </si>
  <si>
    <t>Benn Realty Services, Inc.</t>
  </si>
  <si>
    <t>Atlas Medical Collection, Inc.</t>
  </si>
  <si>
    <t>Westport Recovery Corporation</t>
  </si>
  <si>
    <t>Family Financial Care, Inc.</t>
  </si>
  <si>
    <t>Americas Mortgage Professionals, LLC</t>
  </si>
  <si>
    <t>Union Home Loan, Inc.</t>
  </si>
  <si>
    <t>Sommars &amp; Associates</t>
  </si>
  <si>
    <t>Economic Empowerment Center</t>
  </si>
  <si>
    <t>Charlottesville Settlement Company</t>
  </si>
  <si>
    <t>Debt Settlement Group, Inc. dba Debt Rx</t>
  </si>
  <si>
    <t>Sibbett Auto Sales LLC</t>
  </si>
  <si>
    <t>Castle Peak Mortgage, LLC</t>
  </si>
  <si>
    <t>CBM Accounts Service, Inc.</t>
  </si>
  <si>
    <t>Burns &amp; Carlisle, Inc.</t>
  </si>
  <si>
    <t>Moneytree Financial Services, Inc.</t>
  </si>
  <si>
    <t>Good Friend Mortgage Inc.</t>
  </si>
  <si>
    <t>InstaLend</t>
  </si>
  <si>
    <t>CreditDusters LLC</t>
  </si>
  <si>
    <t>Vista Mortgage Corporation</t>
  </si>
  <si>
    <t>HomePace, Inc.</t>
  </si>
  <si>
    <t>CB Collections, Inc.</t>
  </si>
  <si>
    <t>Island Mortgage Source Inc</t>
  </si>
  <si>
    <t>Alantic Personnel &amp; Tenant Screening, Inc</t>
  </si>
  <si>
    <t>Nathan A Schwartz PA</t>
  </si>
  <si>
    <t>Cure Payment Recovery Solutions, LLC</t>
  </si>
  <si>
    <t>PreFi, LLC</t>
  </si>
  <si>
    <t>InvestMark Mortgage</t>
  </si>
  <si>
    <t>J. B. Collections</t>
  </si>
  <si>
    <t>Southeast Auto Financial Services, LLC</t>
  </si>
  <si>
    <t>Working Solutions CDFI</t>
  </si>
  <si>
    <t>proportion</t>
  </si>
  <si>
    <t xml:space="preserve">GPT classification </t>
  </si>
  <si>
    <t>AI Adoption (0-no, 1-yes)</t>
  </si>
  <si>
    <t>Date (MM/YYYY)</t>
  </si>
  <si>
    <t>Link</t>
  </si>
  <si>
    <r>
      <rPr>
        <color rgb="FF1155CC"/>
        <u/>
      </rPr>
      <t>BofA’s Erica Surpasses 1.5 Billion Client Interactions, Totaling More Than 10 Million Hours of Conversations | Press Releases | Newsroom | Bank of America</t>
    </r>
  </si>
  <si>
    <t>Wells Fargo’s assistant, powered by Google's AI, poised to hit 100 million interactions annually | VentureBeat</t>
  </si>
  <si>
    <r>
      <rPr>
        <color rgb="FF1155CC"/>
        <u/>
      </rPr>
      <t>JPMorgan’s CIO Has Championed A Data Platform That Turbocharges AI</t>
    </r>
  </si>
  <si>
    <r>
      <rPr>
        <color rgb="FF1155CC"/>
        <u/>
      </rPr>
      <t>Capital One launches 'Eno' SMS chatbot for managing your credit card &amp; bank accounts - 9to5Mac</t>
    </r>
  </si>
  <si>
    <r>
      <rPr>
        <color rgb="FF1155CC"/>
        <u/>
      </rPr>
      <t>Synchrony Harnesses AI to Transform Customer Experience</t>
    </r>
  </si>
  <si>
    <t>https://media.ally.com/2025-07-23-Ally-Financial-rolls-out-proprietary-AI-platform-enterprise-wide</t>
  </si>
  <si>
    <t>https://home.barclays/insights/2025/07/scaling-AI-at-Barclays/</t>
  </si>
  <si>
    <t>https://nelnetinc.com/blog/unlocking-the-power-of-ai-at-nelnet/</t>
  </si>
  <si>
    <t>https://media.truist.com/2022-09-15-Truist-launches-Truist-Assist#:~:text=Truist%20launches%20Truist%20Assist%20%2D%20Sep%2015%2C%202022</t>
  </si>
  <si>
    <t>https://nationalmortgageprofessional.com/news/mr-cooper-bets-big-ai-expands-tech-better-cx</t>
  </si>
  <si>
    <t>https://openai.com/index/chime-vineet-mehra/</t>
  </si>
  <si>
    <t>https://thefinancialbrand.com/news/artificial-intelligence-banking/predictive-analytics-digital-banking-website-accounts-73355</t>
  </si>
  <si>
    <t>https://tsico.com/revolutionizing-patient-experience-how-tsi-is-redefining-healthcare-through-outsourcing/</t>
  </si>
  <si>
    <t>https://www.techtarget.com/searchenterpriseai/news/366623771/USAA-takes-an-experiment-and-see-approach-with-AI#:~:text=Across%20the%20board%2C%20we%20are,need%20to%20answer%20the%20questions.</t>
  </si>
  <si>
    <t>https://finainews.com/banking/citizens-sees-up-to-20-efficiency-gains-through-gen-ai/#:~:text=Citizens%20Bank%20has%20deployed%20generative,efficiency%20gains%20are%20adding%20up.</t>
  </si>
  <si>
    <t>same of Nationstar</t>
  </si>
  <si>
    <t>https://www.investor.fisglobal.com/news-releases/news-release-details/fis-brings-ai-powered-advancements-seamless-personalized-digital</t>
  </si>
  <si>
    <t>https://emerj.com/artificial-intelligence-at-fifth-third-bank/</t>
  </si>
  <si>
    <t>https://www.santander.com/en/stories/santander-data-ai-first-strategy-accelerates-through-openai-collaboration</t>
  </si>
  <si>
    <t xml:space="preserve">Fintech, Regulatory Arbitrage, and the Rise of Shadow Banks </t>
  </si>
  <si>
    <t>Greg Buchak*
 Gregor Matvos
Tomasz Piskorski
 Amit Seru</t>
  </si>
  <si>
    <t>Name</t>
  </si>
  <si>
    <t>Bank Type</t>
  </si>
  <si>
    <t>Fintech or Non-Fintech</t>
  </si>
  <si>
    <t>Amerisave Mortgage</t>
  </si>
  <si>
    <t>Shadow Bank</t>
  </si>
  <si>
    <t>Fintech</t>
  </si>
  <si>
    <t>Cashcall Inc</t>
  </si>
  <si>
    <t>Guaranteed Rate Inc</t>
  </si>
  <si>
    <t>Homebridge Financial Services</t>
  </si>
  <si>
    <t>not foundin cfpb</t>
  </si>
  <si>
    <t>Homeward Residential</t>
  </si>
  <si>
    <t>Movement Mortgage</t>
  </si>
  <si>
    <t>Quicken Loans</t>
  </si>
  <si>
    <t>this is called rocket now</t>
  </si>
  <si>
    <t>Academy Mortgage</t>
  </si>
  <si>
    <t>Non-Fintech</t>
  </si>
  <si>
    <t>AmCap Mortgage LTD</t>
  </si>
  <si>
    <t>American Neighborhood Mtg</t>
  </si>
  <si>
    <t>American Pacific Mortgage</t>
  </si>
  <si>
    <t>Amerifirst Financial Corp</t>
  </si>
  <si>
    <t>Amerihome Mortgage</t>
  </si>
  <si>
    <t>Ark-LA-TEX Fin Svcs.</t>
  </si>
  <si>
    <t>Bay Equity</t>
  </si>
  <si>
    <t>Broker Solutions</t>
  </si>
  <si>
    <t>Caliber Home Loans</t>
  </si>
  <si>
    <t>Chicago Mortgage Solutions</t>
  </si>
  <si>
    <t>CMG Mortgage</t>
  </si>
  <si>
    <t>Ditech Financial</t>
  </si>
  <si>
    <t>Fairway Independent Mortgage</t>
  </si>
  <si>
    <t>Franklin American Mortgage</t>
  </si>
  <si>
    <t>Freedom Mortgage</t>
  </si>
  <si>
    <t>Greenlight Financial</t>
  </si>
  <si>
    <t>Guild Mortgage</t>
  </si>
  <si>
    <t>Impact Mortgage</t>
  </si>
  <si>
    <t>LoanDepot.com</t>
  </si>
  <si>
    <t>Mortgage Research Center</t>
  </si>
  <si>
    <t>Nationstar Mortgage</t>
  </si>
  <si>
    <t>Newday Financial</t>
  </si>
  <si>
    <t>Pacific Union Financial</t>
  </si>
  <si>
    <t>PennyMac Loan Services</t>
  </si>
  <si>
    <t>PHH Mortgage</t>
  </si>
  <si>
    <t>Plaza Home Mortgage</t>
  </si>
  <si>
    <t>Primary Residential Mortgage Inc.</t>
  </si>
  <si>
    <t>PrimeLending</t>
  </si>
  <si>
    <t>Primelending Plainscapital</t>
  </si>
  <si>
    <t>Prospect Mortgage</t>
  </si>
  <si>
    <t>Provident Funding</t>
  </si>
  <si>
    <t>Sierra Pacific Mortgage</t>
  </si>
  <si>
    <t>Sovereign Lending Group</t>
  </si>
  <si>
    <t>Stearns Lending</t>
  </si>
  <si>
    <t>Stonegate Mortgage</t>
  </si>
  <si>
    <t>Suntrust Mortgage</t>
  </si>
  <si>
    <t>Sunwest Mortgage Company</t>
  </si>
  <si>
    <t>United Shore Financial Services</t>
  </si>
  <si>
    <t>Walker and Dunlop</t>
  </si>
  <si>
    <t>Allay Bank</t>
  </si>
  <si>
    <t>Traditional Bank</t>
  </si>
  <si>
    <t>Bank of America</t>
  </si>
  <si>
    <t>BOK Financial</t>
  </si>
  <si>
    <t>Branch Banking and Trust Company</t>
  </si>
  <si>
    <t>Capital One</t>
  </si>
  <si>
    <t>Citibank</t>
  </si>
  <si>
    <t>Citimortgage</t>
  </si>
  <si>
    <t>Colorado FSB</t>
  </si>
  <si>
    <t>Everbank</t>
  </si>
  <si>
    <t>FHLB Chicago</t>
  </si>
  <si>
    <t>Fidelity Bank</t>
  </si>
  <si>
    <t>Fifth Third Mortgage</t>
  </si>
  <si>
    <t>First Republic Bank</t>
  </si>
  <si>
    <t>Flagstar Bank FSB</t>
  </si>
  <si>
    <t>Fremont Bank</t>
  </si>
  <si>
    <t>Homestreet Bank</t>
  </si>
  <si>
    <t>HSBC Bank</t>
  </si>
  <si>
    <t>J.P. Morgan Madison Avenue Securities Trust</t>
  </si>
  <si>
    <t>JPMorgan Chase</t>
  </si>
  <si>
    <t>MB Bank</t>
  </si>
  <si>
    <t>Metlife Home Loans</t>
  </si>
  <si>
    <t>Mortgage Stanley Private Bank</t>
  </si>
  <si>
    <t>MUFG Bank</t>
  </si>
  <si>
    <t>Navy FCU</t>
  </si>
  <si>
    <t>NY Community Bank</t>
  </si>
  <si>
    <t>PNC Bank</t>
  </si>
  <si>
    <t>Redwood Credit Union</t>
  </si>
  <si>
    <t>Regions Bank</t>
  </si>
  <si>
    <t>Union Savings Bank</t>
  </si>
  <si>
    <t>US Bank</t>
  </si>
  <si>
    <t>USAA FSB</t>
  </si>
  <si>
    <t>Wells Fargo Bank</t>
  </si>
  <si>
    <t>Source:</t>
  </si>
  <si>
    <t>https://files.consumerfinance.gov/f/documents/cfpb_2023-mortgage-market-activity-and-trends_2024-12.pdf</t>
  </si>
  <si>
    <t>Table 6A</t>
  </si>
  <si>
    <t>Institution</t>
  </si>
  <si>
    <t>Institution Type</t>
  </si>
  <si>
    <t>Total Originations (thousands)</t>
  </si>
  <si>
    <t>Market Share (%)</t>
  </si>
  <si>
    <t>Total Purchases (thousands)</t>
  </si>
  <si>
    <t>Independent Mortgage Company</t>
  </si>
  <si>
    <t>United Wholesale Mortgage, LLC</t>
  </si>
  <si>
    <t>&lt;1</t>
  </si>
  <si>
    <t>Crosscountry Mortgage, LLC</t>
  </si>
  <si>
    <t>Loandepot.Com, LLC</t>
  </si>
  <si>
    <t>DHI Mortgage Company, Ltd.</t>
  </si>
  <si>
    <t>Affiliated Mortgage Company</t>
  </si>
  <si>
    <t>JPMorgan Chase Bank, National Association</t>
  </si>
  <si>
    <t>Large Bank</t>
  </si>
  <si>
    <t>Movement Mortgage, LLC</t>
  </si>
  <si>
    <t>Guaranteed Rate, Inc.</t>
  </si>
  <si>
    <t>Navy Federal Credit Union</t>
  </si>
  <si>
    <t>Credit Union</t>
  </si>
  <si>
    <t>Wells Fargo Bank, National Association</t>
  </si>
  <si>
    <t>U.S. Bank National Association</t>
  </si>
  <si>
    <t>Guild Mortgage Company LLC</t>
  </si>
  <si>
    <t>Lennar Mortgage, LLC</t>
  </si>
  <si>
    <t>PennyMac Loan Services, LLC</t>
  </si>
  <si>
    <t>CMG Mortgage, Inc.</t>
  </si>
  <si>
    <t>Newrez LLC</t>
  </si>
  <si>
    <t>New American Funding, LLC</t>
  </si>
  <si>
    <t>Discover Bank</t>
  </si>
  <si>
    <t>Nationstar Mortgage LLC</t>
  </si>
  <si>
    <t>Bank of America, National Association</t>
  </si>
  <si>
    <t>21st Mortgage Corporation</t>
  </si>
  <si>
    <t>Cardinal Financial Company, Limited Partnership</t>
  </si>
  <si>
    <t>Primelending, A Plainscapital Company</t>
  </si>
  <si>
    <t>Top 25 Institutions (Total)</t>
  </si>
  <si>
    <t>–</t>
  </si>
  <si>
    <t>All Institutions (Total)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</si>
</sst>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Helvetica Neue"/>
    </font>
    <font>
      <color rgb="FF000000"/>
      <name val="Helvetica Neue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3" xfId="0" applyFont="1" applyNumberForma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3" numFmtId="0" xfId="0" applyAlignment="1" applyFont="1">
      <alignment readingOrder="0"/>
    </xf>
    <xf borderId="7" fillId="0" fontId="1" numFmtId="0" xfId="0" applyAlignment="1" applyBorder="1" applyFont="1">
      <alignment readingOrder="0" shrinkToFit="0" wrapText="1"/>
    </xf>
    <xf borderId="7" fillId="0" fontId="1" numFmtId="3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9" fillId="2" fontId="5" numFmtId="0" xfId="0" applyAlignment="1" applyBorder="1" applyFill="1" applyFont="1">
      <alignment readingOrder="0" vertical="top"/>
    </xf>
    <xf borderId="9" fillId="3" fontId="5" numFmtId="0" xfId="0" applyAlignment="1" applyBorder="1" applyFill="1" applyFont="1">
      <alignment readingOrder="0" vertical="top"/>
    </xf>
    <xf borderId="9" fillId="0" fontId="6" numFmtId="0" xfId="0" applyAlignment="1" applyBorder="1" applyFont="1">
      <alignment readingOrder="0" vertical="top"/>
    </xf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9" fillId="4" fontId="5" numFmtId="0" xfId="0" applyAlignment="1" applyBorder="1" applyFill="1" applyFont="1">
      <alignment readingOrder="0" vertical="top"/>
    </xf>
    <xf borderId="0" fillId="5" fontId="1" numFmtId="0" xfId="0" applyAlignment="1" applyFill="1" applyFont="1">
      <alignment readingOrder="0"/>
    </xf>
    <xf borderId="9" fillId="6" fontId="5" numFmtId="0" xfId="0" applyAlignment="1" applyBorder="1" applyFill="1" applyFont="1">
      <alignment readingOrder="0" vertical="top"/>
    </xf>
    <xf borderId="9" fillId="6" fontId="6" numFmtId="0" xfId="0" applyAlignment="1" applyBorder="1" applyFont="1">
      <alignment readingOrder="0" vertical="top"/>
    </xf>
    <xf borderId="0" fillId="6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1057521920301885" TargetMode="External"/><Relationship Id="rId2" Type="http://schemas.openxmlformats.org/officeDocument/2006/relationships/hyperlink" Target="http://hgreg.com" TargetMode="External"/><Relationship Id="rId3" Type="http://schemas.openxmlformats.org/officeDocument/2006/relationships/hyperlink" Target="http://gotmortgage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openai.com/index/chime-vineet-mehra/" TargetMode="External"/><Relationship Id="rId10" Type="http://schemas.openxmlformats.org/officeDocument/2006/relationships/hyperlink" Target="https://nationalmortgageprofessional.com/news/mr-cooper-bets-big-ai-expands-tech-better-cx" TargetMode="External"/><Relationship Id="rId13" Type="http://schemas.openxmlformats.org/officeDocument/2006/relationships/hyperlink" Target="https://tsico.com/revolutionizing-patient-experience-how-tsi-is-redefining-healthcare-through-outsourcing/" TargetMode="External"/><Relationship Id="rId12" Type="http://schemas.openxmlformats.org/officeDocument/2006/relationships/hyperlink" Target="https://thefinancialbrand.com/news/artificial-intelligence-banking/predictive-analytics-digital-banking-website-accounts-73355" TargetMode="External"/><Relationship Id="rId1" Type="http://schemas.openxmlformats.org/officeDocument/2006/relationships/hyperlink" Target="https://newsroom.bankofamerica.com/content/newsroom/press-releases/2023/07/bofa-s-erica-surpasses-1-5-billion-client-interactions--totaling.html" TargetMode="External"/><Relationship Id="rId2" Type="http://schemas.openxmlformats.org/officeDocument/2006/relationships/hyperlink" Target="https://venturebeat.com/ai/wells-fargos-google-llm-driven-assistant-may-reach-100-million-interactions-per-year" TargetMode="External"/><Relationship Id="rId3" Type="http://schemas.openxmlformats.org/officeDocument/2006/relationships/hyperlink" Target="https://www.forbes.com/sites/martingiles/2019/12/12/jpmorgan-chase-ai-banking-model/" TargetMode="External"/><Relationship Id="rId4" Type="http://schemas.openxmlformats.org/officeDocument/2006/relationships/hyperlink" Target="https://9to5mac.com/2017/03/10/capital-one-eno-sms-chatbot-credit-card-bank/?utm_source=chatgpt.com" TargetMode="External"/><Relationship Id="rId9" Type="http://schemas.openxmlformats.org/officeDocument/2006/relationships/hyperlink" Target="https://media.truist.com/2022-09-15-Truist-launches-Truist-Assist" TargetMode="External"/><Relationship Id="rId15" Type="http://schemas.openxmlformats.org/officeDocument/2006/relationships/hyperlink" Target="https://finainews.com/banking/citizens-sees-up-to-20-efficiency-gains-through-gen-ai/" TargetMode="External"/><Relationship Id="rId14" Type="http://schemas.openxmlformats.org/officeDocument/2006/relationships/hyperlink" Target="https://www.techtarget.com/searchenterpriseai/news/366623771/USAA-takes-an-experiment-and-see-approach-with-AI" TargetMode="External"/><Relationship Id="rId17" Type="http://schemas.openxmlformats.org/officeDocument/2006/relationships/hyperlink" Target="https://www.investor.fisglobal.com/news-releases/news-release-details/fis-brings-ai-powered-advancements-seamless-personalized-digital" TargetMode="External"/><Relationship Id="rId16" Type="http://schemas.openxmlformats.org/officeDocument/2006/relationships/hyperlink" Target="https://nationalmortgageprofessional.com/news/mr-cooper-bets-big-ai-expands-tech-better-cx" TargetMode="External"/><Relationship Id="rId5" Type="http://schemas.openxmlformats.org/officeDocument/2006/relationships/hyperlink" Target="https://www.synchrony.com/contenthub/newsroom/synchrony-harnesses-ai-to-transform-customer-experience.html" TargetMode="External"/><Relationship Id="rId19" Type="http://schemas.openxmlformats.org/officeDocument/2006/relationships/hyperlink" Target="https://www.santander.com/en/stories/santander-data-ai-first-strategy-accelerates-through-openai-collaboration" TargetMode="External"/><Relationship Id="rId6" Type="http://schemas.openxmlformats.org/officeDocument/2006/relationships/hyperlink" Target="https://media.ally.com/2025-07-23-Ally-Financial-rolls-out-proprietary-AI-platform-enterprise-wide" TargetMode="External"/><Relationship Id="rId18" Type="http://schemas.openxmlformats.org/officeDocument/2006/relationships/hyperlink" Target="https://emerj.com/artificial-intelligence-at-fifth-third-bank/" TargetMode="External"/><Relationship Id="rId7" Type="http://schemas.openxmlformats.org/officeDocument/2006/relationships/hyperlink" Target="https://home.barclays/insights/2025/07/scaling-AI-at-Barclays/" TargetMode="External"/><Relationship Id="rId8" Type="http://schemas.openxmlformats.org/officeDocument/2006/relationships/hyperlink" Target="https://nelnetinc.com/blog/unlocking-the-power-of-ai-at-nelnet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andepot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les.consumerfinance.gov/f/documents/cfpb_2023-mortgage-market-activity-and-trends_2024-12.pdf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88"/>
    <col customWidth="1" min="2" max="2" width="8.38"/>
    <col customWidth="1" min="5" max="5" width="31.75"/>
    <col customWidth="1" min="8" max="8" width="37.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1" t="s">
        <v>4</v>
      </c>
      <c r="B2" s="2">
        <v>3003019.0</v>
      </c>
      <c r="C2" s="3" t="s">
        <v>5</v>
      </c>
      <c r="E2" s="4" t="str">
        <f t="array" ref="E2">XLOOKUP(proper(A2),'Fintech, Regulatory Arbitrage, '!A:A,'Fintech, Regulatory Arbitrage, '!C:C,"")</f>
        <v/>
      </c>
    </row>
    <row r="3">
      <c r="A3" s="1" t="s">
        <v>6</v>
      </c>
      <c r="B3" s="2">
        <v>2936850.0</v>
      </c>
      <c r="C3" s="3" t="s">
        <v>5</v>
      </c>
      <c r="E3" s="3" t="s">
        <v>7</v>
      </c>
      <c r="F3" s="4">
        <f>COUNTIF(C2:C5000, "fintech")</f>
        <v>26</v>
      </c>
      <c r="H3" s="5" t="s">
        <v>8</v>
      </c>
    </row>
    <row r="4">
      <c r="A4" s="1" t="s">
        <v>9</v>
      </c>
      <c r="B4" s="2">
        <v>2701076.0</v>
      </c>
      <c r="C4" s="3" t="s">
        <v>5</v>
      </c>
      <c r="E4" s="3" t="s">
        <v>10</v>
      </c>
      <c r="F4" s="4">
        <f>COUNTA(C5:C104)</f>
        <v>97</v>
      </c>
      <c r="H4" s="6" t="str">
        <f>IFERROR(__xludf.DUMMYFUNCTION("QUERY(A1:C5000, ""select * where C='fintech'"")"),"Company")</f>
        <v>Company</v>
      </c>
      <c r="I4" s="7" t="str">
        <f>IFERROR(__xludf.DUMMYFUNCTION("""COMPUTED_VALUE"""),"count")</f>
        <v>count</v>
      </c>
      <c r="J4" s="8" t="str">
        <f>IFERROR(__xludf.DUMMYFUNCTION("""COMPUTED_VALUE"""),"Fintech?")</f>
        <v>Fintech?</v>
      </c>
    </row>
    <row r="5">
      <c r="A5" s="1" t="s">
        <v>11</v>
      </c>
      <c r="B5" s="2">
        <v>164949.0</v>
      </c>
      <c r="C5" s="3" t="s">
        <v>12</v>
      </c>
      <c r="E5" s="3" t="s">
        <v>13</v>
      </c>
      <c r="F5" s="4">
        <f>COUNTIF(C2:C104, "fintech")</f>
        <v>15</v>
      </c>
      <c r="H5" s="9" t="str">
        <f>IFERROR(__xludf.DUMMYFUNCTION("""COMPUTED_VALUE"""),"Block, Inc.")</f>
        <v>Block, Inc.</v>
      </c>
      <c r="I5" s="10">
        <f>IFERROR(__xludf.DUMMYFUNCTION("""COMPUTED_VALUE"""),56911.0)</f>
        <v>56911</v>
      </c>
      <c r="J5" s="11" t="str">
        <f>IFERROR(__xludf.DUMMYFUNCTION("""COMPUTED_VALUE"""),"fintech")</f>
        <v>fintech</v>
      </c>
    </row>
    <row r="6">
      <c r="A6" s="1" t="s">
        <v>14</v>
      </c>
      <c r="B6" s="2">
        <v>154139.0</v>
      </c>
      <c r="C6" s="3" t="s">
        <v>12</v>
      </c>
      <c r="E6" s="4" t="str">
        <f t="array" ref="E6">XLOOKUP(proper(A6),'Fintech, Regulatory Arbitrage, '!A:A,'Fintech, Regulatory Arbitrage, '!C:C,"")</f>
        <v/>
      </c>
      <c r="H6" s="9" t="str">
        <f>IFERROR(__xludf.DUMMYFUNCTION("""COMPUTED_VALUE"""),"AMERICAN EXPRESS COMPANY")</f>
        <v>AMERICAN EXPRESS COMPANY</v>
      </c>
      <c r="I6" s="10">
        <f>IFERROR(__xludf.DUMMYFUNCTION("""COMPUTED_VALUE"""),49306.0)</f>
        <v>49306</v>
      </c>
      <c r="J6" s="11" t="str">
        <f>IFERROR(__xludf.DUMMYFUNCTION("""COMPUTED_VALUE"""),"fintech")</f>
        <v>fintech</v>
      </c>
    </row>
    <row r="7">
      <c r="A7" s="1" t="s">
        <v>15</v>
      </c>
      <c r="B7" s="2">
        <v>151781.0</v>
      </c>
      <c r="C7" s="3" t="s">
        <v>12</v>
      </c>
      <c r="E7" s="4" t="str">
        <f t="array" ref="E7">XLOOKUP(proper(A7),'Fintech, Regulatory Arbitrage, '!A:A,'Fintech, Regulatory Arbitrage, '!C:C,"")</f>
        <v/>
      </c>
      <c r="H7" s="9" t="str">
        <f>IFERROR(__xludf.DUMMYFUNCTION("""COMPUTED_VALUE"""),"LEXISNEXIS")</f>
        <v>LEXISNEXIS</v>
      </c>
      <c r="I7" s="10">
        <f>IFERROR(__xludf.DUMMYFUNCTION("""COMPUTED_VALUE"""),36136.0)</f>
        <v>36136</v>
      </c>
      <c r="J7" s="11" t="str">
        <f>IFERROR(__xludf.DUMMYFUNCTION("""COMPUTED_VALUE"""),"fintech")</f>
        <v>fintech</v>
      </c>
    </row>
    <row r="8">
      <c r="A8" s="1" t="s">
        <v>16</v>
      </c>
      <c r="B8" s="2">
        <v>141412.0</v>
      </c>
      <c r="C8" s="3" t="s">
        <v>12</v>
      </c>
      <c r="E8" s="4" t="str">
        <f t="array" ref="E8">XLOOKUP(proper(A8),'Fintech, Regulatory Arbitrage, '!A:A,'Fintech, Regulatory Arbitrage, '!C:C,"")</f>
        <v/>
      </c>
      <c r="H8" s="9" t="str">
        <f>IFERROR(__xludf.DUMMYFUNCTION("""COMPUTED_VALUE"""),"Early Warning Services, LLC")</f>
        <v>Early Warning Services, LLC</v>
      </c>
      <c r="I8" s="10">
        <f>IFERROR(__xludf.DUMMYFUNCTION("""COMPUTED_VALUE"""),31405.0)</f>
        <v>31405</v>
      </c>
      <c r="J8" s="11" t="str">
        <f>IFERROR(__xludf.DUMMYFUNCTION("""COMPUTED_VALUE"""),"fintech")</f>
        <v>fintech</v>
      </c>
    </row>
    <row r="9">
      <c r="A9" s="3" t="s">
        <v>17</v>
      </c>
      <c r="B9" s="2">
        <v>120034.0</v>
      </c>
      <c r="C9" s="3" t="s">
        <v>12</v>
      </c>
      <c r="E9" s="4" t="str">
        <f t="array" ref="E9">XLOOKUP(proper(A9),'Fintech, Regulatory Arbitrage, '!A:A,'Fintech, Regulatory Arbitrage, '!C:C,"")</f>
        <v/>
      </c>
      <c r="H9" s="9" t="str">
        <f>IFERROR(__xludf.DUMMYFUNCTION("""COMPUTED_VALUE"""),"Paypal Holdings, Inc")</f>
        <v>Paypal Holdings, Inc</v>
      </c>
      <c r="I9" s="10">
        <f>IFERROR(__xludf.DUMMYFUNCTION("""COMPUTED_VALUE"""),31269.0)</f>
        <v>31269</v>
      </c>
      <c r="J9" s="11" t="str">
        <f>IFERROR(__xludf.DUMMYFUNCTION("""COMPUTED_VALUE"""),"fintech")</f>
        <v>fintech</v>
      </c>
    </row>
    <row r="10">
      <c r="A10" s="1" t="s">
        <v>18</v>
      </c>
      <c r="B10" s="2">
        <v>68742.0</v>
      </c>
      <c r="C10" s="3" t="s">
        <v>12</v>
      </c>
      <c r="E10" s="4" t="str">
        <f t="array" ref="E10">XLOOKUP(proper(A10),'Fintech, Regulatory Arbitrage, '!A:A,'Fintech, Regulatory Arbitrage, '!C:C,"")</f>
        <v/>
      </c>
      <c r="H10" s="9" t="str">
        <f>IFERROR(__xludf.DUMMYFUNCTION("""COMPUTED_VALUE"""),"ALLY FINANCIAL INC.")</f>
        <v>ALLY FINANCIAL INC.</v>
      </c>
      <c r="I10" s="10">
        <f>IFERROR(__xludf.DUMMYFUNCTION("""COMPUTED_VALUE"""),24981.0)</f>
        <v>24981</v>
      </c>
      <c r="J10" s="11" t="str">
        <f>IFERROR(__xludf.DUMMYFUNCTION("""COMPUTED_VALUE"""),"fintech")</f>
        <v>fintech</v>
      </c>
    </row>
    <row r="11">
      <c r="A11" s="1" t="s">
        <v>19</v>
      </c>
      <c r="B11" s="2">
        <v>56911.0</v>
      </c>
      <c r="C11" s="3" t="s">
        <v>20</v>
      </c>
      <c r="E11" s="4" t="str">
        <f t="array" ref="E11">XLOOKUP(proper(A11),'Fintech, Regulatory Arbitrage, '!A:A,'Fintech, Regulatory Arbitrage, '!C:C,"")</f>
        <v/>
      </c>
      <c r="H11" s="9" t="str">
        <f>IFERROR(__xludf.DUMMYFUNCTION("""COMPUTED_VALUE"""),"Chime Financial Inc")</f>
        <v>Chime Financial Inc</v>
      </c>
      <c r="I11" s="10">
        <f>IFERROR(__xludf.DUMMYFUNCTION("""COMPUTED_VALUE"""),17252.0)</f>
        <v>17252</v>
      </c>
      <c r="J11" s="11" t="str">
        <f>IFERROR(__xludf.DUMMYFUNCTION("""COMPUTED_VALUE"""),"fintech")</f>
        <v>fintech</v>
      </c>
    </row>
    <row r="12">
      <c r="A12" s="1" t="s">
        <v>21</v>
      </c>
      <c r="B12" s="2">
        <v>49533.0</v>
      </c>
      <c r="C12" s="3" t="s">
        <v>12</v>
      </c>
      <c r="D12" s="3" t="s">
        <v>22</v>
      </c>
      <c r="E12" s="4" t="str">
        <f t="array" ref="E12">XLOOKUP(proper(A12),'Fintech, Regulatory Arbitrage, '!A:A,'Fintech, Regulatory Arbitrage, '!C:C,"")</f>
        <v/>
      </c>
      <c r="H12" s="9" t="str">
        <f>IFERROR(__xludf.DUMMYFUNCTION("""COMPUTED_VALUE"""),"TRANSWORLD SYSTEMS INC")</f>
        <v>TRANSWORLD SYSTEMS INC</v>
      </c>
      <c r="I12" s="10">
        <f>IFERROR(__xludf.DUMMYFUNCTION("""COMPUTED_VALUE"""),17126.0)</f>
        <v>17126</v>
      </c>
      <c r="J12" s="11" t="str">
        <f>IFERROR(__xludf.DUMMYFUNCTION("""COMPUTED_VALUE"""),"fintech")</f>
        <v>fintech</v>
      </c>
    </row>
    <row r="13">
      <c r="A13" s="1" t="s">
        <v>23</v>
      </c>
      <c r="B13" s="2">
        <v>49306.0</v>
      </c>
      <c r="C13" s="3" t="s">
        <v>20</v>
      </c>
      <c r="D13" s="3" t="s">
        <v>24</v>
      </c>
      <c r="E13" s="4" t="str">
        <f t="array" ref="E13">XLOOKUP(proper(A13),'Fintech, Regulatory Arbitrage, '!A:A,'Fintech, Regulatory Arbitrage, '!C:C,"")</f>
        <v/>
      </c>
      <c r="H13" s="9" t="str">
        <f>IFERROR(__xludf.DUMMYFUNCTION("""COMPUTED_VALUE"""),"Fidelity National Information Services, Inc. (FNIS)")</f>
        <v>Fidelity National Information Services, Inc. (FNIS)</v>
      </c>
      <c r="I13" s="10">
        <f>IFERROR(__xludf.DUMMYFUNCTION("""COMPUTED_VALUE"""),13637.0)</f>
        <v>13637</v>
      </c>
      <c r="J13" s="11" t="str">
        <f>IFERROR(__xludf.DUMMYFUNCTION("""COMPUTED_VALUE"""),"fintech")</f>
        <v>fintech</v>
      </c>
    </row>
    <row r="14">
      <c r="A14" s="1" t="s">
        <v>25</v>
      </c>
      <c r="B14" s="2">
        <v>45981.0</v>
      </c>
      <c r="C14" s="3" t="s">
        <v>12</v>
      </c>
      <c r="D14" s="3" t="s">
        <v>22</v>
      </c>
      <c r="E14" s="4" t="str">
        <f t="array" ref="E14">XLOOKUP(proper(A14),'Fintech, Regulatory Arbitrage, '!A:A,'Fintech, Regulatory Arbitrage, '!C:C,"")</f>
        <v/>
      </c>
      <c r="H14" s="9" t="str">
        <f>IFERROR(__xludf.DUMMYFUNCTION("""COMPUTED_VALUE"""),"Affirm Holdings, Inc")</f>
        <v>Affirm Holdings, Inc</v>
      </c>
      <c r="I14" s="10">
        <f>IFERROR(__xludf.DUMMYFUNCTION("""COMPUTED_VALUE"""),9870.0)</f>
        <v>9870</v>
      </c>
      <c r="J14" s="11" t="str">
        <f>IFERROR(__xludf.DUMMYFUNCTION("""COMPUTED_VALUE"""),"fintech")</f>
        <v>fintech</v>
      </c>
    </row>
    <row r="15">
      <c r="A15" s="1" t="s">
        <v>26</v>
      </c>
      <c r="B15" s="2">
        <v>45898.0</v>
      </c>
      <c r="C15" s="3" t="s">
        <v>12</v>
      </c>
      <c r="D15" s="3" t="s">
        <v>27</v>
      </c>
      <c r="E15" s="4" t="str">
        <f t="array" ref="E15">XLOOKUP(proper(A15),'Fintech, Regulatory Arbitrage, '!A:A,'Fintech, Regulatory Arbitrage, '!C:C,"")</f>
        <v/>
      </c>
      <c r="H15" s="9" t="str">
        <f>IFERROR(__xludf.DUMMYFUNCTION("""COMPUTED_VALUE"""),"Coinbase, Inc.")</f>
        <v>Coinbase, Inc.</v>
      </c>
      <c r="I15" s="10">
        <f>IFERROR(__xludf.DUMMYFUNCTION("""COMPUTED_VALUE"""),8721.0)</f>
        <v>8721</v>
      </c>
      <c r="J15" s="11" t="str">
        <f>IFERROR(__xludf.DUMMYFUNCTION("""COMPUTED_VALUE"""),"fintech")</f>
        <v>fintech</v>
      </c>
    </row>
    <row r="16">
      <c r="A16" s="1" t="s">
        <v>28</v>
      </c>
      <c r="B16" s="2">
        <v>43636.0</v>
      </c>
      <c r="C16" s="3" t="s">
        <v>12</v>
      </c>
      <c r="E16" s="4" t="str">
        <f t="array" ref="E16">XLOOKUP(proper(A16),'Fintech, Regulatory Arbitrage, '!A:A,'Fintech, Regulatory Arbitrage, '!C:C,"")</f>
        <v/>
      </c>
      <c r="H16" s="9" t="str">
        <f>IFERROR(__xludf.DUMMYFUNCTION("""COMPUTED_VALUE"""),"Self Financial Inc.")</f>
        <v>Self Financial Inc.</v>
      </c>
      <c r="I16" s="10">
        <f>IFERROR(__xludf.DUMMYFUNCTION("""COMPUTED_VALUE"""),7986.0)</f>
        <v>7986</v>
      </c>
      <c r="J16" s="11" t="str">
        <f>IFERROR(__xludf.DUMMYFUNCTION("""COMPUTED_VALUE"""),"fintech")</f>
        <v>fintech</v>
      </c>
    </row>
    <row r="17">
      <c r="A17" s="1" t="s">
        <v>29</v>
      </c>
      <c r="B17" s="2">
        <v>43163.0</v>
      </c>
      <c r="C17" s="3" t="s">
        <v>12</v>
      </c>
      <c r="D17" s="3" t="s">
        <v>30</v>
      </c>
      <c r="E17" s="4" t="str">
        <f t="array" ref="E17">XLOOKUP(proper(A17),'Fintech, Regulatory Arbitrage, '!A:A,'Fintech, Regulatory Arbitrage, '!C:C,"")</f>
        <v/>
      </c>
      <c r="H17" s="9" t="str">
        <f>IFERROR(__xludf.DUMMYFUNCTION("""COMPUTED_VALUE"""),"CORELOGIC INC")</f>
        <v>CORELOGIC INC</v>
      </c>
      <c r="I17" s="10">
        <f>IFERROR(__xludf.DUMMYFUNCTION("""COMPUTED_VALUE"""),7573.0)</f>
        <v>7573</v>
      </c>
      <c r="J17" s="11" t="str">
        <f>IFERROR(__xludf.DUMMYFUNCTION("""COMPUTED_VALUE"""),"fintech")</f>
        <v>fintech</v>
      </c>
    </row>
    <row r="18">
      <c r="A18" s="1" t="s">
        <v>31</v>
      </c>
      <c r="B18" s="2">
        <v>41287.0</v>
      </c>
      <c r="C18" s="3" t="s">
        <v>12</v>
      </c>
      <c r="E18" s="4" t="str">
        <f t="array" ref="E18">XLOOKUP(proper(A18),'Fintech, Regulatory Arbitrage, '!A:A,'Fintech, Regulatory Arbitrage, '!C:C,"")</f>
        <v/>
      </c>
      <c r="H18" s="9" t="str">
        <f>IFERROR(__xludf.DUMMYFUNCTION("""COMPUTED_VALUE"""),"Rocket Mortgage, LLC")</f>
        <v>Rocket Mortgage, LLC</v>
      </c>
      <c r="I18" s="10">
        <f>IFERROR(__xludf.DUMMYFUNCTION("""COMPUTED_VALUE"""),5698.0)</f>
        <v>5698</v>
      </c>
      <c r="J18" s="11" t="str">
        <f>IFERROR(__xludf.DUMMYFUNCTION("""COMPUTED_VALUE"""),"fintech")</f>
        <v>fintech</v>
      </c>
    </row>
    <row r="19">
      <c r="A19" s="1" t="s">
        <v>32</v>
      </c>
      <c r="B19" s="2">
        <v>39929.0</v>
      </c>
      <c r="C19" s="3" t="s">
        <v>12</v>
      </c>
      <c r="E19" s="4" t="str">
        <f t="array" ref="E19">XLOOKUP(proper(A19),'Fintech, Regulatory Arbitrage, '!A:A,'Fintech, Regulatory Arbitrage, '!C:C,"")</f>
        <v/>
      </c>
      <c r="H19" s="9" t="str">
        <f>IFERROR(__xludf.DUMMYFUNCTION("""COMPUTED_VALUE"""),"Netspend Corporation")</f>
        <v>Netspend Corporation</v>
      </c>
      <c r="I19" s="10">
        <f>IFERROR(__xludf.DUMMYFUNCTION("""COMPUTED_VALUE"""),5112.0)</f>
        <v>5112</v>
      </c>
      <c r="J19" s="11" t="str">
        <f>IFERROR(__xludf.DUMMYFUNCTION("""COMPUTED_VALUE"""),"fintech")</f>
        <v>fintech</v>
      </c>
    </row>
    <row r="20">
      <c r="A20" s="1" t="s">
        <v>33</v>
      </c>
      <c r="B20" s="2">
        <v>38874.0</v>
      </c>
      <c r="C20" s="3" t="s">
        <v>12</v>
      </c>
      <c r="D20" s="3" t="s">
        <v>34</v>
      </c>
      <c r="E20" s="4" t="str">
        <f t="array" ref="E20">XLOOKUP(proper(A20),'Fintech, Regulatory Arbitrage, '!A:A,'Fintech, Regulatory Arbitrage, '!C:C,"")</f>
        <v/>
      </c>
      <c r="H20" s="9" t="str">
        <f>IFERROR(__xludf.DUMMYFUNCTION("""COMPUTED_VALUE"""),"Credit Karma, LLC")</f>
        <v>Credit Karma, LLC</v>
      </c>
      <c r="I20" s="10">
        <f>IFERROR(__xludf.DUMMYFUNCTION("""COMPUTED_VALUE"""),4238.0)</f>
        <v>4238</v>
      </c>
      <c r="J20" s="11" t="str">
        <f>IFERROR(__xludf.DUMMYFUNCTION("""COMPUTED_VALUE"""),"fintech")</f>
        <v>fintech</v>
      </c>
    </row>
    <row r="21">
      <c r="A21" s="1" t="s">
        <v>35</v>
      </c>
      <c r="B21" s="2">
        <v>36489.0</v>
      </c>
      <c r="C21" s="3" t="s">
        <v>12</v>
      </c>
      <c r="D21" s="3" t="s">
        <v>36</v>
      </c>
      <c r="E21" s="4" t="str">
        <f t="array" ref="E21">XLOOKUP(proper(A21),'Fintech, Regulatory Arbitrage, '!A:A,'Fintech, Regulatory Arbitrage, '!C:C,"")</f>
        <v/>
      </c>
      <c r="H21" s="9" t="str">
        <f>IFERROR(__xludf.DUMMYFUNCTION("""COMPUTED_VALUE"""),"SOFI TECHNOLOGIES, INC.")</f>
        <v>SOFI TECHNOLOGIES, INC.</v>
      </c>
      <c r="I21" s="10">
        <f>IFERROR(__xludf.DUMMYFUNCTION("""COMPUTED_VALUE"""),3922.0)</f>
        <v>3922</v>
      </c>
      <c r="J21" s="11" t="str">
        <f>IFERROR(__xludf.DUMMYFUNCTION("""COMPUTED_VALUE"""),"fintech")</f>
        <v>fintech</v>
      </c>
    </row>
    <row r="22">
      <c r="A22" s="1" t="s">
        <v>37</v>
      </c>
      <c r="B22" s="2">
        <v>36177.0</v>
      </c>
      <c r="C22" s="3" t="s">
        <v>12</v>
      </c>
      <c r="E22" s="4" t="str">
        <f t="array" ref="E22">XLOOKUP(proper(A22),'Fintech, Regulatory Arbitrage, '!A:A,'Fintech, Regulatory Arbitrage, '!C:C,"")</f>
        <v/>
      </c>
      <c r="H22" s="9" t="str">
        <f>IFERROR(__xludf.DUMMYFUNCTION("""COMPUTED_VALUE"""),"FISERV INC.")</f>
        <v>FISERV INC.</v>
      </c>
      <c r="I22" s="10">
        <f>IFERROR(__xludf.DUMMYFUNCTION("""COMPUTED_VALUE"""),2771.0)</f>
        <v>2771</v>
      </c>
      <c r="J22" s="11" t="str">
        <f>IFERROR(__xludf.DUMMYFUNCTION("""COMPUTED_VALUE"""),"fintech")</f>
        <v>fintech</v>
      </c>
    </row>
    <row r="23">
      <c r="A23" s="1" t="s">
        <v>38</v>
      </c>
      <c r="B23" s="2">
        <v>36136.0</v>
      </c>
      <c r="C23" s="3" t="s">
        <v>20</v>
      </c>
      <c r="D23" s="3" t="s">
        <v>39</v>
      </c>
      <c r="E23" s="4" t="str">
        <f t="array" ref="E23">XLOOKUP(proper(A23),'Fintech, Regulatory Arbitrage, '!A:A,'Fintech, Regulatory Arbitrage, '!C:C,"")</f>
        <v/>
      </c>
      <c r="H23" s="9" t="str">
        <f>IFERROR(__xludf.DUMMYFUNCTION("""COMPUTED_VALUE"""),"AMERISAVE MORTGAGE CORPORATION")</f>
        <v>AMERISAVE MORTGAGE CORPORATION</v>
      </c>
      <c r="I23" s="10">
        <f>IFERROR(__xludf.DUMMYFUNCTION("""COMPUTED_VALUE"""),1619.0)</f>
        <v>1619</v>
      </c>
      <c r="J23" s="11" t="str">
        <f>IFERROR(__xludf.DUMMYFUNCTION("""COMPUTED_VALUE"""),"fintech")</f>
        <v>fintech</v>
      </c>
    </row>
    <row r="24">
      <c r="A24" s="1" t="s">
        <v>40</v>
      </c>
      <c r="B24" s="2">
        <v>31766.0</v>
      </c>
      <c r="C24" s="3" t="s">
        <v>12</v>
      </c>
      <c r="E24" s="4" t="str">
        <f t="array" ref="E24">XLOOKUP(proper(A24),'Fintech, Regulatory Arbitrage, '!A:A,'Fintech, Regulatory Arbitrage, '!C:C,"")</f>
        <v/>
      </c>
      <c r="H24" s="9" t="str">
        <f>IFERROR(__xludf.DUMMYFUNCTION("""COMPUTED_VALUE"""),"CASHCALL, INC.")</f>
        <v>CASHCALL, INC.</v>
      </c>
      <c r="I24" s="10">
        <f>IFERROR(__xludf.DUMMYFUNCTION("""COMPUTED_VALUE"""),1236.0)</f>
        <v>1236</v>
      </c>
      <c r="J24" s="11" t="str">
        <f>IFERROR(__xludf.DUMMYFUNCTION("""COMPUTED_VALUE"""),"fintech")</f>
        <v>fintech</v>
      </c>
    </row>
    <row r="25">
      <c r="A25" s="1" t="s">
        <v>41</v>
      </c>
      <c r="B25" s="2">
        <v>31405.0</v>
      </c>
      <c r="C25" s="3" t="s">
        <v>20</v>
      </c>
      <c r="D25" s="3" t="s">
        <v>39</v>
      </c>
      <c r="E25" s="4" t="str">
        <f t="array" ref="E25">XLOOKUP(proper(A25),'Fintech, Regulatory Arbitrage, '!A:A,'Fintech, Regulatory Arbitrage, '!C:C,"")</f>
        <v/>
      </c>
      <c r="H25" s="9" t="str">
        <f>IFERROR(__xludf.DUMMYFUNCTION("""COMPUTED_VALUE"""),"GUARANTEED RATE INC.")</f>
        <v>GUARANTEED RATE INC.</v>
      </c>
      <c r="I25" s="10">
        <f>IFERROR(__xludf.DUMMYFUNCTION("""COMPUTED_VALUE"""),718.0)</f>
        <v>718</v>
      </c>
      <c r="J25" s="11" t="str">
        <f>IFERROR(__xludf.DUMMYFUNCTION("""COMPUTED_VALUE"""),"fintech")</f>
        <v>fintech</v>
      </c>
    </row>
    <row r="26">
      <c r="A26" s="1" t="s">
        <v>42</v>
      </c>
      <c r="B26" s="2">
        <v>31269.0</v>
      </c>
      <c r="C26" s="3" t="s">
        <v>20</v>
      </c>
      <c r="D26" s="3" t="s">
        <v>39</v>
      </c>
      <c r="E26" s="4" t="str">
        <f t="array" ref="E26">XLOOKUP(proper(A26),'Fintech, Regulatory Arbitrage, '!A:A,'Fintech, Regulatory Arbitrage, '!C:C,"")</f>
        <v/>
      </c>
      <c r="H26" s="9" t="str">
        <f>IFERROR(__xludf.DUMMYFUNCTION("""COMPUTED_VALUE"""),"Movement Mortgage LLC")</f>
        <v>Movement Mortgage LLC</v>
      </c>
      <c r="I26" s="10">
        <f>IFERROR(__xludf.DUMMYFUNCTION("""COMPUTED_VALUE"""),458.0)</f>
        <v>458</v>
      </c>
      <c r="J26" s="11" t="str">
        <f>IFERROR(__xludf.DUMMYFUNCTION("""COMPUTED_VALUE"""),"fintech")</f>
        <v>fintech</v>
      </c>
    </row>
    <row r="27">
      <c r="A27" s="1" t="s">
        <v>43</v>
      </c>
      <c r="B27" s="2">
        <v>28998.0</v>
      </c>
      <c r="C27" s="3" t="s">
        <v>12</v>
      </c>
      <c r="E27" s="4" t="str">
        <f t="array" ref="E27">XLOOKUP(proper(A27),'Fintech, Regulatory Arbitrage, '!A:A,'Fintech, Regulatory Arbitrage, '!C:C,"")</f>
        <v/>
      </c>
      <c r="H27" s="9" t="str">
        <f>IFERROR(__xludf.DUMMYFUNCTION("""COMPUTED_VALUE"""),"Verisk Analytics Inc")</f>
        <v>Verisk Analytics Inc</v>
      </c>
      <c r="I27" s="10">
        <f>IFERROR(__xludf.DUMMYFUNCTION("""COMPUTED_VALUE"""),384.0)</f>
        <v>384</v>
      </c>
      <c r="J27" s="11" t="str">
        <f>IFERROR(__xludf.DUMMYFUNCTION("""COMPUTED_VALUE"""),"fintech")</f>
        <v>fintech</v>
      </c>
    </row>
    <row r="28">
      <c r="A28" s="1" t="s">
        <v>44</v>
      </c>
      <c r="B28" s="2">
        <v>27432.0</v>
      </c>
      <c r="C28" s="3" t="s">
        <v>12</v>
      </c>
      <c r="E28" s="4" t="str">
        <f t="array" ref="E28">XLOOKUP(proper(A28),'Fintech, Regulatory Arbitrage, '!A:A,'Fintech, Regulatory Arbitrage, '!C:C,"")</f>
        <v/>
      </c>
      <c r="H28" s="9" t="str">
        <f>IFERROR(__xludf.DUMMYFUNCTION("""COMPUTED_VALUE"""),"Global Payments Check Services, Inc.")</f>
        <v>Global Payments Check Services, Inc.</v>
      </c>
      <c r="I28" s="10">
        <f>IFERROR(__xludf.DUMMYFUNCTION("""COMPUTED_VALUE"""),81.0)</f>
        <v>81</v>
      </c>
      <c r="J28" s="11" t="str">
        <f>IFERROR(__xludf.DUMMYFUNCTION("""COMPUTED_VALUE"""),"fintech")</f>
        <v>fintech</v>
      </c>
    </row>
    <row r="29">
      <c r="A29" s="1" t="s">
        <v>45</v>
      </c>
      <c r="B29" s="2">
        <v>24981.0</v>
      </c>
      <c r="C29" s="3" t="s">
        <v>20</v>
      </c>
      <c r="E29" s="4" t="str">
        <f t="array" ref="E29">XLOOKUP(proper(A29),'Fintech, Regulatory Arbitrage, '!A:A,'Fintech, Regulatory Arbitrage, '!C:C,"")</f>
        <v/>
      </c>
      <c r="H29" s="9" t="str">
        <f>IFERROR(__xludf.DUMMYFUNCTION("""COMPUTED_VALUE"""),"ACI Worldwide, Corp.")</f>
        <v>ACI Worldwide, Corp.</v>
      </c>
      <c r="I29" s="10">
        <f>IFERROR(__xludf.DUMMYFUNCTION("""COMPUTED_VALUE"""),43.0)</f>
        <v>43</v>
      </c>
      <c r="J29" s="11" t="str">
        <f>IFERROR(__xludf.DUMMYFUNCTION("""COMPUTED_VALUE"""),"fintech")</f>
        <v>fintech</v>
      </c>
    </row>
    <row r="30">
      <c r="A30" s="1" t="s">
        <v>46</v>
      </c>
      <c r="B30" s="2">
        <v>23678.0</v>
      </c>
      <c r="C30" s="3" t="s">
        <v>12</v>
      </c>
      <c r="E30" s="4" t="str">
        <f t="array" ref="E30">XLOOKUP(proper(A30),'Fintech, Regulatory Arbitrage, '!A:A,'Fintech, Regulatory Arbitrage, '!C:C,"")</f>
        <v/>
      </c>
      <c r="H30" s="9" t="str">
        <f>IFERROR(__xludf.DUMMYFUNCTION("""COMPUTED_VALUE"""),"Homeward, Inc.")</f>
        <v>Homeward, Inc.</v>
      </c>
      <c r="I30" s="10">
        <f>IFERROR(__xludf.DUMMYFUNCTION("""COMPUTED_VALUE"""),4.0)</f>
        <v>4</v>
      </c>
      <c r="J30" s="11" t="str">
        <f>IFERROR(__xludf.DUMMYFUNCTION("""COMPUTED_VALUE"""),"fintech")</f>
        <v>fintech</v>
      </c>
    </row>
    <row r="31">
      <c r="A31" s="1" t="s">
        <v>47</v>
      </c>
      <c r="B31" s="2">
        <v>21590.0</v>
      </c>
      <c r="C31" s="3" t="s">
        <v>12</v>
      </c>
      <c r="E31" s="4" t="str">
        <f t="array" ref="E31">XLOOKUP(proper(A31),'Fintech, Regulatory Arbitrage, '!A:A,'Fintech, Regulatory Arbitrage, '!C:C,"")</f>
        <v/>
      </c>
      <c r="H31" s="9"/>
      <c r="J31" s="11"/>
    </row>
    <row r="32">
      <c r="A32" s="1" t="s">
        <v>48</v>
      </c>
      <c r="B32" s="2">
        <v>21457.0</v>
      </c>
      <c r="C32" s="3" t="s">
        <v>12</v>
      </c>
      <c r="D32" s="3" t="s">
        <v>49</v>
      </c>
      <c r="E32" s="4" t="str">
        <f t="array" ref="E32">XLOOKUP(proper(A32),'Fintech, Regulatory Arbitrage, '!A:A,'Fintech, Regulatory Arbitrage, '!C:C,"")</f>
        <v/>
      </c>
      <c r="H32" s="9"/>
      <c r="J32" s="11"/>
    </row>
    <row r="33">
      <c r="A33" s="1" t="s">
        <v>50</v>
      </c>
      <c r="B33" s="2">
        <v>19504.0</v>
      </c>
      <c r="C33" s="3" t="s">
        <v>12</v>
      </c>
      <c r="E33" s="4" t="str">
        <f t="array" ref="E33">XLOOKUP(proper(A33),'Fintech, Regulatory Arbitrage, '!A:A,'Fintech, Regulatory Arbitrage, '!C:C,"")</f>
        <v/>
      </c>
      <c r="H33" s="12"/>
      <c r="I33" s="13"/>
      <c r="J33" s="14"/>
    </row>
    <row r="34">
      <c r="A34" s="1" t="s">
        <v>51</v>
      </c>
      <c r="B34" s="2">
        <v>19296.0</v>
      </c>
      <c r="C34" s="3" t="s">
        <v>12</v>
      </c>
      <c r="E34" s="4" t="str">
        <f t="array" ref="E34">XLOOKUP(proper(A34),'Fintech, Regulatory Arbitrage, '!A:A,'Fintech, Regulatory Arbitrage, '!C:C,"")</f>
        <v/>
      </c>
    </row>
    <row r="35">
      <c r="A35" s="1" t="s">
        <v>52</v>
      </c>
      <c r="B35" s="2">
        <v>18834.0</v>
      </c>
      <c r="C35" s="3" t="s">
        <v>12</v>
      </c>
      <c r="E35" s="4" t="str">
        <f t="array" ref="E35">XLOOKUP(proper(A35),'Fintech, Regulatory Arbitrage, '!A:A,'Fintech, Regulatory Arbitrage, '!C:C,"")</f>
        <v/>
      </c>
    </row>
    <row r="36">
      <c r="A36" s="1" t="s">
        <v>53</v>
      </c>
      <c r="B36" s="2">
        <v>17739.0</v>
      </c>
      <c r="C36" s="3" t="s">
        <v>12</v>
      </c>
      <c r="D36" s="3" t="s">
        <v>54</v>
      </c>
      <c r="E36" s="4" t="str">
        <f t="array" ref="E36">XLOOKUP(proper(A36),'Fintech, Regulatory Arbitrage, '!A:A,'Fintech, Regulatory Arbitrage, '!C:C,"")</f>
        <v/>
      </c>
    </row>
    <row r="37">
      <c r="A37" s="1" t="s">
        <v>55</v>
      </c>
      <c r="B37" s="2">
        <v>17252.0</v>
      </c>
      <c r="C37" s="3" t="s">
        <v>20</v>
      </c>
      <c r="E37" s="4" t="str">
        <f t="array" ref="E37">XLOOKUP(proper(A37),'Fintech, Regulatory Arbitrage, '!A:A,'Fintech, Regulatory Arbitrage, '!C:C,"")</f>
        <v/>
      </c>
      <c r="H37" s="3" t="s">
        <v>56</v>
      </c>
      <c r="I37" s="15" t="s">
        <v>57</v>
      </c>
    </row>
    <row r="38">
      <c r="A38" s="1" t="s">
        <v>58</v>
      </c>
      <c r="B38" s="2">
        <v>17126.0</v>
      </c>
      <c r="C38" s="3" t="s">
        <v>20</v>
      </c>
      <c r="E38" s="4" t="str">
        <f t="array" ref="E38">XLOOKUP(proper(A38),'Fintech, Regulatory Arbitrage, '!A:A,'Fintech, Regulatory Arbitrage, '!C:C,"")</f>
        <v/>
      </c>
    </row>
    <row r="39">
      <c r="A39" s="1" t="s">
        <v>59</v>
      </c>
      <c r="B39" s="2">
        <v>16739.0</v>
      </c>
      <c r="C39" s="3" t="s">
        <v>12</v>
      </c>
      <c r="E39" s="4" t="str">
        <f t="array" ref="E39">XLOOKUP(proper(A39),'Fintech, Regulatory Arbitrage, '!A:A,'Fintech, Regulatory Arbitrage, '!C:C,"")</f>
        <v/>
      </c>
    </row>
    <row r="40">
      <c r="A40" s="1" t="s">
        <v>60</v>
      </c>
      <c r="B40" s="2">
        <v>16267.0</v>
      </c>
      <c r="C40" s="3" t="s">
        <v>12</v>
      </c>
      <c r="D40" s="3" t="s">
        <v>30</v>
      </c>
      <c r="E40" s="4" t="str">
        <f t="array" ref="E40">XLOOKUP(proper(A40),'Fintech, Regulatory Arbitrage, '!A:A,'Fintech, Regulatory Arbitrage, '!C:C,"")</f>
        <v/>
      </c>
    </row>
    <row r="41">
      <c r="A41" s="1" t="s">
        <v>61</v>
      </c>
      <c r="B41" s="2">
        <v>16236.0</v>
      </c>
      <c r="C41" s="3" t="s">
        <v>12</v>
      </c>
      <c r="E41" s="4" t="str">
        <f t="array" ref="E41">XLOOKUP(proper(A41),'Fintech, Regulatory Arbitrage, '!A:A,'Fintech, Regulatory Arbitrage, '!C:C,"")</f>
        <v/>
      </c>
    </row>
    <row r="42">
      <c r="A42" s="1" t="s">
        <v>62</v>
      </c>
      <c r="B42" s="2">
        <v>15756.0</v>
      </c>
      <c r="C42" s="3" t="s">
        <v>12</v>
      </c>
      <c r="E42" s="4" t="str">
        <f t="array" ref="E42">XLOOKUP(proper(A42),'Fintech, Regulatory Arbitrage, '!A:A,'Fintech, Regulatory Arbitrage, '!C:C,"")</f>
        <v/>
      </c>
    </row>
    <row r="43">
      <c r="A43" s="1" t="s">
        <v>63</v>
      </c>
      <c r="B43" s="2">
        <v>15363.0</v>
      </c>
      <c r="C43" s="3" t="s">
        <v>12</v>
      </c>
      <c r="E43" s="4" t="str">
        <f t="array" ref="E43">XLOOKUP(proper(A43),'Fintech, Regulatory Arbitrage, '!A:A,'Fintech, Regulatory Arbitrage, '!C:C,"")</f>
        <v/>
      </c>
    </row>
    <row r="44">
      <c r="A44" s="1" t="s">
        <v>64</v>
      </c>
      <c r="B44" s="2">
        <v>15283.0</v>
      </c>
      <c r="C44" s="3" t="s">
        <v>12</v>
      </c>
      <c r="E44" s="4" t="str">
        <f t="array" ref="E44">XLOOKUP(proper(A44),'Fintech, Regulatory Arbitrage, '!A:A,'Fintech, Regulatory Arbitrage, '!C:C,"")</f>
        <v/>
      </c>
    </row>
    <row r="45">
      <c r="A45" s="1" t="s">
        <v>65</v>
      </c>
      <c r="B45" s="2">
        <v>14953.0</v>
      </c>
      <c r="C45" s="3" t="s">
        <v>12</v>
      </c>
      <c r="E45" s="4" t="str">
        <f t="array" ref="E45">XLOOKUP(proper(A45),'Fintech, Regulatory Arbitrage, '!A:A,'Fintech, Regulatory Arbitrage, '!C:C,"")</f>
        <v/>
      </c>
    </row>
    <row r="46">
      <c r="A46" s="1" t="s">
        <v>66</v>
      </c>
      <c r="B46" s="2">
        <v>14526.0</v>
      </c>
      <c r="C46" s="3" t="s">
        <v>12</v>
      </c>
      <c r="D46" s="3" t="s">
        <v>22</v>
      </c>
      <c r="E46" s="4" t="str">
        <f t="array" ref="E46">XLOOKUP(proper(A46),'Fintech, Regulatory Arbitrage, '!A:A,'Fintech, Regulatory Arbitrage, '!C:C,"")</f>
        <v/>
      </c>
    </row>
    <row r="47">
      <c r="A47" s="1" t="s">
        <v>67</v>
      </c>
      <c r="B47" s="2">
        <v>14356.0</v>
      </c>
      <c r="C47" s="3" t="s">
        <v>12</v>
      </c>
      <c r="E47" s="4" t="str">
        <f t="array" ref="E47">XLOOKUP(proper(A47),'Fintech, Regulatory Arbitrage, '!A:A,'Fintech, Regulatory Arbitrage, '!C:C,"")</f>
        <v/>
      </c>
    </row>
    <row r="48">
      <c r="A48" s="1" t="s">
        <v>68</v>
      </c>
      <c r="B48" s="2">
        <v>13637.0</v>
      </c>
      <c r="C48" s="3" t="s">
        <v>20</v>
      </c>
      <c r="E48" s="4" t="str">
        <f t="array" ref="E48">XLOOKUP(proper(A48),'Fintech, Regulatory Arbitrage, '!A:A,'Fintech, Regulatory Arbitrage, '!C:C,"")</f>
        <v/>
      </c>
    </row>
    <row r="49">
      <c r="A49" s="1" t="s">
        <v>69</v>
      </c>
      <c r="B49" s="2">
        <v>13289.0</v>
      </c>
      <c r="C49" s="3" t="s">
        <v>12</v>
      </c>
      <c r="E49" s="4" t="str">
        <f t="array" ref="E49">XLOOKUP(proper(A49),'Fintech, Regulatory Arbitrage, '!A:A,'Fintech, Regulatory Arbitrage, '!C:C,"")</f>
        <v/>
      </c>
    </row>
    <row r="50">
      <c r="A50" s="1" t="s">
        <v>70</v>
      </c>
      <c r="B50" s="2">
        <v>12455.0</v>
      </c>
      <c r="C50" s="3" t="s">
        <v>12</v>
      </c>
      <c r="E50" s="4" t="str">
        <f t="array" ref="E50">XLOOKUP(proper(A50),'Fintech, Regulatory Arbitrage, '!A:A,'Fintech, Regulatory Arbitrage, '!C:C,"")</f>
        <v/>
      </c>
    </row>
    <row r="51">
      <c r="A51" s="1" t="s">
        <v>71</v>
      </c>
      <c r="B51" s="2">
        <v>12423.0</v>
      </c>
      <c r="C51" s="3" t="s">
        <v>12</v>
      </c>
      <c r="E51" s="4" t="str">
        <f t="array" ref="E51">XLOOKUP(proper(A51),'Fintech, Regulatory Arbitrage, '!A:A,'Fintech, Regulatory Arbitrage, '!C:C,"")</f>
        <v/>
      </c>
    </row>
    <row r="52">
      <c r="A52" s="1" t="s">
        <v>72</v>
      </c>
      <c r="B52" s="2">
        <v>12091.0</v>
      </c>
      <c r="C52" s="3" t="s">
        <v>12</v>
      </c>
      <c r="E52" s="4" t="str">
        <f t="array" ref="E52">XLOOKUP(proper(A52),'Fintech, Regulatory Arbitrage, '!A:A,'Fintech, Regulatory Arbitrage, '!C:C,"")</f>
        <v/>
      </c>
    </row>
    <row r="53">
      <c r="A53" s="1" t="s">
        <v>73</v>
      </c>
      <c r="B53" s="2">
        <v>11563.0</v>
      </c>
      <c r="C53" s="3" t="s">
        <v>12</v>
      </c>
      <c r="E53" s="4" t="str">
        <f t="array" ref="E53">XLOOKUP(proper(A53),'Fintech, Regulatory Arbitrage, '!A:A,'Fintech, Regulatory Arbitrage, '!C:C,"")</f>
        <v/>
      </c>
    </row>
    <row r="54">
      <c r="A54" s="1" t="s">
        <v>74</v>
      </c>
      <c r="B54" s="2">
        <v>11318.0</v>
      </c>
      <c r="C54" s="3" t="s">
        <v>12</v>
      </c>
      <c r="E54" s="4" t="str">
        <f t="array" ref="E54">XLOOKUP(proper(A54),'Fintech, Regulatory Arbitrage, '!A:A,'Fintech, Regulatory Arbitrage, '!C:C,"")</f>
        <v/>
      </c>
    </row>
    <row r="55">
      <c r="A55" s="1" t="s">
        <v>75</v>
      </c>
      <c r="B55" s="2">
        <v>10943.0</v>
      </c>
      <c r="C55" s="3" t="s">
        <v>12</v>
      </c>
      <c r="E55" s="4" t="str">
        <f t="array" ref="E55">XLOOKUP(proper(A55),'Fintech, Regulatory Arbitrage, '!A:A,'Fintech, Regulatory Arbitrage, '!C:C,"")</f>
        <v/>
      </c>
    </row>
    <row r="56">
      <c r="A56" s="1" t="s">
        <v>76</v>
      </c>
      <c r="B56" s="2">
        <v>10020.0</v>
      </c>
      <c r="C56" s="3" t="s">
        <v>12</v>
      </c>
      <c r="E56" s="4" t="str">
        <f t="array" ref="E56">XLOOKUP(proper(A56),'Fintech, Regulatory Arbitrage, '!A:A,'Fintech, Regulatory Arbitrage, '!C:C,"")</f>
        <v/>
      </c>
    </row>
    <row r="57">
      <c r="A57" s="1" t="s">
        <v>77</v>
      </c>
      <c r="B57" s="2">
        <v>9870.0</v>
      </c>
      <c r="C57" s="3" t="s">
        <v>20</v>
      </c>
      <c r="E57" s="4" t="str">
        <f t="array" ref="E57">XLOOKUP(proper(A57),'Fintech, Regulatory Arbitrage, '!A:A,'Fintech, Regulatory Arbitrage, '!C:C,"")</f>
        <v/>
      </c>
    </row>
    <row r="58">
      <c r="A58" s="1" t="s">
        <v>78</v>
      </c>
      <c r="B58" s="2">
        <v>9643.0</v>
      </c>
      <c r="C58" s="3" t="s">
        <v>12</v>
      </c>
      <c r="E58" s="4" t="str">
        <f t="array" ref="E58">XLOOKUP(proper(A58),'Fintech, Regulatory Arbitrage, '!A:A,'Fintech, Regulatory Arbitrage, '!C:C,"")</f>
        <v/>
      </c>
    </row>
    <row r="59">
      <c r="A59" s="1" t="s">
        <v>79</v>
      </c>
      <c r="B59" s="2">
        <v>9083.0</v>
      </c>
      <c r="C59" s="3" t="s">
        <v>12</v>
      </c>
      <c r="E59" s="4" t="str">
        <f t="array" ref="E59">XLOOKUP(proper(A59),'Fintech, Regulatory Arbitrage, '!A:A,'Fintech, Regulatory Arbitrage, '!C:C,"")</f>
        <v/>
      </c>
    </row>
    <row r="60">
      <c r="A60" s="1" t="s">
        <v>80</v>
      </c>
      <c r="B60" s="2">
        <v>9040.0</v>
      </c>
      <c r="C60" s="3" t="s">
        <v>12</v>
      </c>
      <c r="E60" s="4" t="str">
        <f t="array" ref="E60">XLOOKUP(proper(A60),'Fintech, Regulatory Arbitrage, '!A:A,'Fintech, Regulatory Arbitrage, '!C:C,"")</f>
        <v/>
      </c>
    </row>
    <row r="61">
      <c r="A61" s="1" t="s">
        <v>81</v>
      </c>
      <c r="B61" s="2">
        <v>8991.0</v>
      </c>
      <c r="C61" s="3" t="s">
        <v>12</v>
      </c>
      <c r="E61" s="4" t="str">
        <f t="array" ref="E61">XLOOKUP(proper(A61),'Fintech, Regulatory Arbitrage, '!A:A,'Fintech, Regulatory Arbitrage, '!C:C,"")</f>
        <v/>
      </c>
    </row>
    <row r="62">
      <c r="A62" s="1" t="s">
        <v>82</v>
      </c>
      <c r="B62" s="2">
        <v>8913.0</v>
      </c>
      <c r="C62" s="3" t="s">
        <v>12</v>
      </c>
      <c r="E62" s="4" t="str">
        <f t="array" ref="E62">XLOOKUP(proper(A62),'Fintech, Regulatory Arbitrage, '!A:A,'Fintech, Regulatory Arbitrage, '!C:C,"")</f>
        <v/>
      </c>
    </row>
    <row r="63">
      <c r="A63" s="1" t="s">
        <v>83</v>
      </c>
      <c r="B63" s="2">
        <v>8856.0</v>
      </c>
      <c r="C63" s="3" t="s">
        <v>12</v>
      </c>
      <c r="E63" s="4" t="str">
        <f t="array" ref="E63">XLOOKUP(proper(A63),'Fintech, Regulatory Arbitrage, '!A:A,'Fintech, Regulatory Arbitrage, '!C:C,"")</f>
        <v/>
      </c>
    </row>
    <row r="64">
      <c r="A64" s="1" t="s">
        <v>84</v>
      </c>
      <c r="B64" s="2">
        <v>8771.0</v>
      </c>
      <c r="C64" s="3" t="s">
        <v>12</v>
      </c>
      <c r="E64" s="4" t="str">
        <f t="array" ref="E64">XLOOKUP(proper(A64),'Fintech, Regulatory Arbitrage, '!A:A,'Fintech, Regulatory Arbitrage, '!C:C,"")</f>
        <v/>
      </c>
    </row>
    <row r="65">
      <c r="A65" s="1" t="s">
        <v>85</v>
      </c>
      <c r="B65" s="2">
        <v>8722.0</v>
      </c>
      <c r="C65" s="3" t="s">
        <v>12</v>
      </c>
      <c r="E65" s="4" t="str">
        <f t="array" ref="E65">XLOOKUP(proper(A65),'Fintech, Regulatory Arbitrage, '!A:A,'Fintech, Regulatory Arbitrage, '!C:C,"")</f>
        <v/>
      </c>
    </row>
    <row r="66">
      <c r="A66" s="1" t="s">
        <v>86</v>
      </c>
      <c r="B66" s="2">
        <v>8721.0</v>
      </c>
      <c r="C66" s="3" t="s">
        <v>20</v>
      </c>
      <c r="E66" s="4" t="str">
        <f t="array" ref="E66">XLOOKUP(proper(A66),'Fintech, Regulatory Arbitrage, '!A:A,'Fintech, Regulatory Arbitrage, '!C:C,"")</f>
        <v/>
      </c>
    </row>
    <row r="67">
      <c r="A67" s="1" t="s">
        <v>87</v>
      </c>
      <c r="B67" s="2">
        <v>8481.0</v>
      </c>
      <c r="C67" s="3" t="s">
        <v>12</v>
      </c>
      <c r="E67" s="4" t="str">
        <f t="array" ref="E67">XLOOKUP(proper(A67),'Fintech, Regulatory Arbitrage, '!A:A,'Fintech, Regulatory Arbitrage, '!C:C,"")</f>
        <v/>
      </c>
    </row>
    <row r="68">
      <c r="A68" s="1" t="s">
        <v>88</v>
      </c>
      <c r="B68" s="2">
        <v>8036.0</v>
      </c>
      <c r="C68" s="3" t="s">
        <v>12</v>
      </c>
      <c r="E68" s="4" t="str">
        <f t="array" ref="E68">XLOOKUP(proper(A68),'Fintech, Regulatory Arbitrage, '!A:A,'Fintech, Regulatory Arbitrage, '!C:C,"")</f>
        <v/>
      </c>
    </row>
    <row r="69">
      <c r="A69" s="1" t="s">
        <v>89</v>
      </c>
      <c r="B69" s="2">
        <v>8033.0</v>
      </c>
      <c r="C69" s="3" t="s">
        <v>12</v>
      </c>
      <c r="E69" s="4" t="str">
        <f t="array" ref="E69">XLOOKUP(proper(A69),'Fintech, Regulatory Arbitrage, '!A:A,'Fintech, Regulatory Arbitrage, '!C:C,"")</f>
        <v/>
      </c>
    </row>
    <row r="70">
      <c r="A70" s="1" t="s">
        <v>90</v>
      </c>
      <c r="B70" s="2">
        <v>7986.0</v>
      </c>
      <c r="C70" s="3" t="s">
        <v>20</v>
      </c>
      <c r="E70" s="4" t="str">
        <f t="array" ref="E70">XLOOKUP(proper(A70),'Fintech, Regulatory Arbitrage, '!A:A,'Fintech, Regulatory Arbitrage, '!C:C,"")</f>
        <v/>
      </c>
    </row>
    <row r="71">
      <c r="A71" s="1" t="s">
        <v>91</v>
      </c>
      <c r="B71" s="2">
        <v>7573.0</v>
      </c>
      <c r="C71" s="3" t="s">
        <v>20</v>
      </c>
      <c r="D71" s="3" t="s">
        <v>56</v>
      </c>
      <c r="E71" s="4" t="str">
        <f t="array" ref="E71">XLOOKUP(proper(A71),'Fintech, Regulatory Arbitrage, '!A:A,'Fintech, Regulatory Arbitrage, '!C:C,"")</f>
        <v/>
      </c>
    </row>
    <row r="72">
      <c r="A72" s="1" t="s">
        <v>92</v>
      </c>
      <c r="B72" s="2">
        <v>7432.0</v>
      </c>
      <c r="C72" s="3" t="s">
        <v>12</v>
      </c>
      <c r="E72" s="4" t="str">
        <f t="array" ref="E72">XLOOKUP(proper(A72),'Fintech, Regulatory Arbitrage, '!A:A,'Fintech, Regulatory Arbitrage, '!C:C,"")</f>
        <v/>
      </c>
    </row>
    <row r="73">
      <c r="A73" s="1" t="s">
        <v>93</v>
      </c>
      <c r="B73" s="2">
        <v>7404.0</v>
      </c>
      <c r="C73" s="3" t="s">
        <v>12</v>
      </c>
      <c r="E73" s="4" t="str">
        <f t="array" ref="E73">XLOOKUP(proper(A73),'Fintech, Regulatory Arbitrage, '!A:A,'Fintech, Regulatory Arbitrage, '!C:C,"")</f>
        <v/>
      </c>
    </row>
    <row r="74">
      <c r="A74" s="1" t="s">
        <v>94</v>
      </c>
      <c r="B74" s="2">
        <v>7388.0</v>
      </c>
      <c r="C74" s="3" t="s">
        <v>12</v>
      </c>
    </row>
    <row r="75">
      <c r="A75" s="1" t="s">
        <v>95</v>
      </c>
      <c r="B75" s="2">
        <v>7212.0</v>
      </c>
      <c r="C75" s="3" t="s">
        <v>12</v>
      </c>
      <c r="E75" s="4" t="str">
        <f t="array" ref="E75">XLOOKUP(proper(A75),'Fintech, Regulatory Arbitrage, '!A:A,'Fintech, Regulatory Arbitrage, '!C:C,"")</f>
        <v/>
      </c>
    </row>
    <row r="76">
      <c r="A76" s="1" t="s">
        <v>96</v>
      </c>
      <c r="B76" s="2">
        <v>7159.0</v>
      </c>
      <c r="C76" s="3" t="s">
        <v>12</v>
      </c>
      <c r="E76" s="4" t="str">
        <f t="array" ref="E76">XLOOKUP(proper(A76),'Fintech, Regulatory Arbitrage, '!A:A,'Fintech, Regulatory Arbitrage, '!C:C,"")</f>
        <v/>
      </c>
    </row>
    <row r="77">
      <c r="A77" s="1" t="s">
        <v>97</v>
      </c>
      <c r="B77" s="2">
        <v>7108.0</v>
      </c>
      <c r="C77" s="3" t="s">
        <v>12</v>
      </c>
      <c r="E77" s="4" t="str">
        <f t="array" ref="E77">XLOOKUP(proper(A77),'Fintech, Regulatory Arbitrage, '!A:A,'Fintech, Regulatory Arbitrage, '!C:C,"")</f>
        <v/>
      </c>
    </row>
    <row r="78">
      <c r="A78" s="1" t="s">
        <v>98</v>
      </c>
      <c r="B78" s="2">
        <v>7082.0</v>
      </c>
      <c r="C78" s="3" t="s">
        <v>12</v>
      </c>
      <c r="E78" s="4" t="str">
        <f t="array" ref="E78">XLOOKUP(proper(A78),'Fintech, Regulatory Arbitrage, '!A:A,'Fintech, Regulatory Arbitrage, '!C:C,"")</f>
        <v/>
      </c>
    </row>
    <row r="79">
      <c r="A79" s="1" t="s">
        <v>99</v>
      </c>
      <c r="B79" s="2">
        <v>6864.0</v>
      </c>
      <c r="C79" s="3" t="s">
        <v>12</v>
      </c>
      <c r="E79" s="4" t="str">
        <f t="array" ref="E79">XLOOKUP(proper(A79),'Fintech, Regulatory Arbitrage, '!A:A,'Fintech, Regulatory Arbitrage, '!C:C,"")</f>
        <v/>
      </c>
    </row>
    <row r="80">
      <c r="A80" s="1" t="s">
        <v>100</v>
      </c>
      <c r="B80" s="2">
        <v>6851.0</v>
      </c>
      <c r="C80" s="3" t="s">
        <v>12</v>
      </c>
      <c r="E80" s="4" t="str">
        <f t="array" ref="E80">XLOOKUP(proper(A80),'Fintech, Regulatory Arbitrage, '!A:A,'Fintech, Regulatory Arbitrage, '!C:C,"")</f>
        <v/>
      </c>
    </row>
    <row r="81">
      <c r="A81" s="1" t="s">
        <v>101</v>
      </c>
      <c r="B81" s="2">
        <v>6825.0</v>
      </c>
      <c r="C81" s="3" t="s">
        <v>12</v>
      </c>
      <c r="E81" s="4" t="str">
        <f t="array" ref="E81">XLOOKUP(proper(A81),'Fintech, Regulatory Arbitrage, '!A:A,'Fintech, Regulatory Arbitrage, '!C:C,"")</f>
        <v/>
      </c>
    </row>
    <row r="82">
      <c r="A82" s="1" t="s">
        <v>102</v>
      </c>
      <c r="B82" s="2">
        <v>6511.0</v>
      </c>
      <c r="C82" s="3" t="s">
        <v>12</v>
      </c>
      <c r="E82" s="4" t="str">
        <f t="array" ref="E82">XLOOKUP(proper(A82),'Fintech, Regulatory Arbitrage, '!A:A,'Fintech, Regulatory Arbitrage, '!C:C,"")</f>
        <v/>
      </c>
    </row>
    <row r="83">
      <c r="A83" s="1" t="s">
        <v>103</v>
      </c>
      <c r="B83" s="2">
        <v>6261.0</v>
      </c>
      <c r="C83" s="3" t="s">
        <v>12</v>
      </c>
      <c r="E83" s="4" t="str">
        <f t="array" ref="E83">XLOOKUP(proper(A83),'Fintech, Regulatory Arbitrage, '!A:A,'Fintech, Regulatory Arbitrage, '!C:C,"")</f>
        <v/>
      </c>
    </row>
    <row r="84">
      <c r="A84" s="1" t="s">
        <v>104</v>
      </c>
      <c r="B84" s="2">
        <v>6260.0</v>
      </c>
      <c r="C84" s="3" t="s">
        <v>12</v>
      </c>
      <c r="E84" s="4" t="str">
        <f t="array" ref="E84">XLOOKUP(proper(A84),'Fintech, Regulatory Arbitrage, '!A:A,'Fintech, Regulatory Arbitrage, '!C:C,"")</f>
        <v/>
      </c>
    </row>
    <row r="85">
      <c r="A85" s="1" t="s">
        <v>105</v>
      </c>
      <c r="B85" s="2">
        <v>5951.0</v>
      </c>
      <c r="C85" s="3" t="s">
        <v>12</v>
      </c>
      <c r="E85" s="4" t="str">
        <f t="array" ref="E85">XLOOKUP(proper(A85),'Fintech, Regulatory Arbitrage, '!A:A,'Fintech, Regulatory Arbitrage, '!C:C,"")</f>
        <v/>
      </c>
    </row>
    <row r="86">
      <c r="A86" s="1" t="s">
        <v>106</v>
      </c>
      <c r="B86" s="2">
        <v>5930.0</v>
      </c>
      <c r="C86" s="3" t="s">
        <v>12</v>
      </c>
      <c r="E86" s="4" t="str">
        <f t="array" ref="E86">XLOOKUP(proper(A86),'Fintech, Regulatory Arbitrage, '!A:A,'Fintech, Regulatory Arbitrage, '!C:C,"")</f>
        <v/>
      </c>
    </row>
    <row r="87">
      <c r="A87" s="1" t="s">
        <v>107</v>
      </c>
      <c r="B87" s="2">
        <v>5740.0</v>
      </c>
      <c r="C87" s="3" t="s">
        <v>12</v>
      </c>
      <c r="E87" s="4" t="str">
        <f t="array" ref="E87">XLOOKUP(proper(A87),'Fintech, Regulatory Arbitrage, '!A:A,'Fintech, Regulatory Arbitrage, '!C:C,"")</f>
        <v/>
      </c>
    </row>
    <row r="88">
      <c r="A88" s="1" t="s">
        <v>108</v>
      </c>
      <c r="B88" s="2">
        <v>5698.0</v>
      </c>
      <c r="C88" s="3" t="s">
        <v>20</v>
      </c>
      <c r="E88" s="4" t="str">
        <f t="array" ref="E88">XLOOKUP(proper(A88),'Fintech, Regulatory Arbitrage, '!A:A,'Fintech, Regulatory Arbitrage, '!C:C,"")</f>
        <v/>
      </c>
    </row>
    <row r="89">
      <c r="A89" s="1" t="s">
        <v>109</v>
      </c>
      <c r="B89" s="2">
        <v>5683.0</v>
      </c>
      <c r="C89" s="3" t="s">
        <v>12</v>
      </c>
      <c r="E89" s="4" t="str">
        <f t="array" ref="E89">XLOOKUP(proper(A89),'Fintech, Regulatory Arbitrage, '!A:A,'Fintech, Regulatory Arbitrage, '!C:C,"")</f>
        <v/>
      </c>
    </row>
    <row r="90">
      <c r="A90" s="1" t="s">
        <v>110</v>
      </c>
      <c r="B90" s="2">
        <v>5665.0</v>
      </c>
      <c r="C90" s="3" t="s">
        <v>12</v>
      </c>
      <c r="E90" s="4" t="str">
        <f t="array" ref="E90">XLOOKUP(proper(A90),'Fintech, Regulatory Arbitrage, '!A:A,'Fintech, Regulatory Arbitrage, '!C:C,"")</f>
        <v/>
      </c>
    </row>
    <row r="91">
      <c r="A91" s="1" t="s">
        <v>111</v>
      </c>
      <c r="B91" s="2">
        <v>5525.0</v>
      </c>
      <c r="C91" s="3" t="s">
        <v>12</v>
      </c>
      <c r="E91" s="4" t="str">
        <f t="array" ref="E91">XLOOKUP(proper(A91),'Fintech, Regulatory Arbitrage, '!A:A,'Fintech, Regulatory Arbitrage, '!C:C,"")</f>
        <v/>
      </c>
    </row>
    <row r="92">
      <c r="A92" s="1" t="s">
        <v>112</v>
      </c>
      <c r="B92" s="2">
        <v>5423.0</v>
      </c>
      <c r="C92" s="3" t="s">
        <v>12</v>
      </c>
      <c r="E92" s="4" t="str">
        <f t="array" ref="E92">XLOOKUP(proper(A92),'Fintech, Regulatory Arbitrage, '!A:A,'Fintech, Regulatory Arbitrage, '!C:C,"")</f>
        <v/>
      </c>
    </row>
    <row r="93">
      <c r="A93" s="1" t="s">
        <v>113</v>
      </c>
      <c r="B93" s="2">
        <v>5184.0</v>
      </c>
      <c r="C93" s="3" t="s">
        <v>12</v>
      </c>
      <c r="E93" s="4" t="str">
        <f t="array" ref="E93">XLOOKUP(proper(A93),'Fintech, Regulatory Arbitrage, '!A:A,'Fintech, Regulatory Arbitrage, '!C:C,"")</f>
        <v/>
      </c>
    </row>
    <row r="94">
      <c r="A94" s="1" t="s">
        <v>114</v>
      </c>
      <c r="B94" s="2">
        <v>5135.0</v>
      </c>
      <c r="C94" s="3" t="s">
        <v>12</v>
      </c>
      <c r="E94" s="4" t="str">
        <f t="array" ref="E94">XLOOKUP(proper(A94),'Fintech, Regulatory Arbitrage, '!A:A,'Fintech, Regulatory Arbitrage, '!C:C,"")</f>
        <v/>
      </c>
    </row>
    <row r="95">
      <c r="A95" s="1" t="s">
        <v>115</v>
      </c>
      <c r="B95" s="2">
        <v>5128.0</v>
      </c>
      <c r="C95" s="3" t="s">
        <v>12</v>
      </c>
      <c r="E95" s="4" t="str">
        <f t="array" ref="E95">XLOOKUP(proper(A95),'Fintech, Regulatory Arbitrage, '!A:A,'Fintech, Regulatory Arbitrage, '!C:C,"")</f>
        <v/>
      </c>
    </row>
    <row r="96">
      <c r="A96" s="1" t="s">
        <v>116</v>
      </c>
      <c r="B96" s="2">
        <v>5112.0</v>
      </c>
      <c r="C96" s="3" t="s">
        <v>20</v>
      </c>
      <c r="E96" s="4" t="str">
        <f t="array" ref="E96">XLOOKUP(proper(A96),'Fintech, Regulatory Arbitrage, '!A:A,'Fintech, Regulatory Arbitrage, '!C:C,"")</f>
        <v/>
      </c>
    </row>
    <row r="97">
      <c r="A97" s="1" t="s">
        <v>117</v>
      </c>
      <c r="B97" s="2">
        <v>5036.0</v>
      </c>
      <c r="C97" s="3" t="s">
        <v>12</v>
      </c>
      <c r="E97" s="4" t="str">
        <f t="array" ref="E97">XLOOKUP(proper(A97),'Fintech, Regulatory Arbitrage, '!A:A,'Fintech, Regulatory Arbitrage, '!C:C,"")</f>
        <v/>
      </c>
    </row>
    <row r="98">
      <c r="A98" s="1" t="s">
        <v>118</v>
      </c>
      <c r="B98" s="2">
        <v>5007.0</v>
      </c>
      <c r="C98" s="3" t="s">
        <v>12</v>
      </c>
      <c r="E98" s="4" t="str">
        <f t="array" ref="E98">XLOOKUP(proper(A98),'Fintech, Regulatory Arbitrage, '!A:A,'Fintech, Regulatory Arbitrage, '!C:C,"")</f>
        <v/>
      </c>
    </row>
    <row r="99">
      <c r="A99" s="1" t="s">
        <v>119</v>
      </c>
      <c r="B99" s="2">
        <v>4952.0</v>
      </c>
      <c r="C99" s="3" t="s">
        <v>12</v>
      </c>
      <c r="E99" s="4" t="str">
        <f t="array" ref="E99">XLOOKUP(proper(A99),'Fintech, Regulatory Arbitrage, '!A:A,'Fintech, Regulatory Arbitrage, '!C:C,"")</f>
        <v/>
      </c>
    </row>
    <row r="100">
      <c r="A100" s="1" t="s">
        <v>120</v>
      </c>
      <c r="B100" s="2">
        <v>4939.0</v>
      </c>
      <c r="C100" s="3" t="s">
        <v>12</v>
      </c>
      <c r="E100" s="4" t="str">
        <f t="array" ref="E100">XLOOKUP(proper(A100),'Fintech, Regulatory Arbitrage, '!A:A,'Fintech, Regulatory Arbitrage, '!C:C,"")</f>
        <v/>
      </c>
    </row>
    <row r="101">
      <c r="A101" s="16" t="s">
        <v>121</v>
      </c>
      <c r="B101" s="17">
        <v>4743.0</v>
      </c>
      <c r="C101" s="18" t="s">
        <v>12</v>
      </c>
      <c r="D101" s="13"/>
      <c r="E101" s="4" t="str">
        <f t="array" ref="E101">XLOOKUP(proper(A101),'Fintech, Regulatory Arbitrage, '!A:A,'Fintech, Regulatory Arbitrage, '!C:C,"")</f>
        <v/>
      </c>
    </row>
    <row r="102">
      <c r="A102" s="1" t="s">
        <v>122</v>
      </c>
      <c r="B102" s="2">
        <v>4742.0</v>
      </c>
      <c r="C102" s="4"/>
      <c r="E102" s="4" t="str">
        <f t="array" ref="E102">XLOOKUP(proper(A102),'Fintech, Regulatory Arbitrage, '!A:A,'Fintech, Regulatory Arbitrage, '!C:C,"")</f>
        <v/>
      </c>
    </row>
    <row r="103">
      <c r="A103" s="1" t="s">
        <v>123</v>
      </c>
      <c r="B103" s="2">
        <v>4713.0</v>
      </c>
      <c r="C103" s="4"/>
      <c r="E103" s="4" t="str">
        <f t="array" ref="E103">XLOOKUP(proper(A103),'Fintech, Regulatory Arbitrage, '!A:A,'Fintech, Regulatory Arbitrage, '!C:C,"")</f>
        <v/>
      </c>
    </row>
    <row r="104">
      <c r="A104" s="1" t="s">
        <v>124</v>
      </c>
      <c r="B104" s="2">
        <v>4686.0</v>
      </c>
      <c r="C104" s="4"/>
      <c r="E104" s="4" t="str">
        <f t="array" ref="E104">XLOOKUP(proper(A104),'Fintech, Regulatory Arbitrage, '!A:A,'Fintech, Regulatory Arbitrage, '!C:C,"")</f>
        <v/>
      </c>
    </row>
    <row r="105">
      <c r="A105" s="1" t="s">
        <v>125</v>
      </c>
      <c r="B105" s="2">
        <v>4669.0</v>
      </c>
      <c r="C105" s="4"/>
      <c r="E105" s="4" t="str">
        <f t="array" ref="E105">XLOOKUP(proper(A105),'Fintech, Regulatory Arbitrage, '!A:A,'Fintech, Regulatory Arbitrage, '!C:C,"")</f>
        <v/>
      </c>
    </row>
    <row r="106">
      <c r="A106" s="1" t="s">
        <v>126</v>
      </c>
      <c r="B106" s="2">
        <v>4607.0</v>
      </c>
      <c r="C106" s="4"/>
      <c r="E106" s="4" t="str">
        <f t="array" ref="E106">XLOOKUP(proper(A106),'Fintech, Regulatory Arbitrage, '!A:A,'Fintech, Regulatory Arbitrage, '!C:C,"")</f>
        <v/>
      </c>
    </row>
    <row r="107">
      <c r="A107" s="1" t="s">
        <v>127</v>
      </c>
      <c r="B107" s="2">
        <v>4575.0</v>
      </c>
      <c r="C107" s="4"/>
      <c r="E107" s="4" t="str">
        <f t="array" ref="E107">XLOOKUP(proper(A107),'Fintech, Regulatory Arbitrage, '!A:A,'Fintech, Regulatory Arbitrage, '!C:C,"")</f>
        <v/>
      </c>
    </row>
    <row r="108">
      <c r="A108" s="1" t="s">
        <v>128</v>
      </c>
      <c r="B108" s="2">
        <v>4542.0</v>
      </c>
      <c r="C108" s="4"/>
      <c r="E108" s="4" t="str">
        <f t="array" ref="E108">XLOOKUP(proper(A108),'Fintech, Regulatory Arbitrage, '!A:A,'Fintech, Regulatory Arbitrage, '!C:C,"")</f>
        <v/>
      </c>
    </row>
    <row r="109">
      <c r="A109" s="1" t="s">
        <v>129</v>
      </c>
      <c r="B109" s="2">
        <v>4489.0</v>
      </c>
      <c r="C109" s="4"/>
      <c r="E109" s="4" t="str">
        <f t="array" ref="E109">XLOOKUP(proper(A109),'Fintech, Regulatory Arbitrage, '!A:A,'Fintech, Regulatory Arbitrage, '!C:C,"")</f>
        <v/>
      </c>
    </row>
    <row r="110">
      <c r="A110" s="1" t="s">
        <v>130</v>
      </c>
      <c r="B110" s="2">
        <v>4405.0</v>
      </c>
      <c r="C110" s="4"/>
      <c r="E110" s="4" t="str">
        <f t="array" ref="E110">XLOOKUP(proper(A110),'Fintech, Regulatory Arbitrage, '!A:A,'Fintech, Regulatory Arbitrage, '!C:C,"")</f>
        <v/>
      </c>
    </row>
    <row r="111">
      <c r="A111" s="1" t="s">
        <v>56</v>
      </c>
      <c r="B111" s="2">
        <v>4380.0</v>
      </c>
      <c r="C111" s="4"/>
      <c r="E111" s="4" t="str">
        <f t="array" ref="E111">XLOOKUP(proper(A111),'Fintech, Regulatory Arbitrage, '!A:A,'Fintech, Regulatory Arbitrage, '!C:C,"")</f>
        <v/>
      </c>
    </row>
    <row r="112">
      <c r="A112" s="1" t="s">
        <v>131</v>
      </c>
      <c r="B112" s="2">
        <v>4275.0</v>
      </c>
      <c r="C112" s="4"/>
      <c r="E112" s="4" t="str">
        <f t="array" ref="E112">XLOOKUP(proper(A112),'Fintech, Regulatory Arbitrage, '!A:A,'Fintech, Regulatory Arbitrage, '!C:C,"")</f>
        <v/>
      </c>
    </row>
    <row r="113">
      <c r="A113" s="1" t="s">
        <v>132</v>
      </c>
      <c r="B113" s="2">
        <v>4238.0</v>
      </c>
      <c r="C113" s="3" t="s">
        <v>20</v>
      </c>
      <c r="E113" s="4" t="str">
        <f t="array" ref="E113">XLOOKUP(proper(A113),'Fintech, Regulatory Arbitrage, '!A:A,'Fintech, Regulatory Arbitrage, '!C:C,"")</f>
        <v/>
      </c>
    </row>
    <row r="114">
      <c r="A114" s="1" t="s">
        <v>133</v>
      </c>
      <c r="B114" s="2">
        <v>4209.0</v>
      </c>
      <c r="C114" s="3" t="s">
        <v>12</v>
      </c>
      <c r="E114" s="4" t="str">
        <f t="array" ref="E114">XLOOKUP(proper(A114),'Fintech, Regulatory Arbitrage, '!A:A,'Fintech, Regulatory Arbitrage, '!C:C,"")</f>
        <v/>
      </c>
    </row>
    <row r="115">
      <c r="A115" s="1" t="s">
        <v>134</v>
      </c>
      <c r="B115" s="2">
        <v>4136.0</v>
      </c>
      <c r="C115" s="4"/>
      <c r="E115" s="4" t="str">
        <f t="array" ref="E115">XLOOKUP(proper(A115),'Fintech, Regulatory Arbitrage, '!A:A,'Fintech, Regulatory Arbitrage, '!C:C,"")</f>
        <v/>
      </c>
    </row>
    <row r="116">
      <c r="A116" s="1" t="s">
        <v>135</v>
      </c>
      <c r="B116" s="2">
        <v>4086.0</v>
      </c>
      <c r="C116" s="4"/>
      <c r="E116" s="4" t="str">
        <f t="array" ref="E116">XLOOKUP(proper(A116),'Fintech, Regulatory Arbitrage, '!A:A,'Fintech, Regulatory Arbitrage, '!C:C,"")</f>
        <v/>
      </c>
    </row>
    <row r="117">
      <c r="A117" s="1" t="s">
        <v>136</v>
      </c>
      <c r="B117" s="2">
        <v>4054.0</v>
      </c>
      <c r="C117" s="4"/>
      <c r="E117" s="4" t="str">
        <f t="array" ref="E117">XLOOKUP(proper(A117),'Fintech, Regulatory Arbitrage, '!A:A,'Fintech, Regulatory Arbitrage, '!C:C,"")</f>
        <v/>
      </c>
    </row>
    <row r="118">
      <c r="A118" s="1" t="s">
        <v>137</v>
      </c>
      <c r="B118" s="2">
        <v>4050.0</v>
      </c>
      <c r="C118" s="4"/>
      <c r="E118" s="4" t="str">
        <f t="array" ref="E118">XLOOKUP(proper(A118),'Fintech, Regulatory Arbitrage, '!A:A,'Fintech, Regulatory Arbitrage, '!C:C,"")</f>
        <v/>
      </c>
    </row>
    <row r="119">
      <c r="A119" s="1" t="s">
        <v>138</v>
      </c>
      <c r="B119" s="2">
        <v>4010.0</v>
      </c>
      <c r="C119" s="4"/>
      <c r="E119" s="4" t="str">
        <f t="array" ref="E119">XLOOKUP(proper(A119),'Fintech, Regulatory Arbitrage, '!A:A,'Fintech, Regulatory Arbitrage, '!C:C,"")</f>
        <v/>
      </c>
    </row>
    <row r="120">
      <c r="A120" s="1" t="s">
        <v>139</v>
      </c>
      <c r="B120" s="2">
        <v>3922.0</v>
      </c>
      <c r="C120" s="3" t="s">
        <v>20</v>
      </c>
      <c r="E120" s="4" t="str">
        <f t="array" ref="E120">XLOOKUP(proper(A120),'Fintech, Regulatory Arbitrage, '!A:A,'Fintech, Regulatory Arbitrage, '!C:C,"")</f>
        <v/>
      </c>
    </row>
    <row r="121">
      <c r="A121" s="1" t="s">
        <v>140</v>
      </c>
      <c r="B121" s="2">
        <v>3802.0</v>
      </c>
      <c r="C121" s="4"/>
      <c r="E121" s="4" t="str">
        <f t="array" ref="E121">XLOOKUP(proper(A121),'Fintech, Regulatory Arbitrage, '!A:A,'Fintech, Regulatory Arbitrage, '!C:C,"")</f>
        <v/>
      </c>
    </row>
    <row r="122">
      <c r="A122" s="1" t="s">
        <v>141</v>
      </c>
      <c r="B122" s="2">
        <v>3740.0</v>
      </c>
      <c r="C122" s="4"/>
      <c r="E122" s="4" t="str">
        <f t="array" ref="E122">XLOOKUP(proper(A122),'Fintech, Regulatory Arbitrage, '!A:A,'Fintech, Regulatory Arbitrage, '!C:C,"")</f>
        <v/>
      </c>
    </row>
    <row r="123">
      <c r="A123" s="1" t="s">
        <v>142</v>
      </c>
      <c r="B123" s="2">
        <v>3656.0</v>
      </c>
      <c r="C123" s="4"/>
      <c r="E123" s="4" t="str">
        <f t="array" ref="E123">XLOOKUP(proper(A123),'Fintech, Regulatory Arbitrage, '!A:A,'Fintech, Regulatory Arbitrage, '!C:C,"")</f>
        <v/>
      </c>
    </row>
    <row r="124">
      <c r="A124" s="1" t="s">
        <v>143</v>
      </c>
      <c r="B124" s="2">
        <v>3627.0</v>
      </c>
      <c r="C124" s="4"/>
      <c r="E124" s="4" t="str">
        <f t="array" ref="E124">XLOOKUP(proper(A124),'Fintech, Regulatory Arbitrage, '!A:A,'Fintech, Regulatory Arbitrage, '!C:C,"")</f>
        <v/>
      </c>
    </row>
    <row r="125">
      <c r="A125" s="1" t="s">
        <v>144</v>
      </c>
      <c r="B125" s="2">
        <v>3597.0</v>
      </c>
      <c r="C125" s="4"/>
      <c r="E125" s="4" t="str">
        <f t="array" ref="E125">XLOOKUP(proper(A125),'Fintech, Regulatory Arbitrage, '!A:A,'Fintech, Regulatory Arbitrage, '!C:C,"")</f>
        <v/>
      </c>
    </row>
    <row r="126">
      <c r="A126" s="1" t="s">
        <v>145</v>
      </c>
      <c r="B126" s="2">
        <v>3537.0</v>
      </c>
      <c r="C126" s="4"/>
      <c r="E126" s="4" t="str">
        <f t="array" ref="E126">XLOOKUP(proper(A126),'Fintech, Regulatory Arbitrage, '!A:A,'Fintech, Regulatory Arbitrage, '!C:C,"")</f>
        <v/>
      </c>
    </row>
    <row r="127">
      <c r="A127" s="1" t="s">
        <v>146</v>
      </c>
      <c r="B127" s="2">
        <v>3494.0</v>
      </c>
      <c r="C127" s="4"/>
      <c r="E127" s="4" t="str">
        <f t="array" ref="E127">XLOOKUP(proper(A127),'Fintech, Regulatory Arbitrage, '!A:A,'Fintech, Regulatory Arbitrage, '!C:C,"")</f>
        <v/>
      </c>
    </row>
    <row r="128">
      <c r="A128" s="1" t="s">
        <v>147</v>
      </c>
      <c r="B128" s="2">
        <v>3365.0</v>
      </c>
      <c r="C128" s="4"/>
      <c r="E128" s="4" t="str">
        <f t="array" ref="E128">XLOOKUP(proper(A128),'Fintech, Regulatory Arbitrage, '!A:A,'Fintech, Regulatory Arbitrage, '!C:C,"")</f>
        <v/>
      </c>
    </row>
    <row r="129">
      <c r="A129" s="1" t="s">
        <v>148</v>
      </c>
      <c r="B129" s="2">
        <v>3312.0</v>
      </c>
      <c r="C129" s="4"/>
      <c r="E129" s="4" t="str">
        <f t="array" ref="E129">XLOOKUP(proper(A129),'Fintech, Regulatory Arbitrage, '!A:A,'Fintech, Regulatory Arbitrage, '!C:C,"")</f>
        <v/>
      </c>
    </row>
    <row r="130">
      <c r="A130" s="1" t="s">
        <v>149</v>
      </c>
      <c r="B130" s="2">
        <v>3287.0</v>
      </c>
      <c r="C130" s="4"/>
      <c r="E130" s="4" t="str">
        <f t="array" ref="E130">XLOOKUP(proper(A130),'Fintech, Regulatory Arbitrage, '!A:A,'Fintech, Regulatory Arbitrage, '!C:C,"")</f>
        <v/>
      </c>
    </row>
    <row r="131">
      <c r="A131" s="1" t="s">
        <v>150</v>
      </c>
      <c r="B131" s="2">
        <v>3236.0</v>
      </c>
      <c r="C131" s="4"/>
      <c r="E131" s="4" t="str">
        <f t="array" ref="E131">XLOOKUP(proper(A131),'Fintech, Regulatory Arbitrage, '!A:A,'Fintech, Regulatory Arbitrage, '!C:C,"")</f>
        <v/>
      </c>
    </row>
    <row r="132">
      <c r="A132" s="1" t="s">
        <v>151</v>
      </c>
      <c r="B132" s="2">
        <v>3211.0</v>
      </c>
      <c r="C132" s="4"/>
      <c r="E132" s="4" t="str">
        <f t="array" ref="E132">XLOOKUP(proper(A132),'Fintech, Regulatory Arbitrage, '!A:A,'Fintech, Regulatory Arbitrage, '!C:C,"")</f>
        <v/>
      </c>
    </row>
    <row r="133">
      <c r="A133" s="1" t="s">
        <v>152</v>
      </c>
      <c r="B133" s="2">
        <v>3152.0</v>
      </c>
      <c r="C133" s="4"/>
      <c r="E133" s="4" t="str">
        <f t="array" ref="E133">XLOOKUP(proper(A133),'Fintech, Regulatory Arbitrage, '!A:A,'Fintech, Regulatory Arbitrage, '!C:C,"")</f>
        <v/>
      </c>
    </row>
    <row r="134">
      <c r="A134" s="1" t="s">
        <v>153</v>
      </c>
      <c r="B134" s="2">
        <v>3130.0</v>
      </c>
      <c r="C134" s="4"/>
      <c r="E134" s="4" t="str">
        <f t="array" ref="E134">XLOOKUP(proper(A134),'Fintech, Regulatory Arbitrage, '!A:A,'Fintech, Regulatory Arbitrage, '!C:C,"")</f>
        <v/>
      </c>
    </row>
    <row r="135">
      <c r="A135" s="1" t="s">
        <v>154</v>
      </c>
      <c r="B135" s="2">
        <v>3100.0</v>
      </c>
      <c r="C135" s="4"/>
      <c r="E135" s="4" t="str">
        <f t="array" ref="E135">XLOOKUP(proper(A135),'Fintech, Regulatory Arbitrage, '!A:A,'Fintech, Regulatory Arbitrage, '!C:C,"")</f>
        <v/>
      </c>
    </row>
    <row r="136">
      <c r="A136" s="1" t="s">
        <v>155</v>
      </c>
      <c r="B136" s="2">
        <v>3090.0</v>
      </c>
      <c r="C136" s="4"/>
      <c r="E136" s="4" t="str">
        <f t="array" ref="E136">XLOOKUP(proper(A136),'Fintech, Regulatory Arbitrage, '!A:A,'Fintech, Regulatory Arbitrage, '!C:C,"")</f>
        <v/>
      </c>
    </row>
    <row r="137">
      <c r="A137" s="1" t="s">
        <v>156</v>
      </c>
      <c r="B137" s="2">
        <v>3090.0</v>
      </c>
      <c r="C137" s="4"/>
      <c r="E137" s="4" t="str">
        <f t="array" ref="E137">XLOOKUP(proper(A137),'Fintech, Regulatory Arbitrage, '!A:A,'Fintech, Regulatory Arbitrage, '!C:C,"")</f>
        <v/>
      </c>
    </row>
    <row r="138">
      <c r="A138" s="1" t="s">
        <v>157</v>
      </c>
      <c r="B138" s="2">
        <v>3031.0</v>
      </c>
      <c r="C138" s="4"/>
      <c r="E138" s="4" t="str">
        <f t="array" ref="E138">XLOOKUP(proper(A138),'Fintech, Regulatory Arbitrage, '!A:A,'Fintech, Regulatory Arbitrage, '!C:C,"")</f>
        <v/>
      </c>
    </row>
    <row r="139">
      <c r="A139" s="1" t="s">
        <v>158</v>
      </c>
      <c r="B139" s="2">
        <v>3028.0</v>
      </c>
      <c r="C139" s="4"/>
      <c r="E139" s="4" t="str">
        <f t="array" ref="E139">XLOOKUP(proper(A139),'Fintech, Regulatory Arbitrage, '!A:A,'Fintech, Regulatory Arbitrage, '!C:C,"")</f>
        <v/>
      </c>
    </row>
    <row r="140">
      <c r="A140" s="1" t="s">
        <v>159</v>
      </c>
      <c r="B140" s="2">
        <v>3020.0</v>
      </c>
      <c r="C140" s="4"/>
      <c r="E140" s="4" t="str">
        <f t="array" ref="E140">XLOOKUP(proper(A140),'Fintech, Regulatory Arbitrage, '!A:A,'Fintech, Regulatory Arbitrage, '!C:C,"")</f>
        <v/>
      </c>
    </row>
    <row r="141">
      <c r="A141" s="1" t="s">
        <v>160</v>
      </c>
      <c r="B141" s="2">
        <v>3002.0</v>
      </c>
      <c r="C141" s="4"/>
      <c r="E141" s="4" t="str">
        <f t="array" ref="E141">XLOOKUP(proper(A141),'Fintech, Regulatory Arbitrage, '!A:A,'Fintech, Regulatory Arbitrage, '!C:C,"")</f>
        <v/>
      </c>
    </row>
    <row r="142">
      <c r="A142" s="1" t="s">
        <v>161</v>
      </c>
      <c r="B142" s="2">
        <v>2989.0</v>
      </c>
      <c r="C142" s="4"/>
      <c r="E142" s="4" t="str">
        <f t="array" ref="E142">XLOOKUP(proper(A142),'Fintech, Regulatory Arbitrage, '!A:A,'Fintech, Regulatory Arbitrage, '!C:C,"")</f>
        <v/>
      </c>
    </row>
    <row r="143">
      <c r="A143" s="1" t="s">
        <v>162</v>
      </c>
      <c r="B143" s="2">
        <v>2971.0</v>
      </c>
      <c r="C143" s="4"/>
      <c r="E143" s="4" t="str">
        <f t="array" ref="E143">XLOOKUP(proper(A143),'Fintech, Regulatory Arbitrage, '!A:A,'Fintech, Regulatory Arbitrage, '!C:C,"")</f>
        <v/>
      </c>
    </row>
    <row r="144">
      <c r="A144" s="1" t="s">
        <v>163</v>
      </c>
      <c r="B144" s="2">
        <v>2960.0</v>
      </c>
      <c r="C144" s="4"/>
      <c r="E144" s="4" t="str">
        <f t="array" ref="E144">XLOOKUP(proper(A144),'Fintech, Regulatory Arbitrage, '!A:A,'Fintech, Regulatory Arbitrage, '!C:C,"")</f>
        <v/>
      </c>
    </row>
    <row r="145">
      <c r="A145" s="1" t="s">
        <v>164</v>
      </c>
      <c r="B145" s="2">
        <v>2927.0</v>
      </c>
      <c r="C145" s="4"/>
      <c r="E145" s="4" t="str">
        <f t="array" ref="E145">XLOOKUP(proper(A145),'Fintech, Regulatory Arbitrage, '!A:A,'Fintech, Regulatory Arbitrage, '!C:C,"")</f>
        <v/>
      </c>
    </row>
    <row r="146">
      <c r="A146" s="1" t="s">
        <v>165</v>
      </c>
      <c r="B146" s="2">
        <v>2913.0</v>
      </c>
      <c r="C146" s="4"/>
      <c r="E146" s="4" t="str">
        <f t="array" ref="E146">XLOOKUP(proper(A146),'Fintech, Regulatory Arbitrage, '!A:A,'Fintech, Regulatory Arbitrage, '!C:C,"")</f>
        <v/>
      </c>
    </row>
    <row r="147">
      <c r="A147" s="1" t="s">
        <v>166</v>
      </c>
      <c r="B147" s="2">
        <v>2886.0</v>
      </c>
      <c r="C147" s="4"/>
      <c r="E147" s="4" t="str">
        <f t="array" ref="E147">XLOOKUP(proper(A147),'Fintech, Regulatory Arbitrage, '!A:A,'Fintech, Regulatory Arbitrage, '!C:C,"")</f>
        <v/>
      </c>
    </row>
    <row r="148">
      <c r="A148" s="1" t="s">
        <v>167</v>
      </c>
      <c r="B148" s="2">
        <v>2863.0</v>
      </c>
      <c r="C148" s="4"/>
      <c r="E148" s="4" t="str">
        <f t="array" ref="E148">XLOOKUP(proper(A148),'Fintech, Regulatory Arbitrage, '!A:A,'Fintech, Regulatory Arbitrage, '!C:C,"")</f>
        <v/>
      </c>
    </row>
    <row r="149">
      <c r="A149" s="1" t="s">
        <v>168</v>
      </c>
      <c r="B149" s="2">
        <v>2838.0</v>
      </c>
      <c r="C149" s="4"/>
      <c r="E149" s="4" t="str">
        <f t="array" ref="E149">XLOOKUP(proper(A149),'Fintech, Regulatory Arbitrage, '!A:A,'Fintech, Regulatory Arbitrage, '!C:C,"")</f>
        <v/>
      </c>
    </row>
    <row r="150">
      <c r="A150" s="1" t="s">
        <v>169</v>
      </c>
      <c r="B150" s="2">
        <v>2823.0</v>
      </c>
      <c r="C150" s="4"/>
      <c r="E150" s="4" t="str">
        <f t="array" ref="E150">XLOOKUP(proper(A150),'Fintech, Regulatory Arbitrage, '!A:A,'Fintech, Regulatory Arbitrage, '!C:C,"")</f>
        <v/>
      </c>
    </row>
    <row r="151">
      <c r="A151" s="1" t="s">
        <v>170</v>
      </c>
      <c r="B151" s="2">
        <v>2807.0</v>
      </c>
      <c r="C151" s="4"/>
      <c r="E151" s="4" t="str">
        <f t="array" ref="E151">XLOOKUP(proper(A151),'Fintech, Regulatory Arbitrage, '!A:A,'Fintech, Regulatory Arbitrage, '!C:C,"")</f>
        <v/>
      </c>
    </row>
    <row r="152">
      <c r="A152" s="1" t="s">
        <v>171</v>
      </c>
      <c r="B152" s="2">
        <v>2807.0</v>
      </c>
      <c r="C152" s="4"/>
      <c r="E152" s="4" t="str">
        <f t="array" ref="E152">XLOOKUP(proper(A152),'Fintech, Regulatory Arbitrage, '!A:A,'Fintech, Regulatory Arbitrage, '!C:C,"")</f>
        <v/>
      </c>
    </row>
    <row r="153">
      <c r="A153" s="1" t="s">
        <v>172</v>
      </c>
      <c r="B153" s="2">
        <v>2798.0</v>
      </c>
      <c r="C153" s="4"/>
      <c r="E153" s="4" t="str">
        <f t="array" ref="E153">XLOOKUP(proper(A153),'Fintech, Regulatory Arbitrage, '!A:A,'Fintech, Regulatory Arbitrage, '!C:C,"")</f>
        <v/>
      </c>
    </row>
    <row r="154">
      <c r="A154" s="1" t="s">
        <v>173</v>
      </c>
      <c r="B154" s="2">
        <v>2771.0</v>
      </c>
      <c r="C154" s="3" t="s">
        <v>20</v>
      </c>
      <c r="D154" s="3" t="s">
        <v>56</v>
      </c>
      <c r="E154" s="4" t="str">
        <f t="array" ref="E154">XLOOKUP(proper(A154),'Fintech, Regulatory Arbitrage, '!A:A,'Fintech, Regulatory Arbitrage, '!C:C,"")</f>
        <v/>
      </c>
    </row>
    <row r="155">
      <c r="A155" s="1" t="s">
        <v>174</v>
      </c>
      <c r="B155" s="2">
        <v>2729.0</v>
      </c>
      <c r="C155" s="4"/>
      <c r="E155" s="4" t="str">
        <f t="array" ref="E155">XLOOKUP(proper(A155),'Fintech, Regulatory Arbitrage, '!A:A,'Fintech, Regulatory Arbitrage, '!C:C,"")</f>
        <v/>
      </c>
    </row>
    <row r="156">
      <c r="A156" s="1" t="s">
        <v>175</v>
      </c>
      <c r="B156" s="2">
        <v>2705.0</v>
      </c>
      <c r="C156" s="4"/>
      <c r="E156" s="4" t="str">
        <f t="array" ref="E156">XLOOKUP(proper(A156),'Fintech, Regulatory Arbitrage, '!A:A,'Fintech, Regulatory Arbitrage, '!C:C,"")</f>
        <v/>
      </c>
    </row>
    <row r="157">
      <c r="A157" s="1" t="s">
        <v>176</v>
      </c>
      <c r="B157" s="2">
        <v>2693.0</v>
      </c>
      <c r="C157" s="4"/>
      <c r="E157" s="4" t="str">
        <f t="array" ref="E157">XLOOKUP(proper(A157),'Fintech, Regulatory Arbitrage, '!A:A,'Fintech, Regulatory Arbitrage, '!C:C,"")</f>
        <v/>
      </c>
    </row>
    <row r="158">
      <c r="A158" s="1" t="s">
        <v>177</v>
      </c>
      <c r="B158" s="2">
        <v>2685.0</v>
      </c>
      <c r="C158" s="4"/>
      <c r="E158" s="4" t="str">
        <f t="array" ref="E158">XLOOKUP(proper(A158),'Fintech, Regulatory Arbitrage, '!A:A,'Fintech, Regulatory Arbitrage, '!C:C,"")</f>
        <v/>
      </c>
    </row>
    <row r="159">
      <c r="A159" s="1" t="s">
        <v>178</v>
      </c>
      <c r="B159" s="2">
        <v>2684.0</v>
      </c>
      <c r="C159" s="4"/>
      <c r="E159" s="4" t="str">
        <f t="array" ref="E159">XLOOKUP(proper(A159),'Fintech, Regulatory Arbitrage, '!A:A,'Fintech, Regulatory Arbitrage, '!C:C,"")</f>
        <v/>
      </c>
    </row>
    <row r="160">
      <c r="A160" s="1" t="s">
        <v>179</v>
      </c>
      <c r="B160" s="2">
        <v>2646.0</v>
      </c>
      <c r="C160" s="4"/>
      <c r="E160" s="4" t="str">
        <f t="array" ref="E160">XLOOKUP(proper(A160),'Fintech, Regulatory Arbitrage, '!A:A,'Fintech, Regulatory Arbitrage, '!C:C,"")</f>
        <v/>
      </c>
    </row>
    <row r="161">
      <c r="A161" s="1" t="s">
        <v>180</v>
      </c>
      <c r="B161" s="2">
        <v>2640.0</v>
      </c>
      <c r="C161" s="4"/>
      <c r="E161" s="4" t="str">
        <f t="array" ref="E161">XLOOKUP(proper(A161),'Fintech, Regulatory Arbitrage, '!A:A,'Fintech, Regulatory Arbitrage, '!C:C,"")</f>
        <v/>
      </c>
    </row>
    <row r="162">
      <c r="A162" s="1" t="s">
        <v>181</v>
      </c>
      <c r="B162" s="2">
        <v>2593.0</v>
      </c>
      <c r="C162" s="4"/>
      <c r="E162" s="4" t="str">
        <f t="array" ref="E162">XLOOKUP(proper(A162),'Fintech, Regulatory Arbitrage, '!A:A,'Fintech, Regulatory Arbitrage, '!C:C,"")</f>
        <v/>
      </c>
    </row>
    <row r="163">
      <c r="A163" s="1" t="s">
        <v>182</v>
      </c>
      <c r="B163" s="2">
        <v>2581.0</v>
      </c>
      <c r="C163" s="4"/>
      <c r="E163" s="4" t="str">
        <f t="array" ref="E163">XLOOKUP(proper(A163),'Fintech, Regulatory Arbitrage, '!A:A,'Fintech, Regulatory Arbitrage, '!C:C,"")</f>
        <v/>
      </c>
    </row>
    <row r="164">
      <c r="A164" s="1" t="s">
        <v>183</v>
      </c>
      <c r="B164" s="2">
        <v>2573.0</v>
      </c>
      <c r="C164" s="4"/>
      <c r="E164" s="4" t="str">
        <f t="array" ref="E164">XLOOKUP(proper(A164),'Fintech, Regulatory Arbitrage, '!A:A,'Fintech, Regulatory Arbitrage, '!C:C,"")</f>
        <v/>
      </c>
    </row>
    <row r="165">
      <c r="A165" s="1" t="s">
        <v>184</v>
      </c>
      <c r="B165" s="2">
        <v>2540.0</v>
      </c>
      <c r="C165" s="4"/>
      <c r="E165" s="4" t="str">
        <f t="array" ref="E165">XLOOKUP(proper(A165),'Fintech, Regulatory Arbitrage, '!A:A,'Fintech, Regulatory Arbitrage, '!C:C,"")</f>
        <v/>
      </c>
    </row>
    <row r="166">
      <c r="A166" s="1" t="s">
        <v>185</v>
      </c>
      <c r="B166" s="2">
        <v>2513.0</v>
      </c>
      <c r="C166" s="4"/>
      <c r="E166" s="4" t="str">
        <f t="array" ref="E166">XLOOKUP(proper(A166),'Fintech, Regulatory Arbitrage, '!A:A,'Fintech, Regulatory Arbitrage, '!C:C,"")</f>
        <v/>
      </c>
    </row>
    <row r="167">
      <c r="A167" s="1" t="s">
        <v>186</v>
      </c>
      <c r="B167" s="2">
        <v>2512.0</v>
      </c>
      <c r="C167" s="4"/>
      <c r="E167" s="4" t="str">
        <f t="array" ref="E167">XLOOKUP(proper(A167),'Fintech, Regulatory Arbitrage, '!A:A,'Fintech, Regulatory Arbitrage, '!C:C,"")</f>
        <v/>
      </c>
    </row>
    <row r="168">
      <c r="A168" s="1" t="s">
        <v>187</v>
      </c>
      <c r="B168" s="2">
        <v>2493.0</v>
      </c>
      <c r="C168" s="4"/>
      <c r="E168" s="4" t="str">
        <f t="array" ref="E168">XLOOKUP(proper(A168),'Fintech, Regulatory Arbitrage, '!A:A,'Fintech, Regulatory Arbitrage, '!C:C,"")</f>
        <v/>
      </c>
    </row>
    <row r="169">
      <c r="A169" s="1" t="s">
        <v>188</v>
      </c>
      <c r="B169" s="2">
        <v>2481.0</v>
      </c>
      <c r="C169" s="4"/>
      <c r="E169" s="4" t="str">
        <f t="array" ref="E169">XLOOKUP(proper(A169),'Fintech, Regulatory Arbitrage, '!A:A,'Fintech, Regulatory Arbitrage, '!C:C,"")</f>
        <v/>
      </c>
    </row>
    <row r="170">
      <c r="A170" s="1" t="s">
        <v>189</v>
      </c>
      <c r="B170" s="2">
        <v>2453.0</v>
      </c>
      <c r="C170" s="4"/>
      <c r="E170" s="4" t="str">
        <f t="array" ref="E170">XLOOKUP(proper(A170),'Fintech, Regulatory Arbitrage, '!A:A,'Fintech, Regulatory Arbitrage, '!C:C,"")</f>
        <v/>
      </c>
    </row>
    <row r="171">
      <c r="A171" s="1" t="s">
        <v>190</v>
      </c>
      <c r="B171" s="2">
        <v>2450.0</v>
      </c>
      <c r="C171" s="4"/>
      <c r="E171" s="4" t="str">
        <f t="array" ref="E171">XLOOKUP(proper(A171),'Fintech, Regulatory Arbitrage, '!A:A,'Fintech, Regulatory Arbitrage, '!C:C,"")</f>
        <v/>
      </c>
    </row>
    <row r="172">
      <c r="A172" s="1" t="s">
        <v>191</v>
      </c>
      <c r="B172" s="2">
        <v>2449.0</v>
      </c>
      <c r="C172" s="4"/>
      <c r="E172" s="4" t="str">
        <f t="array" ref="E172">XLOOKUP(proper(A172),'Fintech, Regulatory Arbitrage, '!A:A,'Fintech, Regulatory Arbitrage, '!C:C,"")</f>
        <v/>
      </c>
    </row>
    <row r="173">
      <c r="A173" s="1" t="s">
        <v>192</v>
      </c>
      <c r="B173" s="2">
        <v>2449.0</v>
      </c>
      <c r="C173" s="4"/>
      <c r="E173" s="4" t="str">
        <f t="array" ref="E173">XLOOKUP(proper(A173),'Fintech, Regulatory Arbitrage, '!A:A,'Fintech, Regulatory Arbitrage, '!C:C,"")</f>
        <v/>
      </c>
    </row>
    <row r="174">
      <c r="A174" s="1" t="s">
        <v>193</v>
      </c>
      <c r="B174" s="2">
        <v>2447.0</v>
      </c>
      <c r="C174" s="4"/>
      <c r="E174" s="4" t="str">
        <f t="array" ref="E174">XLOOKUP(proper(A174),'Fintech, Regulatory Arbitrage, '!A:A,'Fintech, Regulatory Arbitrage, '!C:C,"")</f>
        <v/>
      </c>
    </row>
    <row r="175">
      <c r="A175" s="1" t="s">
        <v>194</v>
      </c>
      <c r="B175" s="2">
        <v>2444.0</v>
      </c>
      <c r="C175" s="4"/>
      <c r="E175" s="4" t="str">
        <f t="array" ref="E175">XLOOKUP(proper(A175),'Fintech, Regulatory Arbitrage, '!A:A,'Fintech, Regulatory Arbitrage, '!C:C,"")</f>
        <v/>
      </c>
    </row>
    <row r="176">
      <c r="A176" s="1" t="s">
        <v>195</v>
      </c>
      <c r="B176" s="2">
        <v>2411.0</v>
      </c>
      <c r="C176" s="4"/>
      <c r="E176" s="4" t="str">
        <f t="array" ref="E176">XLOOKUP(proper(A176),'Fintech, Regulatory Arbitrage, '!A:A,'Fintech, Regulatory Arbitrage, '!C:C,"")</f>
        <v/>
      </c>
    </row>
    <row r="177">
      <c r="A177" s="1" t="s">
        <v>196</v>
      </c>
      <c r="B177" s="2">
        <v>2383.0</v>
      </c>
      <c r="C177" s="4"/>
      <c r="E177" s="4" t="str">
        <f t="array" ref="E177">XLOOKUP(proper(A177),'Fintech, Regulatory Arbitrage, '!A:A,'Fintech, Regulatory Arbitrage, '!C:C,"")</f>
        <v/>
      </c>
    </row>
    <row r="178">
      <c r="A178" s="1" t="s">
        <v>197</v>
      </c>
      <c r="B178" s="2">
        <v>2350.0</v>
      </c>
      <c r="C178" s="4"/>
      <c r="E178" s="4" t="str">
        <f t="array" ref="E178">XLOOKUP(proper(A178),'Fintech, Regulatory Arbitrage, '!A:A,'Fintech, Regulatory Arbitrage, '!C:C,"")</f>
        <v/>
      </c>
    </row>
    <row r="179">
      <c r="A179" s="1" t="s">
        <v>198</v>
      </c>
      <c r="B179" s="2">
        <v>2315.0</v>
      </c>
      <c r="C179" s="4"/>
      <c r="E179" s="4" t="str">
        <f t="array" ref="E179">XLOOKUP(proper(A179),'Fintech, Regulatory Arbitrage, '!A:A,'Fintech, Regulatory Arbitrage, '!C:C,"")</f>
        <v/>
      </c>
    </row>
    <row r="180">
      <c r="A180" s="1" t="s">
        <v>199</v>
      </c>
      <c r="B180" s="2">
        <v>2306.0</v>
      </c>
      <c r="C180" s="4"/>
      <c r="E180" s="4" t="str">
        <f t="array" ref="E180">XLOOKUP(proper(A180),'Fintech, Regulatory Arbitrage, '!A:A,'Fintech, Regulatory Arbitrage, '!C:C,"")</f>
        <v/>
      </c>
    </row>
    <row r="181">
      <c r="A181" s="1" t="s">
        <v>200</v>
      </c>
      <c r="B181" s="2">
        <v>2301.0</v>
      </c>
      <c r="C181" s="4"/>
      <c r="E181" s="4" t="str">
        <f t="array" ref="E181">XLOOKUP(proper(A181),'Fintech, Regulatory Arbitrage, '!A:A,'Fintech, Regulatory Arbitrage, '!C:C,"")</f>
        <v/>
      </c>
    </row>
    <row r="182">
      <c r="A182" s="1" t="s">
        <v>201</v>
      </c>
      <c r="B182" s="2">
        <v>2292.0</v>
      </c>
      <c r="C182" s="4"/>
      <c r="E182" s="4" t="str">
        <f t="array" ref="E182">XLOOKUP(proper(A182),'Fintech, Regulatory Arbitrage, '!A:A,'Fintech, Regulatory Arbitrage, '!C:C,"")</f>
        <v/>
      </c>
    </row>
    <row r="183">
      <c r="A183" s="1" t="s">
        <v>202</v>
      </c>
      <c r="B183" s="2">
        <v>2228.0</v>
      </c>
      <c r="C183" s="4"/>
      <c r="E183" s="4" t="str">
        <f t="array" ref="E183">XLOOKUP(proper(A183),'Fintech, Regulatory Arbitrage, '!A:A,'Fintech, Regulatory Arbitrage, '!C:C,"")</f>
        <v/>
      </c>
    </row>
    <row r="184">
      <c r="A184" s="1" t="s">
        <v>203</v>
      </c>
      <c r="B184" s="2">
        <v>2214.0</v>
      </c>
      <c r="C184" s="4"/>
      <c r="E184" s="4" t="str">
        <f t="array" ref="E184">XLOOKUP(proper(A184),'Fintech, Regulatory Arbitrage, '!A:A,'Fintech, Regulatory Arbitrage, '!C:C,"")</f>
        <v/>
      </c>
    </row>
    <row r="185">
      <c r="A185" s="1" t="s">
        <v>204</v>
      </c>
      <c r="B185" s="2">
        <v>2204.0</v>
      </c>
      <c r="C185" s="4"/>
      <c r="E185" s="4" t="str">
        <f t="array" ref="E185">XLOOKUP(proper(A185),'Fintech, Regulatory Arbitrage, '!A:A,'Fintech, Regulatory Arbitrage, '!C:C,"")</f>
        <v/>
      </c>
    </row>
    <row r="186">
      <c r="A186" s="1" t="s">
        <v>205</v>
      </c>
      <c r="B186" s="2">
        <v>2187.0</v>
      </c>
      <c r="C186" s="4"/>
      <c r="E186" s="4" t="str">
        <f t="array" ref="E186">XLOOKUP(proper(A186),'Fintech, Regulatory Arbitrage, '!A:A,'Fintech, Regulatory Arbitrage, '!C:C,"")</f>
        <v/>
      </c>
    </row>
    <row r="187">
      <c r="A187" s="1" t="s">
        <v>206</v>
      </c>
      <c r="B187" s="2">
        <v>2187.0</v>
      </c>
      <c r="C187" s="4"/>
      <c r="E187" s="4" t="str">
        <f t="array" ref="E187">XLOOKUP(proper(A187),'Fintech, Regulatory Arbitrage, '!A:A,'Fintech, Regulatory Arbitrage, '!C:C,"")</f>
        <v/>
      </c>
    </row>
    <row r="188">
      <c r="A188" s="1" t="s">
        <v>207</v>
      </c>
      <c r="B188" s="2">
        <v>2164.0</v>
      </c>
      <c r="C188" s="4"/>
      <c r="E188" s="4" t="str">
        <f t="array" ref="E188">XLOOKUP(proper(A188),'Fintech, Regulatory Arbitrage, '!A:A,'Fintech, Regulatory Arbitrage, '!C:C,"")</f>
        <v/>
      </c>
    </row>
    <row r="189">
      <c r="A189" s="1" t="s">
        <v>208</v>
      </c>
      <c r="B189" s="2">
        <v>2142.0</v>
      </c>
      <c r="C189" s="4"/>
      <c r="E189" s="4" t="str">
        <f t="array" ref="E189">XLOOKUP(proper(A189),'Fintech, Regulatory Arbitrage, '!A:A,'Fintech, Regulatory Arbitrage, '!C:C,"")</f>
        <v/>
      </c>
    </row>
    <row r="190">
      <c r="A190" s="1" t="s">
        <v>209</v>
      </c>
      <c r="B190" s="2">
        <v>2123.0</v>
      </c>
      <c r="C190" s="4"/>
      <c r="E190" s="4" t="str">
        <f t="array" ref="E190">XLOOKUP(proper(A190),'Fintech, Regulatory Arbitrage, '!A:A,'Fintech, Regulatory Arbitrage, '!C:C,"")</f>
        <v/>
      </c>
    </row>
    <row r="191">
      <c r="A191" s="1" t="s">
        <v>210</v>
      </c>
      <c r="B191" s="2">
        <v>2088.0</v>
      </c>
      <c r="C191" s="4"/>
      <c r="E191" s="4" t="str">
        <f t="array" ref="E191">XLOOKUP(proper(A191),'Fintech, Regulatory Arbitrage, '!A:A,'Fintech, Regulatory Arbitrage, '!C:C,"")</f>
        <v/>
      </c>
    </row>
    <row r="192">
      <c r="A192" s="1" t="s">
        <v>211</v>
      </c>
      <c r="B192" s="2">
        <v>2078.0</v>
      </c>
      <c r="C192" s="4"/>
      <c r="E192" s="4" t="str">
        <f t="array" ref="E192">XLOOKUP(proper(A192),'Fintech, Regulatory Arbitrage, '!A:A,'Fintech, Regulatory Arbitrage, '!C:C,"")</f>
        <v/>
      </c>
    </row>
    <row r="193">
      <c r="A193" s="1" t="s">
        <v>212</v>
      </c>
      <c r="B193" s="2">
        <v>2047.0</v>
      </c>
      <c r="C193" s="4"/>
      <c r="E193" s="4" t="str">
        <f t="array" ref="E193">XLOOKUP(proper(A193),'Fintech, Regulatory Arbitrage, '!A:A,'Fintech, Regulatory Arbitrage, '!C:C,"")</f>
        <v/>
      </c>
    </row>
    <row r="194">
      <c r="A194" s="1" t="s">
        <v>213</v>
      </c>
      <c r="B194" s="2">
        <v>2038.0</v>
      </c>
      <c r="C194" s="4"/>
      <c r="E194" s="4" t="str">
        <f t="array" ref="E194">XLOOKUP(proper(A194),'Fintech, Regulatory Arbitrage, '!A:A,'Fintech, Regulatory Arbitrage, '!C:C,"")</f>
        <v/>
      </c>
    </row>
    <row r="195">
      <c r="A195" s="1" t="s">
        <v>214</v>
      </c>
      <c r="B195" s="2">
        <v>2035.0</v>
      </c>
      <c r="C195" s="4"/>
      <c r="E195" s="4" t="str">
        <f t="array" ref="E195">XLOOKUP(proper(A195),'Fintech, Regulatory Arbitrage, '!A:A,'Fintech, Regulatory Arbitrage, '!C:C,"")</f>
        <v/>
      </c>
    </row>
    <row r="196">
      <c r="A196" s="1" t="s">
        <v>215</v>
      </c>
      <c r="B196" s="2">
        <v>2024.0</v>
      </c>
      <c r="C196" s="4"/>
      <c r="E196" s="4" t="str">
        <f t="array" ref="E196">XLOOKUP(proper(A196),'Fintech, Regulatory Arbitrage, '!A:A,'Fintech, Regulatory Arbitrage, '!C:C,"")</f>
        <v/>
      </c>
    </row>
    <row r="197">
      <c r="A197" s="1" t="s">
        <v>216</v>
      </c>
      <c r="B197" s="2">
        <v>1977.0</v>
      </c>
      <c r="C197" s="4"/>
      <c r="E197" s="4" t="str">
        <f t="array" ref="E197">XLOOKUP(proper(A197),'Fintech, Regulatory Arbitrage, '!A:A,'Fintech, Regulatory Arbitrage, '!C:C,"")</f>
        <v/>
      </c>
    </row>
    <row r="198">
      <c r="A198" s="1" t="s">
        <v>217</v>
      </c>
      <c r="B198" s="2">
        <v>1954.0</v>
      </c>
      <c r="C198" s="4"/>
      <c r="E198" s="4" t="str">
        <f t="array" ref="E198">XLOOKUP(proper(A198),'Fintech, Regulatory Arbitrage, '!A:A,'Fintech, Regulatory Arbitrage, '!C:C,"")</f>
        <v/>
      </c>
    </row>
    <row r="199">
      <c r="A199" s="1" t="s">
        <v>218</v>
      </c>
      <c r="B199" s="2">
        <v>1942.0</v>
      </c>
      <c r="C199" s="4"/>
      <c r="E199" s="4" t="str">
        <f t="array" ref="E199">XLOOKUP(proper(A199),'Fintech, Regulatory Arbitrage, '!A:A,'Fintech, Regulatory Arbitrage, '!C:C,"")</f>
        <v/>
      </c>
    </row>
    <row r="200">
      <c r="A200" s="1" t="s">
        <v>219</v>
      </c>
      <c r="B200" s="2">
        <v>1933.0</v>
      </c>
      <c r="C200" s="4"/>
      <c r="E200" s="4" t="str">
        <f t="array" ref="E200">XLOOKUP(proper(A200),'Fintech, Regulatory Arbitrage, '!A:A,'Fintech, Regulatory Arbitrage, '!C:C,"")</f>
        <v/>
      </c>
    </row>
    <row r="201">
      <c r="A201" s="1" t="s">
        <v>220</v>
      </c>
      <c r="B201" s="2">
        <v>1930.0</v>
      </c>
      <c r="C201" s="4"/>
      <c r="E201" s="4" t="str">
        <f t="array" ref="E201">XLOOKUP(proper(A201),'Fintech, Regulatory Arbitrage, '!A:A,'Fintech, Regulatory Arbitrage, '!C:C,"")</f>
        <v/>
      </c>
    </row>
    <row r="202">
      <c r="A202" s="1" t="s">
        <v>221</v>
      </c>
      <c r="B202" s="2">
        <v>1916.0</v>
      </c>
      <c r="C202" s="4"/>
      <c r="E202" s="4" t="str">
        <f t="array" ref="E202">XLOOKUP(proper(A202),'Fintech, Regulatory Arbitrage, '!A:A,'Fintech, Regulatory Arbitrage, '!C:C,"")</f>
        <v/>
      </c>
    </row>
    <row r="203">
      <c r="A203" s="1" t="s">
        <v>222</v>
      </c>
      <c r="B203" s="2">
        <v>1915.0</v>
      </c>
      <c r="C203" s="4"/>
      <c r="E203" s="4" t="str">
        <f t="array" ref="E203">XLOOKUP(proper(A203),'Fintech, Regulatory Arbitrage, '!A:A,'Fintech, Regulatory Arbitrage, '!C:C,"")</f>
        <v/>
      </c>
    </row>
    <row r="204">
      <c r="A204" s="1" t="s">
        <v>223</v>
      </c>
      <c r="B204" s="2">
        <v>1894.0</v>
      </c>
      <c r="C204" s="4"/>
      <c r="E204" s="4" t="str">
        <f t="array" ref="E204">XLOOKUP(proper(A204),'Fintech, Regulatory Arbitrage, '!A:A,'Fintech, Regulatory Arbitrage, '!C:C,"")</f>
        <v/>
      </c>
    </row>
    <row r="205">
      <c r="A205" s="1" t="s">
        <v>224</v>
      </c>
      <c r="B205" s="2">
        <v>1866.0</v>
      </c>
      <c r="C205" s="4"/>
      <c r="E205" s="4" t="str">
        <f t="array" ref="E205">XLOOKUP(proper(A205),'Fintech, Regulatory Arbitrage, '!A:A,'Fintech, Regulatory Arbitrage, '!C:C,"")</f>
        <v/>
      </c>
    </row>
    <row r="206">
      <c r="A206" s="1" t="s">
        <v>225</v>
      </c>
      <c r="B206" s="2">
        <v>1865.0</v>
      </c>
      <c r="C206" s="4"/>
      <c r="E206" s="4" t="str">
        <f t="array" ref="E206">XLOOKUP(proper(A206),'Fintech, Regulatory Arbitrage, '!A:A,'Fintech, Regulatory Arbitrage, '!C:C,"")</f>
        <v/>
      </c>
    </row>
    <row r="207">
      <c r="A207" s="1" t="s">
        <v>226</v>
      </c>
      <c r="B207" s="2">
        <v>1821.0</v>
      </c>
      <c r="C207" s="4"/>
      <c r="E207" s="4" t="str">
        <f t="array" ref="E207">XLOOKUP(proper(A207),'Fintech, Regulatory Arbitrage, '!A:A,'Fintech, Regulatory Arbitrage, '!C:C,"")</f>
        <v/>
      </c>
    </row>
    <row r="208">
      <c r="A208" s="1" t="s">
        <v>227</v>
      </c>
      <c r="B208" s="2">
        <v>1812.0</v>
      </c>
      <c r="C208" s="4"/>
      <c r="E208" s="4" t="str">
        <f t="array" ref="E208">XLOOKUP(proper(A208),'Fintech, Regulatory Arbitrage, '!A:A,'Fintech, Regulatory Arbitrage, '!C:C,"")</f>
        <v/>
      </c>
    </row>
    <row r="209">
      <c r="A209" s="1" t="s">
        <v>228</v>
      </c>
      <c r="B209" s="2">
        <v>1801.0</v>
      </c>
      <c r="C209" s="4"/>
      <c r="E209" s="4" t="str">
        <f t="array" ref="E209">XLOOKUP(proper(A209),'Fintech, Regulatory Arbitrage, '!A:A,'Fintech, Regulatory Arbitrage, '!C:C,"")</f>
        <v/>
      </c>
    </row>
    <row r="210">
      <c r="A210" s="1" t="s">
        <v>229</v>
      </c>
      <c r="B210" s="2">
        <v>1785.0</v>
      </c>
      <c r="C210" s="4"/>
      <c r="E210" s="4" t="str">
        <f t="array" ref="E210">XLOOKUP(proper(A210),'Fintech, Regulatory Arbitrage, '!A:A,'Fintech, Regulatory Arbitrage, '!C:C,"")</f>
        <v/>
      </c>
    </row>
    <row r="211">
      <c r="A211" s="1" t="s">
        <v>230</v>
      </c>
      <c r="B211" s="2">
        <v>1754.0</v>
      </c>
      <c r="C211" s="4"/>
      <c r="E211" s="4" t="str">
        <f t="array" ref="E211">XLOOKUP(proper(A211),'Fintech, Regulatory Arbitrage, '!A:A,'Fintech, Regulatory Arbitrage, '!C:C,"")</f>
        <v/>
      </c>
    </row>
    <row r="212">
      <c r="A212" s="1" t="s">
        <v>231</v>
      </c>
      <c r="B212" s="2">
        <v>1728.0</v>
      </c>
      <c r="C212" s="4"/>
      <c r="E212" s="4" t="str">
        <f t="array" ref="E212">XLOOKUP(proper(A212),'Fintech, Regulatory Arbitrage, '!A:A,'Fintech, Regulatory Arbitrage, '!C:C,"")</f>
        <v/>
      </c>
    </row>
    <row r="213">
      <c r="A213" s="1" t="s">
        <v>232</v>
      </c>
      <c r="B213" s="2">
        <v>1719.0</v>
      </c>
      <c r="C213" s="4"/>
      <c r="E213" s="4" t="str">
        <f t="array" ref="E213">XLOOKUP(proper(A213),'Fintech, Regulatory Arbitrage, '!A:A,'Fintech, Regulatory Arbitrage, '!C:C,"")</f>
        <v/>
      </c>
    </row>
    <row r="214">
      <c r="A214" s="1" t="s">
        <v>233</v>
      </c>
      <c r="B214" s="2">
        <v>1718.0</v>
      </c>
      <c r="C214" s="4"/>
      <c r="E214" s="4" t="str">
        <f t="array" ref="E214">XLOOKUP(proper(A214),'Fintech, Regulatory Arbitrage, '!A:A,'Fintech, Regulatory Arbitrage, '!C:C,"")</f>
        <v/>
      </c>
    </row>
    <row r="215">
      <c r="A215" s="1" t="s">
        <v>234</v>
      </c>
      <c r="B215" s="2">
        <v>1714.0</v>
      </c>
      <c r="C215" s="4"/>
      <c r="E215" s="4" t="str">
        <f t="array" ref="E215">XLOOKUP(proper(A215),'Fintech, Regulatory Arbitrage, '!A:A,'Fintech, Regulatory Arbitrage, '!C:C,"")</f>
        <v/>
      </c>
    </row>
    <row r="216">
      <c r="A216" s="1" t="s">
        <v>235</v>
      </c>
      <c r="B216" s="2">
        <v>1706.0</v>
      </c>
      <c r="C216" s="4"/>
      <c r="E216" s="4" t="str">
        <f t="array" ref="E216">XLOOKUP(proper(A216),'Fintech, Regulatory Arbitrage, '!A:A,'Fintech, Regulatory Arbitrage, '!C:C,"")</f>
        <v/>
      </c>
    </row>
    <row r="217">
      <c r="A217" s="1" t="s">
        <v>236</v>
      </c>
      <c r="B217" s="2">
        <v>1699.0</v>
      </c>
      <c r="C217" s="4"/>
      <c r="E217" s="4" t="str">
        <f t="array" ref="E217">XLOOKUP(proper(A217),'Fintech, Regulatory Arbitrage, '!A:A,'Fintech, Regulatory Arbitrage, '!C:C,"")</f>
        <v/>
      </c>
    </row>
    <row r="218">
      <c r="A218" s="1" t="s">
        <v>237</v>
      </c>
      <c r="B218" s="2">
        <v>1695.0</v>
      </c>
      <c r="C218" s="4"/>
      <c r="E218" s="4" t="str">
        <f t="array" ref="E218">XLOOKUP(proper(A218),'Fintech, Regulatory Arbitrage, '!A:A,'Fintech, Regulatory Arbitrage, '!C:C,"")</f>
        <v/>
      </c>
    </row>
    <row r="219">
      <c r="A219" s="1" t="s">
        <v>238</v>
      </c>
      <c r="B219" s="2">
        <v>1681.0</v>
      </c>
      <c r="C219" s="4"/>
      <c r="E219" s="4" t="str">
        <f t="array" ref="E219">XLOOKUP(proper(A219),'Fintech, Regulatory Arbitrage, '!A:A,'Fintech, Regulatory Arbitrage, '!C:C,"")</f>
        <v/>
      </c>
    </row>
    <row r="220">
      <c r="A220" s="1" t="s">
        <v>239</v>
      </c>
      <c r="B220" s="2">
        <v>1668.0</v>
      </c>
      <c r="C220" s="4"/>
      <c r="E220" s="4" t="str">
        <f t="array" ref="E220">XLOOKUP(proper(A220),'Fintech, Regulatory Arbitrage, '!A:A,'Fintech, Regulatory Arbitrage, '!C:C,"")</f>
        <v/>
      </c>
    </row>
    <row r="221">
      <c r="A221" s="1" t="s">
        <v>240</v>
      </c>
      <c r="B221" s="2">
        <v>1665.0</v>
      </c>
      <c r="C221" s="4"/>
      <c r="E221" s="4" t="str">
        <f t="array" ref="E221">XLOOKUP(proper(A221),'Fintech, Regulatory Arbitrage, '!A:A,'Fintech, Regulatory Arbitrage, '!C:C,"")</f>
        <v/>
      </c>
    </row>
    <row r="222">
      <c r="A222" s="1" t="s">
        <v>241</v>
      </c>
      <c r="B222" s="2">
        <v>1665.0</v>
      </c>
      <c r="C222" s="4"/>
      <c r="E222" s="4" t="str">
        <f t="array" ref="E222">XLOOKUP(proper(A222),'Fintech, Regulatory Arbitrage, '!A:A,'Fintech, Regulatory Arbitrage, '!C:C,"")</f>
        <v/>
      </c>
    </row>
    <row r="223">
      <c r="A223" s="1" t="s">
        <v>242</v>
      </c>
      <c r="B223" s="2">
        <v>1662.0</v>
      </c>
      <c r="C223" s="4"/>
      <c r="E223" s="4" t="str">
        <f t="array" ref="E223">XLOOKUP(proper(A223),'Fintech, Regulatory Arbitrage, '!A:A,'Fintech, Regulatory Arbitrage, '!C:C,"")</f>
        <v/>
      </c>
    </row>
    <row r="224">
      <c r="A224" s="1" t="s">
        <v>243</v>
      </c>
      <c r="B224" s="2">
        <v>1636.0</v>
      </c>
      <c r="C224" s="4"/>
      <c r="E224" s="4" t="str">
        <f t="array" ref="E224">XLOOKUP(proper(A224),'Fintech, Regulatory Arbitrage, '!A:A,'Fintech, Regulatory Arbitrage, '!C:C,"")</f>
        <v/>
      </c>
    </row>
    <row r="225">
      <c r="A225" s="1" t="s">
        <v>244</v>
      </c>
      <c r="B225" s="2">
        <v>1623.0</v>
      </c>
      <c r="C225" s="4"/>
      <c r="E225" s="4" t="str">
        <f t="array" ref="E225">XLOOKUP(proper(A225),'Fintech, Regulatory Arbitrage, '!A:A,'Fintech, Regulatory Arbitrage, '!C:C,"")</f>
        <v/>
      </c>
    </row>
    <row r="226">
      <c r="A226" s="1" t="s">
        <v>245</v>
      </c>
      <c r="B226" s="2">
        <v>1619.0</v>
      </c>
      <c r="C226" s="3" t="s">
        <v>20</v>
      </c>
      <c r="E226" s="4" t="str">
        <f t="array" ref="E226">XLOOKUP(proper(A226),'Fintech, Regulatory Arbitrage, '!A:A,'Fintech, Regulatory Arbitrage, '!C:C,"")</f>
        <v/>
      </c>
    </row>
    <row r="227">
      <c r="A227" s="1" t="s">
        <v>246</v>
      </c>
      <c r="B227" s="2">
        <v>1617.0</v>
      </c>
      <c r="C227" s="4"/>
      <c r="E227" s="4" t="str">
        <f t="array" ref="E227">XLOOKUP(proper(A227),'Fintech, Regulatory Arbitrage, '!A:A,'Fintech, Regulatory Arbitrage, '!C:C,"")</f>
        <v/>
      </c>
    </row>
    <row r="228">
      <c r="A228" s="1" t="s">
        <v>247</v>
      </c>
      <c r="B228" s="2">
        <v>1595.0</v>
      </c>
      <c r="C228" s="4"/>
      <c r="E228" s="4" t="str">
        <f t="array" ref="E228">XLOOKUP(proper(A228),'Fintech, Regulatory Arbitrage, '!A:A,'Fintech, Regulatory Arbitrage, '!C:C,"")</f>
        <v/>
      </c>
    </row>
    <row r="229">
      <c r="A229" s="1" t="s">
        <v>248</v>
      </c>
      <c r="B229" s="2">
        <v>1589.0</v>
      </c>
      <c r="C229" s="4"/>
      <c r="E229" s="4" t="str">
        <f t="array" ref="E229">XLOOKUP(proper(A229),'Fintech, Regulatory Arbitrage, '!A:A,'Fintech, Regulatory Arbitrage, '!C:C,"")</f>
        <v/>
      </c>
    </row>
    <row r="230">
      <c r="A230" s="1" t="s">
        <v>249</v>
      </c>
      <c r="B230" s="2">
        <v>1583.0</v>
      </c>
      <c r="C230" s="4"/>
      <c r="E230" s="4" t="str">
        <f t="array" ref="E230">XLOOKUP(proper(A230),'Fintech, Regulatory Arbitrage, '!A:A,'Fintech, Regulatory Arbitrage, '!C:C,"")</f>
        <v/>
      </c>
    </row>
    <row r="231">
      <c r="A231" s="1" t="s">
        <v>250</v>
      </c>
      <c r="B231" s="2">
        <v>1575.0</v>
      </c>
      <c r="C231" s="4"/>
      <c r="E231" s="4" t="str">
        <f t="array" ref="E231">XLOOKUP(proper(A231),'Fintech, Regulatory Arbitrage, '!A:A,'Fintech, Regulatory Arbitrage, '!C:C,"")</f>
        <v/>
      </c>
    </row>
    <row r="232">
      <c r="A232" s="1" t="s">
        <v>251</v>
      </c>
      <c r="B232" s="2">
        <v>1574.0</v>
      </c>
      <c r="C232" s="4"/>
      <c r="E232" s="4" t="str">
        <f t="array" ref="E232">XLOOKUP(proper(A232),'Fintech, Regulatory Arbitrage, '!A:A,'Fintech, Regulatory Arbitrage, '!C:C,"")</f>
        <v/>
      </c>
    </row>
    <row r="233">
      <c r="A233" s="1" t="s">
        <v>252</v>
      </c>
      <c r="B233" s="2">
        <v>1569.0</v>
      </c>
      <c r="C233" s="4"/>
      <c r="E233" s="4" t="str">
        <f t="array" ref="E233">XLOOKUP(proper(A233),'Fintech, Regulatory Arbitrage, '!A:A,'Fintech, Regulatory Arbitrage, '!C:C,"")</f>
        <v/>
      </c>
    </row>
    <row r="234">
      <c r="A234" s="1" t="s">
        <v>253</v>
      </c>
      <c r="B234" s="2">
        <v>1545.0</v>
      </c>
      <c r="C234" s="4"/>
      <c r="E234" s="4" t="str">
        <f t="array" ref="E234">XLOOKUP(proper(A234),'Fintech, Regulatory Arbitrage, '!A:A,'Fintech, Regulatory Arbitrage, '!C:C,"")</f>
        <v/>
      </c>
    </row>
    <row r="235">
      <c r="A235" s="1" t="s">
        <v>254</v>
      </c>
      <c r="B235" s="2">
        <v>1538.0</v>
      </c>
      <c r="C235" s="4"/>
      <c r="E235" s="4" t="str">
        <f t="array" ref="E235">XLOOKUP(proper(A235),'Fintech, Regulatory Arbitrage, '!A:A,'Fintech, Regulatory Arbitrage, '!C:C,"")</f>
        <v/>
      </c>
    </row>
    <row r="236">
      <c r="A236" s="1" t="s">
        <v>255</v>
      </c>
      <c r="B236" s="2">
        <v>1523.0</v>
      </c>
      <c r="C236" s="4"/>
      <c r="E236" s="4" t="str">
        <f t="array" ref="E236">XLOOKUP(proper(A236),'Fintech, Regulatory Arbitrage, '!A:A,'Fintech, Regulatory Arbitrage, '!C:C,"")</f>
        <v/>
      </c>
    </row>
    <row r="237">
      <c r="A237" s="1" t="s">
        <v>256</v>
      </c>
      <c r="B237" s="2">
        <v>1512.0</v>
      </c>
      <c r="C237" s="4"/>
      <c r="E237" s="4" t="str">
        <f t="array" ref="E237">XLOOKUP(proper(A237),'Fintech, Regulatory Arbitrage, '!A:A,'Fintech, Regulatory Arbitrage, '!C:C,"")</f>
        <v/>
      </c>
    </row>
    <row r="238">
      <c r="A238" s="1" t="s">
        <v>257</v>
      </c>
      <c r="B238" s="2">
        <v>1503.0</v>
      </c>
      <c r="C238" s="4"/>
      <c r="E238" s="4" t="str">
        <f t="array" ref="E238">XLOOKUP(proper(A238),'Fintech, Regulatory Arbitrage, '!A:A,'Fintech, Regulatory Arbitrage, '!C:C,"")</f>
        <v/>
      </c>
    </row>
    <row r="239">
      <c r="A239" s="1" t="s">
        <v>258</v>
      </c>
      <c r="B239" s="2">
        <v>1487.0</v>
      </c>
      <c r="C239" s="4"/>
      <c r="E239" s="4" t="str">
        <f t="array" ref="E239">XLOOKUP(proper(A239),'Fintech, Regulatory Arbitrage, '!A:A,'Fintech, Regulatory Arbitrage, '!C:C,"")</f>
        <v/>
      </c>
    </row>
    <row r="240">
      <c r="A240" s="1" t="s">
        <v>259</v>
      </c>
      <c r="B240" s="2">
        <v>1485.0</v>
      </c>
      <c r="C240" s="4"/>
      <c r="E240" s="4" t="str">
        <f t="array" ref="E240">XLOOKUP(proper(A240),'Fintech, Regulatory Arbitrage, '!A:A,'Fintech, Regulatory Arbitrage, '!C:C,"")</f>
        <v/>
      </c>
    </row>
    <row r="241">
      <c r="A241" s="1" t="s">
        <v>260</v>
      </c>
      <c r="B241" s="2">
        <v>1476.0</v>
      </c>
      <c r="C241" s="4"/>
      <c r="E241" s="4" t="str">
        <f t="array" ref="E241">XLOOKUP(proper(A241),'Fintech, Regulatory Arbitrage, '!A:A,'Fintech, Regulatory Arbitrage, '!C:C,"")</f>
        <v/>
      </c>
    </row>
    <row r="242">
      <c r="A242" s="1" t="s">
        <v>261</v>
      </c>
      <c r="B242" s="2">
        <v>1472.0</v>
      </c>
      <c r="C242" s="4"/>
      <c r="E242" s="4" t="str">
        <f t="array" ref="E242">XLOOKUP(proper(A242),'Fintech, Regulatory Arbitrage, '!A:A,'Fintech, Regulatory Arbitrage, '!C:C,"")</f>
        <v/>
      </c>
    </row>
    <row r="243">
      <c r="A243" s="1" t="s">
        <v>262</v>
      </c>
      <c r="B243" s="2">
        <v>1429.0</v>
      </c>
      <c r="C243" s="4"/>
      <c r="E243" s="4" t="str">
        <f t="array" ref="E243">XLOOKUP(proper(A243),'Fintech, Regulatory Arbitrage, '!A:A,'Fintech, Regulatory Arbitrage, '!C:C,"")</f>
        <v/>
      </c>
    </row>
    <row r="244">
      <c r="A244" s="1" t="s">
        <v>263</v>
      </c>
      <c r="B244" s="2">
        <v>1427.0</v>
      </c>
      <c r="C244" s="4"/>
      <c r="E244" s="4" t="str">
        <f t="array" ref="E244">XLOOKUP(proper(A244),'Fintech, Regulatory Arbitrage, '!A:A,'Fintech, Regulatory Arbitrage, '!C:C,"")</f>
        <v/>
      </c>
    </row>
    <row r="245">
      <c r="A245" s="1" t="s">
        <v>264</v>
      </c>
      <c r="B245" s="2">
        <v>1414.0</v>
      </c>
      <c r="C245" s="4"/>
      <c r="E245" s="4" t="str">
        <f t="array" ref="E245">XLOOKUP(proper(A245),'Fintech, Regulatory Arbitrage, '!A:A,'Fintech, Regulatory Arbitrage, '!C:C,"")</f>
        <v/>
      </c>
    </row>
    <row r="246">
      <c r="A246" s="1" t="s">
        <v>265</v>
      </c>
      <c r="B246" s="2">
        <v>1408.0</v>
      </c>
      <c r="C246" s="4"/>
      <c r="E246" s="4" t="str">
        <f t="array" ref="E246">XLOOKUP(proper(A246),'Fintech, Regulatory Arbitrage, '!A:A,'Fintech, Regulatory Arbitrage, '!C:C,"")</f>
        <v/>
      </c>
    </row>
    <row r="247">
      <c r="A247" s="1" t="s">
        <v>266</v>
      </c>
      <c r="B247" s="2">
        <v>1405.0</v>
      </c>
      <c r="C247" s="4"/>
      <c r="E247" s="4" t="str">
        <f t="array" ref="E247">XLOOKUP(proper(A247),'Fintech, Regulatory Arbitrage, '!A:A,'Fintech, Regulatory Arbitrage, '!C:C,"")</f>
        <v/>
      </c>
    </row>
    <row r="248">
      <c r="A248" s="1" t="s">
        <v>267</v>
      </c>
      <c r="B248" s="2">
        <v>1400.0</v>
      </c>
      <c r="C248" s="4"/>
      <c r="E248" s="4" t="str">
        <f t="array" ref="E248">XLOOKUP(proper(A248),'Fintech, Regulatory Arbitrage, '!A:A,'Fintech, Regulatory Arbitrage, '!C:C,"")</f>
        <v/>
      </c>
    </row>
    <row r="249">
      <c r="A249" s="1" t="s">
        <v>268</v>
      </c>
      <c r="B249" s="2">
        <v>1398.0</v>
      </c>
      <c r="C249" s="4"/>
      <c r="E249" s="4" t="str">
        <f t="array" ref="E249">XLOOKUP(proper(A249),'Fintech, Regulatory Arbitrage, '!A:A,'Fintech, Regulatory Arbitrage, '!C:C,"")</f>
        <v/>
      </c>
    </row>
    <row r="250">
      <c r="A250" s="1" t="s">
        <v>269</v>
      </c>
      <c r="B250" s="2">
        <v>1395.0</v>
      </c>
      <c r="C250" s="4"/>
      <c r="E250" s="4" t="str">
        <f t="array" ref="E250">XLOOKUP(proper(A250),'Fintech, Regulatory Arbitrage, '!A:A,'Fintech, Regulatory Arbitrage, '!C:C,"")</f>
        <v/>
      </c>
    </row>
    <row r="251">
      <c r="A251" s="1" t="s">
        <v>270</v>
      </c>
      <c r="B251" s="2">
        <v>1391.0</v>
      </c>
      <c r="C251" s="4"/>
      <c r="E251" s="4" t="str">
        <f t="array" ref="E251">XLOOKUP(proper(A251),'Fintech, Regulatory Arbitrage, '!A:A,'Fintech, Regulatory Arbitrage, '!C:C,"")</f>
        <v/>
      </c>
    </row>
    <row r="252">
      <c r="A252" s="1" t="s">
        <v>271</v>
      </c>
      <c r="B252" s="2">
        <v>1383.0</v>
      </c>
      <c r="C252" s="4"/>
      <c r="E252" s="4" t="str">
        <f t="array" ref="E252">XLOOKUP(proper(A252),'Fintech, Regulatory Arbitrage, '!A:A,'Fintech, Regulatory Arbitrage, '!C:C,"")</f>
        <v/>
      </c>
    </row>
    <row r="253">
      <c r="A253" s="1" t="s">
        <v>272</v>
      </c>
      <c r="B253" s="2">
        <v>1379.0</v>
      </c>
      <c r="C253" s="4"/>
      <c r="E253" s="4" t="str">
        <f t="array" ref="E253">XLOOKUP(proper(A253),'Fintech, Regulatory Arbitrage, '!A:A,'Fintech, Regulatory Arbitrage, '!C:C,"")</f>
        <v/>
      </c>
    </row>
    <row r="254">
      <c r="A254" s="1" t="s">
        <v>273</v>
      </c>
      <c r="B254" s="2">
        <v>1362.0</v>
      </c>
      <c r="C254" s="4"/>
      <c r="E254" s="4" t="str">
        <f t="array" ref="E254">XLOOKUP(proper(A254),'Fintech, Regulatory Arbitrage, '!A:A,'Fintech, Regulatory Arbitrage, '!C:C,"")</f>
        <v/>
      </c>
    </row>
    <row r="255">
      <c r="A255" s="1" t="s">
        <v>274</v>
      </c>
      <c r="B255" s="2">
        <v>1352.0</v>
      </c>
      <c r="C255" s="4"/>
      <c r="E255" s="4" t="str">
        <f t="array" ref="E255">XLOOKUP(proper(A255),'Fintech, Regulatory Arbitrage, '!A:A,'Fintech, Regulatory Arbitrage, '!C:C,"")</f>
        <v/>
      </c>
    </row>
    <row r="256">
      <c r="A256" s="1" t="s">
        <v>275</v>
      </c>
      <c r="B256" s="2">
        <v>1351.0</v>
      </c>
      <c r="C256" s="4"/>
      <c r="E256" s="4" t="str">
        <f t="array" ref="E256">XLOOKUP(proper(A256),'Fintech, Regulatory Arbitrage, '!A:A,'Fintech, Regulatory Arbitrage, '!C:C,"")</f>
        <v/>
      </c>
    </row>
    <row r="257">
      <c r="A257" s="1" t="s">
        <v>276</v>
      </c>
      <c r="B257" s="2">
        <v>1348.0</v>
      </c>
      <c r="C257" s="4"/>
      <c r="E257" s="4" t="str">
        <f t="array" ref="E257">XLOOKUP(proper(A257),'Fintech, Regulatory Arbitrage, '!A:A,'Fintech, Regulatory Arbitrage, '!C:C,"")</f>
        <v/>
      </c>
    </row>
    <row r="258">
      <c r="A258" s="1" t="s">
        <v>277</v>
      </c>
      <c r="B258" s="2">
        <v>1340.0</v>
      </c>
      <c r="C258" s="4"/>
      <c r="E258" s="4" t="str">
        <f t="array" ref="E258">XLOOKUP(proper(A258),'Fintech, Regulatory Arbitrage, '!A:A,'Fintech, Regulatory Arbitrage, '!C:C,"")</f>
        <v/>
      </c>
    </row>
    <row r="259">
      <c r="A259" s="1" t="s">
        <v>278</v>
      </c>
      <c r="B259" s="2">
        <v>1329.0</v>
      </c>
      <c r="C259" s="4"/>
      <c r="E259" s="4" t="str">
        <f t="array" ref="E259">XLOOKUP(proper(A259),'Fintech, Regulatory Arbitrage, '!A:A,'Fintech, Regulatory Arbitrage, '!C:C,"")</f>
        <v/>
      </c>
    </row>
    <row r="260">
      <c r="A260" s="1" t="s">
        <v>279</v>
      </c>
      <c r="B260" s="2">
        <v>1312.0</v>
      </c>
      <c r="C260" s="4"/>
      <c r="E260" s="4" t="str">
        <f t="array" ref="E260">XLOOKUP(proper(A260),'Fintech, Regulatory Arbitrage, '!A:A,'Fintech, Regulatory Arbitrage, '!C:C,"")</f>
        <v/>
      </c>
    </row>
    <row r="261">
      <c r="A261" s="1" t="s">
        <v>280</v>
      </c>
      <c r="B261" s="2">
        <v>1298.0</v>
      </c>
      <c r="C261" s="4"/>
      <c r="E261" s="4" t="str">
        <f t="array" ref="E261">XLOOKUP(proper(A261),'Fintech, Regulatory Arbitrage, '!A:A,'Fintech, Regulatory Arbitrage, '!C:C,"")</f>
        <v/>
      </c>
    </row>
    <row r="262">
      <c r="A262" s="1" t="s">
        <v>281</v>
      </c>
      <c r="B262" s="2">
        <v>1289.0</v>
      </c>
      <c r="C262" s="4"/>
      <c r="E262" s="4" t="str">
        <f t="array" ref="E262">XLOOKUP(proper(A262),'Fintech, Regulatory Arbitrage, '!A:A,'Fintech, Regulatory Arbitrage, '!C:C,"")</f>
        <v/>
      </c>
    </row>
    <row r="263">
      <c r="A263" s="1" t="s">
        <v>282</v>
      </c>
      <c r="B263" s="2">
        <v>1283.0</v>
      </c>
      <c r="C263" s="4"/>
      <c r="E263" s="4" t="str">
        <f t="array" ref="E263">XLOOKUP(proper(A263),'Fintech, Regulatory Arbitrage, '!A:A,'Fintech, Regulatory Arbitrage, '!C:C,"")</f>
        <v/>
      </c>
    </row>
    <row r="264">
      <c r="A264" s="1" t="s">
        <v>283</v>
      </c>
      <c r="B264" s="2">
        <v>1273.0</v>
      </c>
      <c r="C264" s="4"/>
      <c r="E264" s="4" t="str">
        <f t="array" ref="E264">XLOOKUP(proper(A264),'Fintech, Regulatory Arbitrage, '!A:A,'Fintech, Regulatory Arbitrage, '!C:C,"")</f>
        <v/>
      </c>
    </row>
    <row r="265">
      <c r="A265" s="1" t="s">
        <v>284</v>
      </c>
      <c r="B265" s="2">
        <v>1264.0</v>
      </c>
      <c r="C265" s="4"/>
      <c r="E265" s="4" t="str">
        <f t="array" ref="E265">XLOOKUP(proper(A265),'Fintech, Regulatory Arbitrage, '!A:A,'Fintech, Regulatory Arbitrage, '!C:C,"")</f>
        <v/>
      </c>
    </row>
    <row r="266">
      <c r="A266" s="1" t="s">
        <v>285</v>
      </c>
      <c r="B266" s="2">
        <v>1263.0</v>
      </c>
      <c r="C266" s="4"/>
      <c r="E266" s="4" t="str">
        <f t="array" ref="E266">XLOOKUP(proper(A266),'Fintech, Regulatory Arbitrage, '!A:A,'Fintech, Regulatory Arbitrage, '!C:C,"")</f>
        <v/>
      </c>
    </row>
    <row r="267">
      <c r="A267" s="1" t="s">
        <v>286</v>
      </c>
      <c r="B267" s="2">
        <v>1258.0</v>
      </c>
      <c r="C267" s="4"/>
      <c r="E267" s="4" t="str">
        <f t="array" ref="E267">XLOOKUP(proper(A267),'Fintech, Regulatory Arbitrage, '!A:A,'Fintech, Regulatory Arbitrage, '!C:C,"")</f>
        <v/>
      </c>
    </row>
    <row r="268">
      <c r="A268" s="1" t="s">
        <v>287</v>
      </c>
      <c r="B268" s="2">
        <v>1257.0</v>
      </c>
      <c r="C268" s="4"/>
      <c r="E268" s="4" t="str">
        <f t="array" ref="E268">XLOOKUP(proper(A268),'Fintech, Regulatory Arbitrage, '!A:A,'Fintech, Regulatory Arbitrage, '!C:C,"")</f>
        <v/>
      </c>
    </row>
    <row r="269">
      <c r="A269" s="1" t="s">
        <v>288</v>
      </c>
      <c r="B269" s="2">
        <v>1255.0</v>
      </c>
      <c r="C269" s="4"/>
      <c r="E269" s="4" t="str">
        <f t="array" ref="E269">XLOOKUP(proper(A269),'Fintech, Regulatory Arbitrage, '!A:A,'Fintech, Regulatory Arbitrage, '!C:C,"")</f>
        <v/>
      </c>
    </row>
    <row r="270">
      <c r="A270" s="1" t="s">
        <v>289</v>
      </c>
      <c r="B270" s="2">
        <v>1252.0</v>
      </c>
      <c r="C270" s="4"/>
      <c r="E270" s="4" t="str">
        <f t="array" ref="E270">XLOOKUP(proper(A270),'Fintech, Regulatory Arbitrage, '!A:A,'Fintech, Regulatory Arbitrage, '!C:C,"")</f>
        <v/>
      </c>
    </row>
    <row r="271">
      <c r="A271" s="1" t="s">
        <v>290</v>
      </c>
      <c r="B271" s="2">
        <v>1248.0</v>
      </c>
      <c r="C271" s="4"/>
      <c r="E271" s="4" t="str">
        <f t="array" ref="E271">XLOOKUP(proper(A271),'Fintech, Regulatory Arbitrage, '!A:A,'Fintech, Regulatory Arbitrage, '!C:C,"")</f>
        <v/>
      </c>
    </row>
    <row r="272">
      <c r="A272" s="1" t="s">
        <v>291</v>
      </c>
      <c r="B272" s="2">
        <v>1242.0</v>
      </c>
      <c r="C272" s="4"/>
      <c r="E272" s="4" t="str">
        <f t="array" ref="E272">XLOOKUP(proper(A272),'Fintech, Regulatory Arbitrage, '!A:A,'Fintech, Regulatory Arbitrage, '!C:C,"")</f>
        <v/>
      </c>
    </row>
    <row r="273">
      <c r="A273" s="1" t="s">
        <v>292</v>
      </c>
      <c r="B273" s="2">
        <v>1240.0</v>
      </c>
      <c r="C273" s="4"/>
      <c r="E273" s="4" t="str">
        <f t="array" ref="E273">XLOOKUP(proper(A273),'Fintech, Regulatory Arbitrage, '!A:A,'Fintech, Regulatory Arbitrage, '!C:C,"")</f>
        <v/>
      </c>
    </row>
    <row r="274">
      <c r="A274" s="1" t="s">
        <v>293</v>
      </c>
      <c r="B274" s="2">
        <v>1236.0</v>
      </c>
      <c r="C274" s="3" t="s">
        <v>20</v>
      </c>
      <c r="E274" s="4" t="str">
        <f t="array" ref="E274">XLOOKUP(proper(A274),'Fintech, Regulatory Arbitrage, '!A:A,'Fintech, Regulatory Arbitrage, '!C:C,"")</f>
        <v/>
      </c>
    </row>
    <row r="275">
      <c r="A275" s="1" t="s">
        <v>294</v>
      </c>
      <c r="B275" s="2">
        <v>1231.0</v>
      </c>
      <c r="C275" s="4"/>
      <c r="E275" s="4" t="str">
        <f t="array" ref="E275">XLOOKUP(proper(A275),'Fintech, Regulatory Arbitrage, '!A:A,'Fintech, Regulatory Arbitrage, '!C:C,"")</f>
        <v/>
      </c>
    </row>
    <row r="276">
      <c r="A276" s="1" t="s">
        <v>295</v>
      </c>
      <c r="B276" s="2">
        <v>1230.0</v>
      </c>
      <c r="C276" s="4"/>
      <c r="E276" s="4" t="str">
        <f t="array" ref="E276">XLOOKUP(proper(A276),'Fintech, Regulatory Arbitrage, '!A:A,'Fintech, Regulatory Arbitrage, '!C:C,"")</f>
        <v/>
      </c>
    </row>
    <row r="277">
      <c r="A277" s="1" t="s">
        <v>296</v>
      </c>
      <c r="B277" s="2">
        <v>1229.0</v>
      </c>
      <c r="C277" s="4"/>
      <c r="E277" s="4" t="str">
        <f t="array" ref="E277">XLOOKUP(proper(A277),'Fintech, Regulatory Arbitrage, '!A:A,'Fintech, Regulatory Arbitrage, '!C:C,"")</f>
        <v/>
      </c>
    </row>
    <row r="278">
      <c r="A278" s="1" t="s">
        <v>297</v>
      </c>
      <c r="B278" s="2">
        <v>1224.0</v>
      </c>
      <c r="C278" s="4"/>
      <c r="E278" s="4" t="str">
        <f t="array" ref="E278">XLOOKUP(proper(A278),'Fintech, Regulatory Arbitrage, '!A:A,'Fintech, Regulatory Arbitrage, '!C:C,"")</f>
        <v/>
      </c>
    </row>
    <row r="279">
      <c r="A279" s="1" t="s">
        <v>298</v>
      </c>
      <c r="B279" s="2">
        <v>1221.0</v>
      </c>
      <c r="C279" s="4"/>
      <c r="E279" s="4" t="str">
        <f t="array" ref="E279">XLOOKUP(proper(A279),'Fintech, Regulatory Arbitrage, '!A:A,'Fintech, Regulatory Arbitrage, '!C:C,"")</f>
        <v/>
      </c>
    </row>
    <row r="280">
      <c r="A280" s="1" t="s">
        <v>299</v>
      </c>
      <c r="B280" s="2">
        <v>1216.0</v>
      </c>
      <c r="C280" s="4"/>
      <c r="E280" s="4" t="str">
        <f t="array" ref="E280">XLOOKUP(proper(A280),'Fintech, Regulatory Arbitrage, '!A:A,'Fintech, Regulatory Arbitrage, '!C:C,"")</f>
        <v/>
      </c>
    </row>
    <row r="281">
      <c r="A281" s="1" t="s">
        <v>300</v>
      </c>
      <c r="B281" s="2">
        <v>1214.0</v>
      </c>
      <c r="C281" s="4"/>
      <c r="E281" s="4" t="str">
        <f t="array" ref="E281">XLOOKUP(proper(A281),'Fintech, Regulatory Arbitrage, '!A:A,'Fintech, Regulatory Arbitrage, '!C:C,"")</f>
        <v/>
      </c>
    </row>
    <row r="282">
      <c r="A282" s="1" t="s">
        <v>301</v>
      </c>
      <c r="B282" s="2">
        <v>1213.0</v>
      </c>
      <c r="C282" s="4"/>
      <c r="E282" s="4" t="str">
        <f t="array" ref="E282">XLOOKUP(proper(A282),'Fintech, Regulatory Arbitrage, '!A:A,'Fintech, Regulatory Arbitrage, '!C:C,"")</f>
        <v/>
      </c>
    </row>
    <row r="283">
      <c r="A283" s="1" t="s">
        <v>302</v>
      </c>
      <c r="B283" s="2">
        <v>1203.0</v>
      </c>
      <c r="C283" s="4"/>
      <c r="E283" s="4" t="str">
        <f t="array" ref="E283">XLOOKUP(proper(A283),'Fintech, Regulatory Arbitrage, '!A:A,'Fintech, Regulatory Arbitrage, '!C:C,"")</f>
        <v/>
      </c>
    </row>
    <row r="284">
      <c r="A284" s="1" t="s">
        <v>303</v>
      </c>
      <c r="B284" s="2">
        <v>1202.0</v>
      </c>
      <c r="C284" s="4"/>
      <c r="E284" s="4" t="str">
        <f t="array" ref="E284">XLOOKUP(proper(A284),'Fintech, Regulatory Arbitrage, '!A:A,'Fintech, Regulatory Arbitrage, '!C:C,"")</f>
        <v/>
      </c>
    </row>
    <row r="285">
      <c r="A285" s="1" t="s">
        <v>304</v>
      </c>
      <c r="B285" s="2">
        <v>1194.0</v>
      </c>
      <c r="C285" s="4"/>
      <c r="E285" s="4" t="str">
        <f t="array" ref="E285">XLOOKUP(proper(A285),'Fintech, Regulatory Arbitrage, '!A:A,'Fintech, Regulatory Arbitrage, '!C:C,"")</f>
        <v/>
      </c>
    </row>
    <row r="286">
      <c r="A286" s="1" t="s">
        <v>305</v>
      </c>
      <c r="B286" s="2">
        <v>1190.0</v>
      </c>
      <c r="C286" s="4"/>
      <c r="E286" s="4" t="str">
        <f t="array" ref="E286">XLOOKUP(proper(A286),'Fintech, Regulatory Arbitrage, '!A:A,'Fintech, Regulatory Arbitrage, '!C:C,"")</f>
        <v/>
      </c>
    </row>
    <row r="287">
      <c r="A287" s="1" t="s">
        <v>306</v>
      </c>
      <c r="B287" s="2">
        <v>1188.0</v>
      </c>
      <c r="C287" s="4"/>
      <c r="E287" s="4" t="str">
        <f t="array" ref="E287">XLOOKUP(proper(A287),'Fintech, Regulatory Arbitrage, '!A:A,'Fintech, Regulatory Arbitrage, '!C:C,"")</f>
        <v/>
      </c>
    </row>
    <row r="288">
      <c r="A288" s="1" t="s">
        <v>307</v>
      </c>
      <c r="B288" s="2">
        <v>1182.0</v>
      </c>
      <c r="C288" s="4"/>
      <c r="E288" s="4" t="str">
        <f t="array" ref="E288">XLOOKUP(proper(A288),'Fintech, Regulatory Arbitrage, '!A:A,'Fintech, Regulatory Arbitrage, '!C:C,"")</f>
        <v/>
      </c>
    </row>
    <row r="289">
      <c r="A289" s="1" t="s">
        <v>308</v>
      </c>
      <c r="B289" s="2">
        <v>1181.0</v>
      </c>
      <c r="C289" s="4"/>
      <c r="E289" s="4" t="str">
        <f t="array" ref="E289">XLOOKUP(proper(A289),'Fintech, Regulatory Arbitrage, '!A:A,'Fintech, Regulatory Arbitrage, '!C:C,"")</f>
        <v/>
      </c>
    </row>
    <row r="290">
      <c r="A290" s="1" t="s">
        <v>309</v>
      </c>
      <c r="B290" s="2">
        <v>1173.0</v>
      </c>
      <c r="C290" s="4"/>
      <c r="E290" s="4" t="str">
        <f t="array" ref="E290">XLOOKUP(proper(A290),'Fintech, Regulatory Arbitrage, '!A:A,'Fintech, Regulatory Arbitrage, '!C:C,"")</f>
        <v/>
      </c>
    </row>
    <row r="291">
      <c r="A291" s="1" t="s">
        <v>310</v>
      </c>
      <c r="B291" s="2">
        <v>1155.0</v>
      </c>
      <c r="C291" s="4"/>
      <c r="E291" s="4" t="str">
        <f t="array" ref="E291">XLOOKUP(proper(A291),'Fintech, Regulatory Arbitrage, '!A:A,'Fintech, Regulatory Arbitrage, '!C:C,"")</f>
        <v/>
      </c>
    </row>
    <row r="292">
      <c r="A292" s="1" t="s">
        <v>311</v>
      </c>
      <c r="B292" s="2">
        <v>1154.0</v>
      </c>
      <c r="C292" s="4"/>
      <c r="E292" s="4" t="str">
        <f t="array" ref="E292">XLOOKUP(proper(A292),'Fintech, Regulatory Arbitrage, '!A:A,'Fintech, Regulatory Arbitrage, '!C:C,"")</f>
        <v/>
      </c>
    </row>
    <row r="293">
      <c r="A293" s="1" t="s">
        <v>312</v>
      </c>
      <c r="B293" s="2">
        <v>1151.0</v>
      </c>
      <c r="C293" s="4"/>
      <c r="E293" s="4" t="str">
        <f t="array" ref="E293">XLOOKUP(proper(A293),'Fintech, Regulatory Arbitrage, '!A:A,'Fintech, Regulatory Arbitrage, '!C:C,"")</f>
        <v/>
      </c>
    </row>
    <row r="294">
      <c r="A294" s="1" t="s">
        <v>313</v>
      </c>
      <c r="B294" s="2">
        <v>1146.0</v>
      </c>
      <c r="C294" s="4"/>
      <c r="E294" s="4" t="str">
        <f t="array" ref="E294">XLOOKUP(proper(A294),'Fintech, Regulatory Arbitrage, '!A:A,'Fintech, Regulatory Arbitrage, '!C:C,"")</f>
        <v/>
      </c>
    </row>
    <row r="295">
      <c r="A295" s="1" t="s">
        <v>314</v>
      </c>
      <c r="B295" s="2">
        <v>1138.0</v>
      </c>
      <c r="C295" s="4"/>
      <c r="E295" s="4" t="str">
        <f t="array" ref="E295">XLOOKUP(proper(A295),'Fintech, Regulatory Arbitrage, '!A:A,'Fintech, Regulatory Arbitrage, '!C:C,"")</f>
        <v/>
      </c>
    </row>
    <row r="296">
      <c r="A296" s="1" t="s">
        <v>315</v>
      </c>
      <c r="B296" s="2">
        <v>1123.0</v>
      </c>
      <c r="C296" s="4"/>
      <c r="E296" s="4" t="str">
        <f t="array" ref="E296">XLOOKUP(proper(A296),'Fintech, Regulatory Arbitrage, '!A:A,'Fintech, Regulatory Arbitrage, '!C:C,"")</f>
        <v/>
      </c>
    </row>
    <row r="297">
      <c r="A297" s="1" t="s">
        <v>316</v>
      </c>
      <c r="B297" s="2">
        <v>1119.0</v>
      </c>
      <c r="C297" s="4"/>
      <c r="E297" s="4" t="str">
        <f t="array" ref="E297">XLOOKUP(proper(A297),'Fintech, Regulatory Arbitrage, '!A:A,'Fintech, Regulatory Arbitrage, '!C:C,"")</f>
        <v/>
      </c>
    </row>
    <row r="298">
      <c r="A298" s="1" t="s">
        <v>317</v>
      </c>
      <c r="B298" s="2">
        <v>1107.0</v>
      </c>
      <c r="C298" s="4"/>
      <c r="E298" s="4" t="str">
        <f t="array" ref="E298">XLOOKUP(proper(A298),'Fintech, Regulatory Arbitrage, '!A:A,'Fintech, Regulatory Arbitrage, '!C:C,"")</f>
        <v/>
      </c>
    </row>
    <row r="299">
      <c r="A299" s="1" t="s">
        <v>318</v>
      </c>
      <c r="B299" s="2">
        <v>1104.0</v>
      </c>
      <c r="C299" s="4"/>
      <c r="E299" s="4" t="str">
        <f t="array" ref="E299">XLOOKUP(proper(A299),'Fintech, Regulatory Arbitrage, '!A:A,'Fintech, Regulatory Arbitrage, '!C:C,"")</f>
        <v/>
      </c>
    </row>
    <row r="300">
      <c r="A300" s="1" t="s">
        <v>319</v>
      </c>
      <c r="B300" s="2">
        <v>1100.0</v>
      </c>
      <c r="C300" s="4"/>
      <c r="E300" s="4" t="str">
        <f t="array" ref="E300">XLOOKUP(proper(A300),'Fintech, Regulatory Arbitrage, '!A:A,'Fintech, Regulatory Arbitrage, '!C:C,"")</f>
        <v/>
      </c>
    </row>
    <row r="301">
      <c r="A301" s="1" t="s">
        <v>320</v>
      </c>
      <c r="B301" s="2">
        <v>1086.0</v>
      </c>
      <c r="C301" s="4"/>
      <c r="E301" s="4" t="str">
        <f t="array" ref="E301">XLOOKUP(proper(A301),'Fintech, Regulatory Arbitrage, '!A:A,'Fintech, Regulatory Arbitrage, '!C:C,"")</f>
        <v/>
      </c>
    </row>
    <row r="302">
      <c r="A302" s="1" t="s">
        <v>321</v>
      </c>
      <c r="B302" s="2">
        <v>1063.0</v>
      </c>
      <c r="C302" s="4"/>
      <c r="E302" s="4" t="str">
        <f t="array" ref="E302">XLOOKUP(proper(A302),'Fintech, Regulatory Arbitrage, '!A:A,'Fintech, Regulatory Arbitrage, '!C:C,"")</f>
        <v/>
      </c>
    </row>
    <row r="303">
      <c r="A303" s="1" t="s">
        <v>322</v>
      </c>
      <c r="B303" s="2">
        <v>1049.0</v>
      </c>
      <c r="C303" s="4"/>
      <c r="E303" s="4" t="str">
        <f t="array" ref="E303">XLOOKUP(proper(A303),'Fintech, Regulatory Arbitrage, '!A:A,'Fintech, Regulatory Arbitrage, '!C:C,"")</f>
        <v/>
      </c>
    </row>
    <row r="304">
      <c r="A304" s="1" t="s">
        <v>323</v>
      </c>
      <c r="B304" s="2">
        <v>1046.0</v>
      </c>
      <c r="C304" s="4"/>
      <c r="E304" s="4" t="str">
        <f t="array" ref="E304">XLOOKUP(proper(A304),'Fintech, Regulatory Arbitrage, '!A:A,'Fintech, Regulatory Arbitrage, '!C:C,"")</f>
        <v/>
      </c>
    </row>
    <row r="305">
      <c r="A305" s="1" t="s">
        <v>324</v>
      </c>
      <c r="B305" s="2">
        <v>1037.0</v>
      </c>
      <c r="C305" s="4"/>
      <c r="E305" s="4" t="str">
        <f t="array" ref="E305">XLOOKUP(proper(A305),'Fintech, Regulatory Arbitrage, '!A:A,'Fintech, Regulatory Arbitrage, '!C:C,"")</f>
        <v/>
      </c>
    </row>
    <row r="306">
      <c r="A306" s="1" t="s">
        <v>325</v>
      </c>
      <c r="B306" s="2">
        <v>1030.0</v>
      </c>
      <c r="C306" s="4"/>
      <c r="E306" s="4" t="str">
        <f t="array" ref="E306">XLOOKUP(proper(A306),'Fintech, Regulatory Arbitrage, '!A:A,'Fintech, Regulatory Arbitrage, '!C:C,"")</f>
        <v/>
      </c>
    </row>
    <row r="307">
      <c r="A307" s="1" t="s">
        <v>326</v>
      </c>
      <c r="B307" s="2">
        <v>1029.0</v>
      </c>
      <c r="C307" s="4"/>
      <c r="E307" s="4" t="str">
        <f t="array" ref="E307">XLOOKUP(proper(A307),'Fintech, Regulatory Arbitrage, '!A:A,'Fintech, Regulatory Arbitrage, '!C:C,"")</f>
        <v/>
      </c>
    </row>
    <row r="308">
      <c r="A308" s="1" t="s">
        <v>327</v>
      </c>
      <c r="B308" s="2">
        <v>1011.0</v>
      </c>
      <c r="C308" s="4"/>
      <c r="E308" s="4" t="str">
        <f t="array" ref="E308">XLOOKUP(proper(A308),'Fintech, Regulatory Arbitrage, '!A:A,'Fintech, Regulatory Arbitrage, '!C:C,"")</f>
        <v/>
      </c>
    </row>
    <row r="309">
      <c r="A309" s="1" t="s">
        <v>328</v>
      </c>
      <c r="B309" s="2">
        <v>1009.0</v>
      </c>
      <c r="C309" s="4"/>
      <c r="E309" s="4" t="str">
        <f t="array" ref="E309">XLOOKUP(proper(A309),'Fintech, Regulatory Arbitrage, '!A:A,'Fintech, Regulatory Arbitrage, '!C:C,"")</f>
        <v/>
      </c>
    </row>
    <row r="310">
      <c r="A310" s="1" t="s">
        <v>329</v>
      </c>
      <c r="B310" s="2">
        <v>1006.0</v>
      </c>
      <c r="C310" s="4"/>
      <c r="E310" s="4" t="str">
        <f t="array" ref="E310">XLOOKUP(proper(A310),'Fintech, Regulatory Arbitrage, '!A:A,'Fintech, Regulatory Arbitrage, '!C:C,"")</f>
        <v/>
      </c>
    </row>
    <row r="311">
      <c r="A311" s="1" t="s">
        <v>330</v>
      </c>
      <c r="B311" s="2">
        <v>1000.0</v>
      </c>
      <c r="C311" s="4"/>
      <c r="E311" s="4" t="str">
        <f t="array" ref="E311">XLOOKUP(proper(A311),'Fintech, Regulatory Arbitrage, '!A:A,'Fintech, Regulatory Arbitrage, '!C:C,"")</f>
        <v/>
      </c>
    </row>
    <row r="312">
      <c r="A312" s="1" t="s">
        <v>331</v>
      </c>
      <c r="B312" s="2">
        <v>992.0</v>
      </c>
      <c r="C312" s="4"/>
      <c r="E312" s="4" t="str">
        <f t="array" ref="E312">XLOOKUP(proper(A312),'Fintech, Regulatory Arbitrage, '!A:A,'Fintech, Regulatory Arbitrage, '!C:C,"")</f>
        <v/>
      </c>
    </row>
    <row r="313">
      <c r="A313" s="1" t="s">
        <v>332</v>
      </c>
      <c r="B313" s="2">
        <v>982.0</v>
      </c>
      <c r="C313" s="4"/>
      <c r="E313" s="4" t="str">
        <f t="array" ref="E313">XLOOKUP(proper(A313),'Fintech, Regulatory Arbitrage, '!A:A,'Fintech, Regulatory Arbitrage, '!C:C,"")</f>
        <v/>
      </c>
    </row>
    <row r="314">
      <c r="A314" s="1" t="s">
        <v>333</v>
      </c>
      <c r="B314" s="2">
        <v>975.0</v>
      </c>
      <c r="C314" s="4"/>
      <c r="E314" s="4" t="str">
        <f t="array" ref="E314">XLOOKUP(proper(A314),'Fintech, Regulatory Arbitrage, '!A:A,'Fintech, Regulatory Arbitrage, '!C:C,"")</f>
        <v/>
      </c>
    </row>
    <row r="315">
      <c r="A315" s="1" t="s">
        <v>334</v>
      </c>
      <c r="B315" s="2">
        <v>966.0</v>
      </c>
      <c r="C315" s="4"/>
      <c r="E315" s="4" t="str">
        <f t="array" ref="E315">XLOOKUP(proper(A315),'Fintech, Regulatory Arbitrage, '!A:A,'Fintech, Regulatory Arbitrage, '!C:C,"")</f>
        <v/>
      </c>
    </row>
    <row r="316">
      <c r="A316" s="1" t="s">
        <v>335</v>
      </c>
      <c r="B316" s="2">
        <v>960.0</v>
      </c>
      <c r="C316" s="4"/>
      <c r="E316" s="4" t="str">
        <f t="array" ref="E316">XLOOKUP(proper(A316),'Fintech, Regulatory Arbitrage, '!A:A,'Fintech, Regulatory Arbitrage, '!C:C,"")</f>
        <v/>
      </c>
    </row>
    <row r="317">
      <c r="A317" s="1" t="s">
        <v>336</v>
      </c>
      <c r="B317" s="2">
        <v>952.0</v>
      </c>
      <c r="C317" s="4"/>
      <c r="E317" s="4" t="str">
        <f t="array" ref="E317">XLOOKUP(proper(A317),'Fintech, Regulatory Arbitrage, '!A:A,'Fintech, Regulatory Arbitrage, '!C:C,"")</f>
        <v/>
      </c>
    </row>
    <row r="318">
      <c r="A318" s="1" t="s">
        <v>337</v>
      </c>
      <c r="B318" s="2">
        <v>950.0</v>
      </c>
      <c r="C318" s="4"/>
      <c r="E318" s="4" t="str">
        <f t="array" ref="E318">XLOOKUP(proper(A318),'Fintech, Regulatory Arbitrage, '!A:A,'Fintech, Regulatory Arbitrage, '!C:C,"")</f>
        <v/>
      </c>
    </row>
    <row r="319">
      <c r="A319" s="1" t="s">
        <v>338</v>
      </c>
      <c r="B319" s="2">
        <v>937.0</v>
      </c>
      <c r="C319" s="4"/>
      <c r="E319" s="4" t="str">
        <f t="array" ref="E319">XLOOKUP(proper(A319),'Fintech, Regulatory Arbitrage, '!A:A,'Fintech, Regulatory Arbitrage, '!C:C,"")</f>
        <v/>
      </c>
    </row>
    <row r="320">
      <c r="A320" s="1" t="s">
        <v>339</v>
      </c>
      <c r="B320" s="2">
        <v>936.0</v>
      </c>
      <c r="C320" s="4"/>
      <c r="E320" s="4" t="str">
        <f t="array" ref="E320">XLOOKUP(proper(A320),'Fintech, Regulatory Arbitrage, '!A:A,'Fintech, Regulatory Arbitrage, '!C:C,"")</f>
        <v/>
      </c>
    </row>
    <row r="321">
      <c r="A321" s="1" t="s">
        <v>340</v>
      </c>
      <c r="B321" s="2">
        <v>930.0</v>
      </c>
      <c r="C321" s="4"/>
      <c r="E321" s="4" t="str">
        <f t="array" ref="E321">XLOOKUP(proper(A321),'Fintech, Regulatory Arbitrage, '!A:A,'Fintech, Regulatory Arbitrage, '!C:C,"")</f>
        <v/>
      </c>
    </row>
    <row r="322">
      <c r="A322" s="1" t="s">
        <v>341</v>
      </c>
      <c r="B322" s="2">
        <v>925.0</v>
      </c>
      <c r="C322" s="4"/>
      <c r="E322" s="4" t="str">
        <f t="array" ref="E322">XLOOKUP(proper(A322),'Fintech, Regulatory Arbitrage, '!A:A,'Fintech, Regulatory Arbitrage, '!C:C,"")</f>
        <v/>
      </c>
    </row>
    <row r="323">
      <c r="A323" s="1" t="s">
        <v>342</v>
      </c>
      <c r="B323" s="2">
        <v>923.0</v>
      </c>
      <c r="C323" s="4"/>
      <c r="E323" s="4" t="str">
        <f t="array" ref="E323">XLOOKUP(proper(A323),'Fintech, Regulatory Arbitrage, '!A:A,'Fintech, Regulatory Arbitrage, '!C:C,"")</f>
        <v/>
      </c>
    </row>
    <row r="324">
      <c r="A324" s="1" t="s">
        <v>343</v>
      </c>
      <c r="B324" s="2">
        <v>912.0</v>
      </c>
      <c r="C324" s="4"/>
      <c r="E324" s="4" t="str">
        <f t="array" ref="E324">XLOOKUP(proper(A324),'Fintech, Regulatory Arbitrage, '!A:A,'Fintech, Regulatory Arbitrage, '!C:C,"")</f>
        <v/>
      </c>
    </row>
    <row r="325">
      <c r="A325" s="1" t="s">
        <v>344</v>
      </c>
      <c r="B325" s="2">
        <v>909.0</v>
      </c>
      <c r="C325" s="4"/>
      <c r="E325" s="4" t="str">
        <f t="array" ref="E325">XLOOKUP(proper(A325),'Fintech, Regulatory Arbitrage, '!A:A,'Fintech, Regulatory Arbitrage, '!C:C,"")</f>
        <v/>
      </c>
    </row>
    <row r="326">
      <c r="A326" s="1" t="s">
        <v>345</v>
      </c>
      <c r="B326" s="2">
        <v>909.0</v>
      </c>
      <c r="C326" s="4"/>
      <c r="E326" s="4" t="str">
        <f t="array" ref="E326">XLOOKUP(proper(A326),'Fintech, Regulatory Arbitrage, '!A:A,'Fintech, Regulatory Arbitrage, '!C:C,"")</f>
        <v/>
      </c>
    </row>
    <row r="327">
      <c r="A327" s="1" t="s">
        <v>346</v>
      </c>
      <c r="B327" s="2">
        <v>903.0</v>
      </c>
      <c r="C327" s="4"/>
      <c r="E327" s="4" t="str">
        <f t="array" ref="E327">XLOOKUP(proper(A327),'Fintech, Regulatory Arbitrage, '!A:A,'Fintech, Regulatory Arbitrage, '!C:C,"")</f>
        <v/>
      </c>
    </row>
    <row r="328">
      <c r="A328" s="1" t="s">
        <v>347</v>
      </c>
      <c r="B328" s="2">
        <v>903.0</v>
      </c>
      <c r="C328" s="4"/>
      <c r="E328" s="4" t="str">
        <f t="array" ref="E328">XLOOKUP(proper(A328),'Fintech, Regulatory Arbitrage, '!A:A,'Fintech, Regulatory Arbitrage, '!C:C,"")</f>
        <v/>
      </c>
    </row>
    <row r="329">
      <c r="A329" s="1" t="s">
        <v>348</v>
      </c>
      <c r="B329" s="2">
        <v>899.0</v>
      </c>
      <c r="C329" s="4"/>
      <c r="E329" s="4" t="str">
        <f t="array" ref="E329">XLOOKUP(proper(A329),'Fintech, Regulatory Arbitrage, '!A:A,'Fintech, Regulatory Arbitrage, '!C:C,"")</f>
        <v/>
      </c>
    </row>
    <row r="330">
      <c r="A330" s="1" t="s">
        <v>349</v>
      </c>
      <c r="B330" s="2">
        <v>897.0</v>
      </c>
      <c r="C330" s="4"/>
      <c r="E330" s="4" t="str">
        <f t="array" ref="E330">XLOOKUP(proper(A330),'Fintech, Regulatory Arbitrage, '!A:A,'Fintech, Regulatory Arbitrage, '!C:C,"")</f>
        <v/>
      </c>
    </row>
    <row r="331">
      <c r="A331" s="1" t="s">
        <v>350</v>
      </c>
      <c r="B331" s="2">
        <v>895.0</v>
      </c>
      <c r="C331" s="4"/>
      <c r="E331" s="4" t="str">
        <f t="array" ref="E331">XLOOKUP(proper(A331),'Fintech, Regulatory Arbitrage, '!A:A,'Fintech, Regulatory Arbitrage, '!C:C,"")</f>
        <v/>
      </c>
    </row>
    <row r="332">
      <c r="A332" s="1" t="s">
        <v>351</v>
      </c>
      <c r="B332" s="2">
        <v>889.0</v>
      </c>
      <c r="C332" s="4"/>
      <c r="E332" s="4" t="str">
        <f t="array" ref="E332">XLOOKUP(proper(A332),'Fintech, Regulatory Arbitrage, '!A:A,'Fintech, Regulatory Arbitrage, '!C:C,"")</f>
        <v/>
      </c>
    </row>
    <row r="333">
      <c r="A333" s="1" t="s">
        <v>352</v>
      </c>
      <c r="B333" s="2">
        <v>888.0</v>
      </c>
      <c r="C333" s="4"/>
      <c r="E333" s="4" t="str">
        <f t="array" ref="E333">XLOOKUP(proper(A333),'Fintech, Regulatory Arbitrage, '!A:A,'Fintech, Regulatory Arbitrage, '!C:C,"")</f>
        <v/>
      </c>
    </row>
    <row r="334">
      <c r="A334" s="1" t="s">
        <v>353</v>
      </c>
      <c r="B334" s="2">
        <v>887.0</v>
      </c>
      <c r="C334" s="4"/>
      <c r="E334" s="4" t="str">
        <f t="array" ref="E334">XLOOKUP(proper(A334),'Fintech, Regulatory Arbitrage, '!A:A,'Fintech, Regulatory Arbitrage, '!C:C,"")</f>
        <v/>
      </c>
    </row>
    <row r="335">
      <c r="A335" s="1" t="s">
        <v>354</v>
      </c>
      <c r="B335" s="2">
        <v>886.0</v>
      </c>
      <c r="C335" s="4"/>
      <c r="E335" s="4" t="str">
        <f t="array" ref="E335">XLOOKUP(proper(A335),'Fintech, Regulatory Arbitrage, '!A:A,'Fintech, Regulatory Arbitrage, '!C:C,"")</f>
        <v/>
      </c>
    </row>
    <row r="336">
      <c r="A336" s="1" t="s">
        <v>355</v>
      </c>
      <c r="B336" s="2">
        <v>879.0</v>
      </c>
      <c r="C336" s="4"/>
      <c r="E336" s="4" t="str">
        <f t="array" ref="E336">XLOOKUP(proper(A336),'Fintech, Regulatory Arbitrage, '!A:A,'Fintech, Regulatory Arbitrage, '!C:C,"")</f>
        <v/>
      </c>
    </row>
    <row r="337">
      <c r="A337" s="1" t="s">
        <v>356</v>
      </c>
      <c r="B337" s="2">
        <v>873.0</v>
      </c>
      <c r="C337" s="4"/>
      <c r="E337" s="4" t="str">
        <f t="array" ref="E337">XLOOKUP(proper(A337),'Fintech, Regulatory Arbitrage, '!A:A,'Fintech, Regulatory Arbitrage, '!C:C,"")</f>
        <v/>
      </c>
    </row>
    <row r="338">
      <c r="A338" s="1" t="s">
        <v>357</v>
      </c>
      <c r="B338" s="2">
        <v>864.0</v>
      </c>
      <c r="C338" s="4"/>
      <c r="E338" s="4" t="str">
        <f t="array" ref="E338">XLOOKUP(proper(A338),'Fintech, Regulatory Arbitrage, '!A:A,'Fintech, Regulatory Arbitrage, '!C:C,"")</f>
        <v/>
      </c>
    </row>
    <row r="339">
      <c r="A339" s="1" t="s">
        <v>358</v>
      </c>
      <c r="B339" s="2">
        <v>864.0</v>
      </c>
      <c r="C339" s="4"/>
      <c r="E339" s="4" t="str">
        <f t="array" ref="E339">XLOOKUP(proper(A339),'Fintech, Regulatory Arbitrage, '!A:A,'Fintech, Regulatory Arbitrage, '!C:C,"")</f>
        <v/>
      </c>
    </row>
    <row r="340">
      <c r="A340" s="1" t="s">
        <v>359</v>
      </c>
      <c r="B340" s="2">
        <v>861.0</v>
      </c>
      <c r="C340" s="4"/>
      <c r="E340" s="4" t="str">
        <f t="array" ref="E340">XLOOKUP(proper(A340),'Fintech, Regulatory Arbitrage, '!A:A,'Fintech, Regulatory Arbitrage, '!C:C,"")</f>
        <v/>
      </c>
    </row>
    <row r="341">
      <c r="A341" s="1" t="s">
        <v>360</v>
      </c>
      <c r="B341" s="2">
        <v>861.0</v>
      </c>
      <c r="C341" s="4"/>
      <c r="E341" s="4" t="str">
        <f t="array" ref="E341">XLOOKUP(proper(A341),'Fintech, Regulatory Arbitrage, '!A:A,'Fintech, Regulatory Arbitrage, '!C:C,"")</f>
        <v/>
      </c>
    </row>
    <row r="342">
      <c r="A342" s="1" t="s">
        <v>361</v>
      </c>
      <c r="B342" s="2">
        <v>859.0</v>
      </c>
      <c r="C342" s="4"/>
      <c r="E342" s="4" t="str">
        <f t="array" ref="E342">XLOOKUP(proper(A342),'Fintech, Regulatory Arbitrage, '!A:A,'Fintech, Regulatory Arbitrage, '!C:C,"")</f>
        <v/>
      </c>
    </row>
    <row r="343">
      <c r="A343" s="1" t="s">
        <v>362</v>
      </c>
      <c r="B343" s="2">
        <v>854.0</v>
      </c>
      <c r="C343" s="4"/>
      <c r="E343" s="4" t="str">
        <f t="array" ref="E343">XLOOKUP(proper(A343),'Fintech, Regulatory Arbitrage, '!A:A,'Fintech, Regulatory Arbitrage, '!C:C,"")</f>
        <v/>
      </c>
    </row>
    <row r="344">
      <c r="A344" s="1" t="s">
        <v>363</v>
      </c>
      <c r="B344" s="2">
        <v>854.0</v>
      </c>
      <c r="C344" s="4"/>
      <c r="E344" s="4" t="str">
        <f t="array" ref="E344">XLOOKUP(proper(A344),'Fintech, Regulatory Arbitrage, '!A:A,'Fintech, Regulatory Arbitrage, '!C:C,"")</f>
        <v/>
      </c>
    </row>
    <row r="345">
      <c r="A345" s="1" t="s">
        <v>364</v>
      </c>
      <c r="B345" s="2">
        <v>846.0</v>
      </c>
      <c r="C345" s="4"/>
      <c r="E345" s="4" t="str">
        <f t="array" ref="E345">XLOOKUP(proper(A345),'Fintech, Regulatory Arbitrage, '!A:A,'Fintech, Regulatory Arbitrage, '!C:C,"")</f>
        <v/>
      </c>
    </row>
    <row r="346">
      <c r="A346" s="1" t="s">
        <v>365</v>
      </c>
      <c r="B346" s="2">
        <v>841.0</v>
      </c>
      <c r="C346" s="4"/>
      <c r="E346" s="4" t="str">
        <f t="array" ref="E346">XLOOKUP(proper(A346),'Fintech, Regulatory Arbitrage, '!A:A,'Fintech, Regulatory Arbitrage, '!C:C,"")</f>
        <v/>
      </c>
    </row>
    <row r="347">
      <c r="A347" s="1" t="s">
        <v>366</v>
      </c>
      <c r="B347" s="2">
        <v>839.0</v>
      </c>
      <c r="C347" s="4"/>
      <c r="E347" s="4" t="str">
        <f t="array" ref="E347">XLOOKUP(proper(A347),'Fintech, Regulatory Arbitrage, '!A:A,'Fintech, Regulatory Arbitrage, '!C:C,"")</f>
        <v/>
      </c>
    </row>
    <row r="348">
      <c r="A348" s="1" t="s">
        <v>367</v>
      </c>
      <c r="B348" s="2">
        <v>835.0</v>
      </c>
      <c r="C348" s="4"/>
      <c r="E348" s="4" t="str">
        <f t="array" ref="E348">XLOOKUP(proper(A348),'Fintech, Regulatory Arbitrage, '!A:A,'Fintech, Regulatory Arbitrage, '!C:C,"")</f>
        <v/>
      </c>
    </row>
    <row r="349">
      <c r="A349" s="1" t="s">
        <v>368</v>
      </c>
      <c r="B349" s="2">
        <v>832.0</v>
      </c>
      <c r="C349" s="4"/>
      <c r="E349" s="4" t="str">
        <f t="array" ref="E349">XLOOKUP(proper(A349),'Fintech, Regulatory Arbitrage, '!A:A,'Fintech, Regulatory Arbitrage, '!C:C,"")</f>
        <v/>
      </c>
    </row>
    <row r="350">
      <c r="A350" s="1" t="s">
        <v>369</v>
      </c>
      <c r="B350" s="2">
        <v>827.0</v>
      </c>
      <c r="C350" s="4"/>
      <c r="E350" s="4" t="str">
        <f t="array" ref="E350">XLOOKUP(proper(A350),'Fintech, Regulatory Arbitrage, '!A:A,'Fintech, Regulatory Arbitrage, '!C:C,"")</f>
        <v/>
      </c>
    </row>
    <row r="351">
      <c r="A351" s="1" t="s">
        <v>370</v>
      </c>
      <c r="B351" s="2">
        <v>818.0</v>
      </c>
      <c r="C351" s="4"/>
      <c r="E351" s="4" t="str">
        <f t="array" ref="E351">XLOOKUP(proper(A351),'Fintech, Regulatory Arbitrage, '!A:A,'Fintech, Regulatory Arbitrage, '!C:C,"")</f>
        <v/>
      </c>
    </row>
    <row r="352">
      <c r="A352" s="1" t="s">
        <v>371</v>
      </c>
      <c r="B352" s="2">
        <v>815.0</v>
      </c>
      <c r="C352" s="4"/>
      <c r="E352" s="4" t="str">
        <f t="array" ref="E352">XLOOKUP(proper(A352),'Fintech, Regulatory Arbitrage, '!A:A,'Fintech, Regulatory Arbitrage, '!C:C,"")</f>
        <v/>
      </c>
    </row>
    <row r="353">
      <c r="A353" s="1" t="s">
        <v>372</v>
      </c>
      <c r="B353" s="2">
        <v>815.0</v>
      </c>
      <c r="C353" s="4"/>
      <c r="E353" s="4" t="str">
        <f t="array" ref="E353">XLOOKUP(proper(A353),'Fintech, Regulatory Arbitrage, '!A:A,'Fintech, Regulatory Arbitrage, '!C:C,"")</f>
        <v/>
      </c>
    </row>
    <row r="354">
      <c r="A354" s="1" t="s">
        <v>373</v>
      </c>
      <c r="B354" s="2">
        <v>810.0</v>
      </c>
      <c r="C354" s="4"/>
      <c r="E354" s="4" t="str">
        <f t="array" ref="E354">XLOOKUP(proper(A354),'Fintech, Regulatory Arbitrage, '!A:A,'Fintech, Regulatory Arbitrage, '!C:C,"")</f>
        <v/>
      </c>
    </row>
    <row r="355">
      <c r="A355" s="1" t="s">
        <v>374</v>
      </c>
      <c r="B355" s="2">
        <v>805.0</v>
      </c>
      <c r="C355" s="4"/>
      <c r="E355" s="4" t="str">
        <f t="array" ref="E355">XLOOKUP(proper(A355),'Fintech, Regulatory Arbitrage, '!A:A,'Fintech, Regulatory Arbitrage, '!C:C,"")</f>
        <v/>
      </c>
    </row>
    <row r="356">
      <c r="A356" s="1" t="s">
        <v>375</v>
      </c>
      <c r="B356" s="2">
        <v>804.0</v>
      </c>
      <c r="C356" s="4"/>
      <c r="E356" s="4" t="str">
        <f t="array" ref="E356">XLOOKUP(proper(A356),'Fintech, Regulatory Arbitrage, '!A:A,'Fintech, Regulatory Arbitrage, '!C:C,"")</f>
        <v/>
      </c>
    </row>
    <row r="357">
      <c r="A357" s="1" t="s">
        <v>376</v>
      </c>
      <c r="B357" s="2">
        <v>802.0</v>
      </c>
      <c r="C357" s="4"/>
      <c r="E357" s="4" t="str">
        <f t="array" ref="E357">XLOOKUP(proper(A357),'Fintech, Regulatory Arbitrage, '!A:A,'Fintech, Regulatory Arbitrage, '!C:C,"")</f>
        <v/>
      </c>
    </row>
    <row r="358">
      <c r="A358" s="1" t="s">
        <v>377</v>
      </c>
      <c r="B358" s="2">
        <v>802.0</v>
      </c>
      <c r="C358" s="4"/>
      <c r="E358" s="4" t="str">
        <f t="array" ref="E358">XLOOKUP(proper(A358),'Fintech, Regulatory Arbitrage, '!A:A,'Fintech, Regulatory Arbitrage, '!C:C,"")</f>
        <v/>
      </c>
    </row>
    <row r="359">
      <c r="A359" s="1" t="s">
        <v>378</v>
      </c>
      <c r="B359" s="2">
        <v>799.0</v>
      </c>
      <c r="C359" s="4"/>
      <c r="E359" s="4" t="str">
        <f t="array" ref="E359">XLOOKUP(proper(A359),'Fintech, Regulatory Arbitrage, '!A:A,'Fintech, Regulatory Arbitrage, '!C:C,"")</f>
        <v/>
      </c>
    </row>
    <row r="360">
      <c r="A360" s="1" t="s">
        <v>379</v>
      </c>
      <c r="B360" s="2">
        <v>796.0</v>
      </c>
      <c r="C360" s="4"/>
      <c r="E360" s="4" t="str">
        <f t="array" ref="E360">XLOOKUP(proper(A360),'Fintech, Regulatory Arbitrage, '!A:A,'Fintech, Regulatory Arbitrage, '!C:C,"")</f>
        <v/>
      </c>
    </row>
    <row r="361">
      <c r="A361" s="1" t="s">
        <v>380</v>
      </c>
      <c r="B361" s="2">
        <v>795.0</v>
      </c>
      <c r="C361" s="4"/>
      <c r="E361" s="4" t="str">
        <f t="array" ref="E361">XLOOKUP(proper(A361),'Fintech, Regulatory Arbitrage, '!A:A,'Fintech, Regulatory Arbitrage, '!C:C,"")</f>
        <v/>
      </c>
    </row>
    <row r="362">
      <c r="A362" s="1" t="s">
        <v>381</v>
      </c>
      <c r="B362" s="2">
        <v>785.0</v>
      </c>
      <c r="C362" s="4"/>
      <c r="E362" s="4" t="str">
        <f t="array" ref="E362">XLOOKUP(proper(A362),'Fintech, Regulatory Arbitrage, '!A:A,'Fintech, Regulatory Arbitrage, '!C:C,"")</f>
        <v/>
      </c>
    </row>
    <row r="363">
      <c r="A363" s="1" t="s">
        <v>382</v>
      </c>
      <c r="B363" s="2">
        <v>785.0</v>
      </c>
      <c r="C363" s="4"/>
      <c r="E363" s="4" t="str">
        <f t="array" ref="E363">XLOOKUP(proper(A363),'Fintech, Regulatory Arbitrage, '!A:A,'Fintech, Regulatory Arbitrage, '!C:C,"")</f>
        <v/>
      </c>
    </row>
    <row r="364">
      <c r="A364" s="1" t="s">
        <v>383</v>
      </c>
      <c r="B364" s="2">
        <v>784.0</v>
      </c>
      <c r="C364" s="4"/>
      <c r="E364" s="4" t="str">
        <f t="array" ref="E364">XLOOKUP(proper(A364),'Fintech, Regulatory Arbitrage, '!A:A,'Fintech, Regulatory Arbitrage, '!C:C,"")</f>
        <v/>
      </c>
    </row>
    <row r="365">
      <c r="A365" s="1" t="s">
        <v>384</v>
      </c>
      <c r="B365" s="2">
        <v>783.0</v>
      </c>
      <c r="C365" s="4"/>
      <c r="E365" s="4" t="str">
        <f t="array" ref="E365">XLOOKUP(proper(A365),'Fintech, Regulatory Arbitrage, '!A:A,'Fintech, Regulatory Arbitrage, '!C:C,"")</f>
        <v/>
      </c>
    </row>
    <row r="366">
      <c r="A366" s="1" t="s">
        <v>385</v>
      </c>
      <c r="B366" s="2">
        <v>782.0</v>
      </c>
      <c r="C366" s="4"/>
      <c r="E366" s="4" t="str">
        <f t="array" ref="E366">XLOOKUP(proper(A366),'Fintech, Regulatory Arbitrage, '!A:A,'Fintech, Regulatory Arbitrage, '!C:C,"")</f>
        <v/>
      </c>
    </row>
    <row r="367">
      <c r="A367" s="1" t="s">
        <v>386</v>
      </c>
      <c r="B367" s="2">
        <v>780.0</v>
      </c>
      <c r="C367" s="4"/>
      <c r="E367" s="4" t="str">
        <f t="array" ref="E367">XLOOKUP(proper(A367),'Fintech, Regulatory Arbitrage, '!A:A,'Fintech, Regulatory Arbitrage, '!C:C,"")</f>
        <v/>
      </c>
    </row>
    <row r="368">
      <c r="A368" s="1" t="s">
        <v>387</v>
      </c>
      <c r="B368" s="2">
        <v>779.0</v>
      </c>
      <c r="C368" s="4"/>
      <c r="E368" s="4" t="str">
        <f t="array" ref="E368">XLOOKUP(proper(A368),'Fintech, Regulatory Arbitrage, '!A:A,'Fintech, Regulatory Arbitrage, '!C:C,"")</f>
        <v/>
      </c>
    </row>
    <row r="369">
      <c r="A369" s="1" t="s">
        <v>388</v>
      </c>
      <c r="B369" s="2">
        <v>771.0</v>
      </c>
      <c r="C369" s="4"/>
      <c r="E369" s="4" t="str">
        <f t="array" ref="E369">XLOOKUP(proper(A369),'Fintech, Regulatory Arbitrage, '!A:A,'Fintech, Regulatory Arbitrage, '!C:C,"")</f>
        <v/>
      </c>
    </row>
    <row r="370">
      <c r="A370" s="1" t="s">
        <v>389</v>
      </c>
      <c r="B370" s="2">
        <v>770.0</v>
      </c>
      <c r="C370" s="4"/>
      <c r="E370" s="4" t="str">
        <f t="array" ref="E370">XLOOKUP(proper(A370),'Fintech, Regulatory Arbitrage, '!A:A,'Fintech, Regulatory Arbitrage, '!C:C,"")</f>
        <v/>
      </c>
    </row>
    <row r="371">
      <c r="A371" s="1" t="s">
        <v>390</v>
      </c>
      <c r="B371" s="2">
        <v>768.0</v>
      </c>
      <c r="C371" s="3" t="s">
        <v>12</v>
      </c>
      <c r="E371" s="4" t="str">
        <f t="array" ref="E371">XLOOKUP(proper(A371),'Fintech, Regulatory Arbitrage, '!A:A,'Fintech, Regulatory Arbitrage, '!C:C,"")</f>
        <v/>
      </c>
    </row>
    <row r="372">
      <c r="A372" s="1" t="s">
        <v>391</v>
      </c>
      <c r="B372" s="2">
        <v>767.0</v>
      </c>
      <c r="C372" s="4"/>
      <c r="E372" s="4" t="str">
        <f t="array" ref="E372">XLOOKUP(proper(A372),'Fintech, Regulatory Arbitrage, '!A:A,'Fintech, Regulatory Arbitrage, '!C:C,"")</f>
        <v/>
      </c>
    </row>
    <row r="373">
      <c r="A373" s="1" t="s">
        <v>392</v>
      </c>
      <c r="B373" s="2">
        <v>763.0</v>
      </c>
      <c r="C373" s="4"/>
      <c r="E373" s="4" t="str">
        <f t="array" ref="E373">XLOOKUP(proper(A373),'Fintech, Regulatory Arbitrage, '!A:A,'Fintech, Regulatory Arbitrage, '!C:C,"")</f>
        <v/>
      </c>
    </row>
    <row r="374">
      <c r="A374" s="1" t="s">
        <v>393</v>
      </c>
      <c r="B374" s="2">
        <v>752.0</v>
      </c>
      <c r="C374" s="4"/>
      <c r="E374" s="4" t="str">
        <f t="array" ref="E374">XLOOKUP(proper(A374),'Fintech, Regulatory Arbitrage, '!A:A,'Fintech, Regulatory Arbitrage, '!C:C,"")</f>
        <v/>
      </c>
    </row>
    <row r="375">
      <c r="A375" s="1" t="s">
        <v>394</v>
      </c>
      <c r="B375" s="2">
        <v>747.0</v>
      </c>
      <c r="C375" s="4"/>
      <c r="E375" s="4" t="str">
        <f t="array" ref="E375">XLOOKUP(proper(A375),'Fintech, Regulatory Arbitrage, '!A:A,'Fintech, Regulatory Arbitrage, '!C:C,"")</f>
        <v/>
      </c>
    </row>
    <row r="376">
      <c r="A376" s="1" t="s">
        <v>395</v>
      </c>
      <c r="B376" s="2">
        <v>745.0</v>
      </c>
      <c r="C376" s="4"/>
      <c r="E376" s="4" t="str">
        <f t="array" ref="E376">XLOOKUP(proper(A376),'Fintech, Regulatory Arbitrage, '!A:A,'Fintech, Regulatory Arbitrage, '!C:C,"")</f>
        <v/>
      </c>
    </row>
    <row r="377">
      <c r="A377" s="1" t="s">
        <v>396</v>
      </c>
      <c r="B377" s="2">
        <v>732.0</v>
      </c>
      <c r="C377" s="4"/>
      <c r="E377" s="4" t="str">
        <f t="array" ref="E377">XLOOKUP(proper(A377),'Fintech, Regulatory Arbitrage, '!A:A,'Fintech, Regulatory Arbitrage, '!C:C,"")</f>
        <v/>
      </c>
    </row>
    <row r="378">
      <c r="A378" s="1" t="s">
        <v>397</v>
      </c>
      <c r="B378" s="2">
        <v>732.0</v>
      </c>
      <c r="C378" s="4"/>
      <c r="E378" s="4" t="str">
        <f t="array" ref="E378">XLOOKUP(proper(A378),'Fintech, Regulatory Arbitrage, '!A:A,'Fintech, Regulatory Arbitrage, '!C:C,"")</f>
        <v/>
      </c>
    </row>
    <row r="379">
      <c r="A379" s="1" t="s">
        <v>398</v>
      </c>
      <c r="B379" s="2">
        <v>732.0</v>
      </c>
      <c r="C379" s="4"/>
      <c r="E379" s="4" t="str">
        <f t="array" ref="E379">XLOOKUP(proper(A379),'Fintech, Regulatory Arbitrage, '!A:A,'Fintech, Regulatory Arbitrage, '!C:C,"")</f>
        <v/>
      </c>
    </row>
    <row r="380">
      <c r="A380" s="1" t="s">
        <v>399</v>
      </c>
      <c r="B380" s="2">
        <v>729.0</v>
      </c>
      <c r="C380" s="4"/>
      <c r="E380" s="4" t="str">
        <f t="array" ref="E380">XLOOKUP(proper(A380),'Fintech, Regulatory Arbitrage, '!A:A,'Fintech, Regulatory Arbitrage, '!C:C,"")</f>
        <v/>
      </c>
    </row>
    <row r="381">
      <c r="A381" s="1" t="s">
        <v>400</v>
      </c>
      <c r="B381" s="2">
        <v>728.0</v>
      </c>
      <c r="C381" s="4"/>
      <c r="E381" s="4" t="str">
        <f t="array" ref="E381">XLOOKUP(proper(A381),'Fintech, Regulatory Arbitrage, '!A:A,'Fintech, Regulatory Arbitrage, '!C:C,"")</f>
        <v/>
      </c>
    </row>
    <row r="382">
      <c r="A382" s="1" t="s">
        <v>401</v>
      </c>
      <c r="B382" s="2">
        <v>726.0</v>
      </c>
      <c r="C382" s="4"/>
      <c r="E382" s="4" t="str">
        <f t="array" ref="E382">XLOOKUP(proper(A382),'Fintech, Regulatory Arbitrage, '!A:A,'Fintech, Regulatory Arbitrage, '!C:C,"")</f>
        <v/>
      </c>
    </row>
    <row r="383">
      <c r="A383" s="1" t="s">
        <v>402</v>
      </c>
      <c r="B383" s="2">
        <v>722.0</v>
      </c>
      <c r="C383" s="4"/>
      <c r="E383" s="4" t="str">
        <f t="array" ref="E383">XLOOKUP(proper(A383),'Fintech, Regulatory Arbitrage, '!A:A,'Fintech, Regulatory Arbitrage, '!C:C,"")</f>
        <v/>
      </c>
    </row>
    <row r="384">
      <c r="A384" s="1" t="s">
        <v>403</v>
      </c>
      <c r="B384" s="2">
        <v>721.0</v>
      </c>
      <c r="C384" s="4"/>
      <c r="E384" s="4" t="str">
        <f t="array" ref="E384">XLOOKUP(proper(A384),'Fintech, Regulatory Arbitrage, '!A:A,'Fintech, Regulatory Arbitrage, '!C:C,"")</f>
        <v/>
      </c>
    </row>
    <row r="385">
      <c r="A385" s="1" t="s">
        <v>404</v>
      </c>
      <c r="B385" s="2">
        <v>718.0</v>
      </c>
      <c r="C385" s="3" t="s">
        <v>20</v>
      </c>
      <c r="E385" s="4" t="str">
        <f t="array" ref="E385">XLOOKUP(proper(A385),'Fintech, Regulatory Arbitrage, '!A:A,'Fintech, Regulatory Arbitrage, '!C:C,"")</f>
        <v/>
      </c>
    </row>
    <row r="386">
      <c r="A386" s="1" t="s">
        <v>405</v>
      </c>
      <c r="B386" s="2">
        <v>708.0</v>
      </c>
      <c r="C386" s="4"/>
      <c r="E386" s="4" t="str">
        <f t="array" ref="E386">XLOOKUP(proper(A386),'Fintech, Regulatory Arbitrage, '!A:A,'Fintech, Regulatory Arbitrage, '!C:C,"")</f>
        <v/>
      </c>
    </row>
    <row r="387">
      <c r="A387" s="1" t="s">
        <v>406</v>
      </c>
      <c r="B387" s="2">
        <v>706.0</v>
      </c>
      <c r="C387" s="4"/>
      <c r="E387" s="4" t="str">
        <f t="array" ref="E387">XLOOKUP(proper(A387),'Fintech, Regulatory Arbitrage, '!A:A,'Fintech, Regulatory Arbitrage, '!C:C,"")</f>
        <v/>
      </c>
    </row>
    <row r="388">
      <c r="A388" s="1" t="s">
        <v>407</v>
      </c>
      <c r="B388" s="2">
        <v>704.0</v>
      </c>
      <c r="C388" s="4"/>
      <c r="E388" s="4" t="str">
        <f t="array" ref="E388">XLOOKUP(proper(A388),'Fintech, Regulatory Arbitrage, '!A:A,'Fintech, Regulatory Arbitrage, '!C:C,"")</f>
        <v/>
      </c>
    </row>
    <row r="389">
      <c r="A389" s="1" t="s">
        <v>408</v>
      </c>
      <c r="B389" s="2">
        <v>704.0</v>
      </c>
      <c r="C389" s="4"/>
      <c r="E389" s="4" t="str">
        <f t="array" ref="E389">XLOOKUP(proper(A389),'Fintech, Regulatory Arbitrage, '!A:A,'Fintech, Regulatory Arbitrage, '!C:C,"")</f>
        <v/>
      </c>
    </row>
    <row r="390">
      <c r="A390" s="1" t="s">
        <v>409</v>
      </c>
      <c r="B390" s="2">
        <v>704.0</v>
      </c>
      <c r="C390" s="4"/>
      <c r="E390" s="4" t="str">
        <f t="array" ref="E390">XLOOKUP(proper(A390),'Fintech, Regulatory Arbitrage, '!A:A,'Fintech, Regulatory Arbitrage, '!C:C,"")</f>
        <v/>
      </c>
    </row>
    <row r="391">
      <c r="A391" s="1" t="s">
        <v>410</v>
      </c>
      <c r="B391" s="2">
        <v>701.0</v>
      </c>
      <c r="C391" s="4"/>
      <c r="E391" s="4" t="str">
        <f t="array" ref="E391">XLOOKUP(proper(A391),'Fintech, Regulatory Arbitrage, '!A:A,'Fintech, Regulatory Arbitrage, '!C:C,"")</f>
        <v/>
      </c>
    </row>
    <row r="392">
      <c r="A392" s="1" t="s">
        <v>411</v>
      </c>
      <c r="B392" s="2">
        <v>700.0</v>
      </c>
      <c r="C392" s="4"/>
      <c r="E392" s="4" t="str">
        <f t="array" ref="E392">XLOOKUP(proper(A392),'Fintech, Regulatory Arbitrage, '!A:A,'Fintech, Regulatory Arbitrage, '!C:C,"")</f>
        <v/>
      </c>
    </row>
    <row r="393">
      <c r="A393" s="1" t="s">
        <v>412</v>
      </c>
      <c r="B393" s="2">
        <v>698.0</v>
      </c>
      <c r="C393" s="4"/>
      <c r="E393" s="4" t="str">
        <f t="array" ref="E393">XLOOKUP(proper(A393),'Fintech, Regulatory Arbitrage, '!A:A,'Fintech, Regulatory Arbitrage, '!C:C,"")</f>
        <v/>
      </c>
    </row>
    <row r="394">
      <c r="A394" s="1" t="s">
        <v>413</v>
      </c>
      <c r="B394" s="2">
        <v>695.0</v>
      </c>
      <c r="C394" s="4"/>
      <c r="E394" s="4" t="str">
        <f t="array" ref="E394">XLOOKUP(proper(A394),'Fintech, Regulatory Arbitrage, '!A:A,'Fintech, Regulatory Arbitrage, '!C:C,"")</f>
        <v/>
      </c>
    </row>
    <row r="395">
      <c r="A395" s="1" t="s">
        <v>414</v>
      </c>
      <c r="B395" s="2">
        <v>693.0</v>
      </c>
      <c r="C395" s="4"/>
      <c r="E395" s="4" t="str">
        <f t="array" ref="E395">XLOOKUP(proper(A395),'Fintech, Regulatory Arbitrage, '!A:A,'Fintech, Regulatory Arbitrage, '!C:C,"")</f>
        <v/>
      </c>
    </row>
    <row r="396">
      <c r="A396" s="1" t="s">
        <v>415</v>
      </c>
      <c r="B396" s="2">
        <v>692.0</v>
      </c>
      <c r="C396" s="4"/>
      <c r="E396" s="4" t="str">
        <f t="array" ref="E396">XLOOKUP(proper(A396),'Fintech, Regulatory Arbitrage, '!A:A,'Fintech, Regulatory Arbitrage, '!C:C,"")</f>
        <v/>
      </c>
    </row>
    <row r="397">
      <c r="A397" s="1" t="s">
        <v>416</v>
      </c>
      <c r="B397" s="2">
        <v>690.0</v>
      </c>
      <c r="C397" s="4"/>
      <c r="E397" s="4" t="str">
        <f t="array" ref="E397">XLOOKUP(proper(A397),'Fintech, Regulatory Arbitrage, '!A:A,'Fintech, Regulatory Arbitrage, '!C:C,"")</f>
        <v/>
      </c>
    </row>
    <row r="398">
      <c r="A398" s="1" t="s">
        <v>417</v>
      </c>
      <c r="B398" s="2">
        <v>690.0</v>
      </c>
      <c r="C398" s="4"/>
      <c r="E398" s="4" t="str">
        <f t="array" ref="E398">XLOOKUP(proper(A398),'Fintech, Regulatory Arbitrage, '!A:A,'Fintech, Regulatory Arbitrage, '!C:C,"")</f>
        <v/>
      </c>
    </row>
    <row r="399">
      <c r="A399" s="1" t="s">
        <v>418</v>
      </c>
      <c r="B399" s="2">
        <v>688.0</v>
      </c>
      <c r="C399" s="4"/>
      <c r="E399" s="4" t="str">
        <f t="array" ref="E399">XLOOKUP(proper(A399),'Fintech, Regulatory Arbitrage, '!A:A,'Fintech, Regulatory Arbitrage, '!C:C,"")</f>
        <v/>
      </c>
    </row>
    <row r="400">
      <c r="A400" s="1" t="s">
        <v>419</v>
      </c>
      <c r="B400" s="2">
        <v>683.0</v>
      </c>
      <c r="C400" s="4"/>
      <c r="E400" s="4" t="str">
        <f t="array" ref="E400">XLOOKUP(proper(A400),'Fintech, Regulatory Arbitrage, '!A:A,'Fintech, Regulatory Arbitrage, '!C:C,"")</f>
        <v/>
      </c>
    </row>
    <row r="401">
      <c r="A401" s="1" t="s">
        <v>420</v>
      </c>
      <c r="B401" s="2">
        <v>682.0</v>
      </c>
      <c r="C401" s="4"/>
      <c r="E401" s="4" t="str">
        <f t="array" ref="E401">XLOOKUP(proper(A401),'Fintech, Regulatory Arbitrage, '!A:A,'Fintech, Regulatory Arbitrage, '!C:C,"")</f>
        <v/>
      </c>
    </row>
    <row r="402">
      <c r="A402" s="1" t="s">
        <v>421</v>
      </c>
      <c r="B402" s="2">
        <v>681.0</v>
      </c>
      <c r="C402" s="4"/>
      <c r="E402" s="4" t="str">
        <f t="array" ref="E402">XLOOKUP(proper(A402),'Fintech, Regulatory Arbitrage, '!A:A,'Fintech, Regulatory Arbitrage, '!C:C,"")</f>
        <v/>
      </c>
    </row>
    <row r="403">
      <c r="A403" s="1" t="s">
        <v>422</v>
      </c>
      <c r="B403" s="2">
        <v>680.0</v>
      </c>
      <c r="C403" s="4"/>
      <c r="E403" s="4" t="str">
        <f t="array" ref="E403">XLOOKUP(proper(A403),'Fintech, Regulatory Arbitrage, '!A:A,'Fintech, Regulatory Arbitrage, '!C:C,"")</f>
        <v/>
      </c>
    </row>
    <row r="404">
      <c r="A404" s="1" t="s">
        <v>423</v>
      </c>
      <c r="B404" s="2">
        <v>678.0</v>
      </c>
      <c r="C404" s="4"/>
      <c r="E404" s="4" t="str">
        <f t="array" ref="E404">XLOOKUP(proper(A404),'Fintech, Regulatory Arbitrage, '!A:A,'Fintech, Regulatory Arbitrage, '!C:C,"")</f>
        <v/>
      </c>
    </row>
    <row r="405">
      <c r="A405" s="1" t="s">
        <v>424</v>
      </c>
      <c r="B405" s="2">
        <v>676.0</v>
      </c>
      <c r="C405" s="4"/>
      <c r="E405" s="4" t="str">
        <f t="array" ref="E405">XLOOKUP(proper(A405),'Fintech, Regulatory Arbitrage, '!A:A,'Fintech, Regulatory Arbitrage, '!C:C,"")</f>
        <v/>
      </c>
    </row>
    <row r="406">
      <c r="A406" s="1" t="s">
        <v>425</v>
      </c>
      <c r="B406" s="2">
        <v>675.0</v>
      </c>
      <c r="C406" s="4"/>
      <c r="E406" s="4" t="str">
        <f t="array" ref="E406">XLOOKUP(proper(A406),'Fintech, Regulatory Arbitrage, '!A:A,'Fintech, Regulatory Arbitrage, '!C:C,"")</f>
        <v/>
      </c>
    </row>
    <row r="407">
      <c r="A407" s="1" t="s">
        <v>426</v>
      </c>
      <c r="B407" s="2">
        <v>674.0</v>
      </c>
      <c r="C407" s="4"/>
      <c r="E407" s="4" t="str">
        <f t="array" ref="E407">XLOOKUP(proper(A407),'Fintech, Regulatory Arbitrage, '!A:A,'Fintech, Regulatory Arbitrage, '!C:C,"")</f>
        <v/>
      </c>
    </row>
    <row r="408">
      <c r="A408" s="1" t="s">
        <v>427</v>
      </c>
      <c r="B408" s="2">
        <v>672.0</v>
      </c>
      <c r="C408" s="4"/>
      <c r="E408" s="4" t="str">
        <f t="array" ref="E408">XLOOKUP(proper(A408),'Fintech, Regulatory Arbitrage, '!A:A,'Fintech, Regulatory Arbitrage, '!C:C,"")</f>
        <v/>
      </c>
    </row>
    <row r="409">
      <c r="A409" s="1" t="s">
        <v>428</v>
      </c>
      <c r="B409" s="2">
        <v>668.0</v>
      </c>
      <c r="C409" s="4"/>
      <c r="E409" s="4" t="str">
        <f t="array" ref="E409">XLOOKUP(proper(A409),'Fintech, Regulatory Arbitrage, '!A:A,'Fintech, Regulatory Arbitrage, '!C:C,"")</f>
        <v/>
      </c>
    </row>
    <row r="410">
      <c r="A410" s="1" t="s">
        <v>429</v>
      </c>
      <c r="B410" s="2">
        <v>664.0</v>
      </c>
      <c r="C410" s="4"/>
      <c r="E410" s="4" t="str">
        <f t="array" ref="E410">XLOOKUP(proper(A410),'Fintech, Regulatory Arbitrage, '!A:A,'Fintech, Regulatory Arbitrage, '!C:C,"")</f>
        <v/>
      </c>
    </row>
    <row r="411">
      <c r="A411" s="1" t="s">
        <v>430</v>
      </c>
      <c r="B411" s="2">
        <v>663.0</v>
      </c>
      <c r="C411" s="4"/>
      <c r="E411" s="4" t="str">
        <f t="array" ref="E411">XLOOKUP(proper(A411),'Fintech, Regulatory Arbitrage, '!A:A,'Fintech, Regulatory Arbitrage, '!C:C,"")</f>
        <v/>
      </c>
    </row>
    <row r="412">
      <c r="A412" s="1" t="s">
        <v>431</v>
      </c>
      <c r="B412" s="2">
        <v>656.0</v>
      </c>
      <c r="C412" s="4"/>
      <c r="E412" s="4" t="str">
        <f t="array" ref="E412">XLOOKUP(proper(A412),'Fintech, Regulatory Arbitrage, '!A:A,'Fintech, Regulatory Arbitrage, '!C:C,"")</f>
        <v/>
      </c>
    </row>
    <row r="413">
      <c r="A413" s="1" t="s">
        <v>432</v>
      </c>
      <c r="B413" s="2">
        <v>654.0</v>
      </c>
      <c r="C413" s="4"/>
      <c r="E413" s="4" t="str">
        <f t="array" ref="E413">XLOOKUP(proper(A413),'Fintech, Regulatory Arbitrage, '!A:A,'Fintech, Regulatory Arbitrage, '!C:C,"")</f>
        <v/>
      </c>
    </row>
    <row r="414">
      <c r="A414" s="1" t="s">
        <v>433</v>
      </c>
      <c r="B414" s="2">
        <v>653.0</v>
      </c>
      <c r="C414" s="4"/>
      <c r="E414" s="4" t="str">
        <f t="array" ref="E414">XLOOKUP(proper(A414),'Fintech, Regulatory Arbitrage, '!A:A,'Fintech, Regulatory Arbitrage, '!C:C,"")</f>
        <v/>
      </c>
    </row>
    <row r="415">
      <c r="A415" s="1" t="s">
        <v>434</v>
      </c>
      <c r="B415" s="2">
        <v>649.0</v>
      </c>
      <c r="C415" s="4"/>
      <c r="E415" s="4" t="str">
        <f t="array" ref="E415">XLOOKUP(proper(A415),'Fintech, Regulatory Arbitrage, '!A:A,'Fintech, Regulatory Arbitrage, '!C:C,"")</f>
        <v/>
      </c>
    </row>
    <row r="416">
      <c r="A416" s="1" t="s">
        <v>435</v>
      </c>
      <c r="B416" s="2">
        <v>649.0</v>
      </c>
      <c r="C416" s="4"/>
      <c r="E416" s="4" t="str">
        <f t="array" ref="E416">XLOOKUP(proper(A416),'Fintech, Regulatory Arbitrage, '!A:A,'Fintech, Regulatory Arbitrage, '!C:C,"")</f>
        <v/>
      </c>
    </row>
    <row r="417">
      <c r="A417" s="1" t="s">
        <v>436</v>
      </c>
      <c r="B417" s="2">
        <v>647.0</v>
      </c>
      <c r="C417" s="4"/>
      <c r="E417" s="4" t="str">
        <f t="array" ref="E417">XLOOKUP(proper(A417),'Fintech, Regulatory Arbitrage, '!A:A,'Fintech, Regulatory Arbitrage, '!C:C,"")</f>
        <v/>
      </c>
    </row>
    <row r="418">
      <c r="A418" s="1" t="s">
        <v>437</v>
      </c>
      <c r="B418" s="2">
        <v>644.0</v>
      </c>
      <c r="C418" s="4"/>
      <c r="E418" s="4" t="str">
        <f t="array" ref="E418">XLOOKUP(proper(A418),'Fintech, Regulatory Arbitrage, '!A:A,'Fintech, Regulatory Arbitrage, '!C:C,"")</f>
        <v/>
      </c>
    </row>
    <row r="419">
      <c r="A419" s="1" t="s">
        <v>438</v>
      </c>
      <c r="B419" s="2">
        <v>643.0</v>
      </c>
      <c r="C419" s="4"/>
      <c r="E419" s="4" t="str">
        <f t="array" ref="E419">XLOOKUP(proper(A419),'Fintech, Regulatory Arbitrage, '!A:A,'Fintech, Regulatory Arbitrage, '!C:C,"")</f>
        <v/>
      </c>
    </row>
    <row r="420">
      <c r="A420" s="1" t="s">
        <v>439</v>
      </c>
      <c r="B420" s="2">
        <v>638.0</v>
      </c>
      <c r="C420" s="4"/>
      <c r="E420" s="4" t="str">
        <f t="array" ref="E420">XLOOKUP(proper(A420),'Fintech, Regulatory Arbitrage, '!A:A,'Fintech, Regulatory Arbitrage, '!C:C,"")</f>
        <v/>
      </c>
    </row>
    <row r="421">
      <c r="A421" s="1" t="s">
        <v>440</v>
      </c>
      <c r="B421" s="2">
        <v>638.0</v>
      </c>
      <c r="C421" s="4"/>
      <c r="E421" s="4" t="str">
        <f t="array" ref="E421">XLOOKUP(proper(A421),'Fintech, Regulatory Arbitrage, '!A:A,'Fintech, Regulatory Arbitrage, '!C:C,"")</f>
        <v/>
      </c>
    </row>
    <row r="422">
      <c r="A422" s="1" t="s">
        <v>441</v>
      </c>
      <c r="B422" s="2">
        <v>633.0</v>
      </c>
      <c r="C422" s="4"/>
      <c r="E422" s="4" t="str">
        <f t="array" ref="E422">XLOOKUP(proper(A422),'Fintech, Regulatory Arbitrage, '!A:A,'Fintech, Regulatory Arbitrage, '!C:C,"")</f>
        <v/>
      </c>
    </row>
    <row r="423">
      <c r="A423" s="1" t="s">
        <v>442</v>
      </c>
      <c r="B423" s="2">
        <v>632.0</v>
      </c>
      <c r="C423" s="4"/>
      <c r="E423" s="4" t="str">
        <f t="array" ref="E423">XLOOKUP(proper(A423),'Fintech, Regulatory Arbitrage, '!A:A,'Fintech, Regulatory Arbitrage, '!C:C,"")</f>
        <v/>
      </c>
    </row>
    <row r="424">
      <c r="A424" s="1" t="s">
        <v>443</v>
      </c>
      <c r="B424" s="2">
        <v>632.0</v>
      </c>
      <c r="C424" s="4"/>
      <c r="E424" s="4" t="str">
        <f t="array" ref="E424">XLOOKUP(proper(A424),'Fintech, Regulatory Arbitrage, '!A:A,'Fintech, Regulatory Arbitrage, '!C:C,"")</f>
        <v/>
      </c>
    </row>
    <row r="425">
      <c r="A425" s="1" t="s">
        <v>444</v>
      </c>
      <c r="B425" s="2">
        <v>631.0</v>
      </c>
      <c r="C425" s="4"/>
      <c r="E425" s="4" t="str">
        <f t="array" ref="E425">XLOOKUP(proper(A425),'Fintech, Regulatory Arbitrage, '!A:A,'Fintech, Regulatory Arbitrage, '!C:C,"")</f>
        <v/>
      </c>
    </row>
    <row r="426">
      <c r="A426" s="1" t="s">
        <v>445</v>
      </c>
      <c r="B426" s="2">
        <v>621.0</v>
      </c>
      <c r="C426" s="4"/>
      <c r="E426" s="4" t="str">
        <f t="array" ref="E426">XLOOKUP(proper(A426),'Fintech, Regulatory Arbitrage, '!A:A,'Fintech, Regulatory Arbitrage, '!C:C,"")</f>
        <v/>
      </c>
    </row>
    <row r="427">
      <c r="A427" s="1" t="s">
        <v>446</v>
      </c>
      <c r="B427" s="2">
        <v>618.0</v>
      </c>
      <c r="C427" s="4"/>
      <c r="E427" s="4" t="str">
        <f t="array" ref="E427">XLOOKUP(proper(A427),'Fintech, Regulatory Arbitrage, '!A:A,'Fintech, Regulatory Arbitrage, '!C:C,"")</f>
        <v/>
      </c>
    </row>
    <row r="428">
      <c r="A428" s="1" t="s">
        <v>447</v>
      </c>
      <c r="B428" s="2">
        <v>615.0</v>
      </c>
      <c r="C428" s="4"/>
      <c r="E428" s="4" t="str">
        <f t="array" ref="E428">XLOOKUP(proper(A428),'Fintech, Regulatory Arbitrage, '!A:A,'Fintech, Regulatory Arbitrage, '!C:C,"")</f>
        <v/>
      </c>
    </row>
    <row r="429">
      <c r="A429" s="1" t="s">
        <v>448</v>
      </c>
      <c r="B429" s="2">
        <v>611.0</v>
      </c>
      <c r="C429" s="4"/>
      <c r="E429" s="4" t="str">
        <f t="array" ref="E429">XLOOKUP(proper(A429),'Fintech, Regulatory Arbitrage, '!A:A,'Fintech, Regulatory Arbitrage, '!C:C,"")</f>
        <v/>
      </c>
    </row>
    <row r="430">
      <c r="A430" s="1" t="s">
        <v>449</v>
      </c>
      <c r="B430" s="2">
        <v>610.0</v>
      </c>
      <c r="C430" s="4"/>
      <c r="E430" s="4" t="str">
        <f t="array" ref="E430">XLOOKUP(proper(A430),'Fintech, Regulatory Arbitrage, '!A:A,'Fintech, Regulatory Arbitrage, '!C:C,"")</f>
        <v/>
      </c>
    </row>
    <row r="431">
      <c r="A431" s="1" t="s">
        <v>450</v>
      </c>
      <c r="B431" s="2">
        <v>610.0</v>
      </c>
      <c r="C431" s="4"/>
      <c r="E431" s="4" t="str">
        <f t="array" ref="E431">XLOOKUP(proper(A431),'Fintech, Regulatory Arbitrage, '!A:A,'Fintech, Regulatory Arbitrage, '!C:C,"")</f>
        <v/>
      </c>
    </row>
    <row r="432">
      <c r="A432" s="1" t="s">
        <v>451</v>
      </c>
      <c r="B432" s="2">
        <v>604.0</v>
      </c>
      <c r="C432" s="4"/>
      <c r="E432" s="4" t="str">
        <f t="array" ref="E432">XLOOKUP(proper(A432),'Fintech, Regulatory Arbitrage, '!A:A,'Fintech, Regulatory Arbitrage, '!C:C,"")</f>
        <v/>
      </c>
    </row>
    <row r="433">
      <c r="A433" s="1" t="s">
        <v>452</v>
      </c>
      <c r="B433" s="2">
        <v>599.0</v>
      </c>
      <c r="C433" s="4"/>
      <c r="E433" s="4" t="str">
        <f t="array" ref="E433">XLOOKUP(proper(A433),'Fintech, Regulatory Arbitrage, '!A:A,'Fintech, Regulatory Arbitrage, '!C:C,"")</f>
        <v/>
      </c>
    </row>
    <row r="434">
      <c r="A434" s="1" t="s">
        <v>453</v>
      </c>
      <c r="B434" s="2">
        <v>591.0</v>
      </c>
      <c r="C434" s="4"/>
      <c r="E434" s="4" t="str">
        <f t="array" ref="E434">XLOOKUP(proper(A434),'Fintech, Regulatory Arbitrage, '!A:A,'Fintech, Regulatory Arbitrage, '!C:C,"")</f>
        <v/>
      </c>
    </row>
    <row r="435">
      <c r="A435" s="1" t="s">
        <v>454</v>
      </c>
      <c r="B435" s="2">
        <v>586.0</v>
      </c>
      <c r="C435" s="4"/>
      <c r="E435" s="4" t="str">
        <f t="array" ref="E435">XLOOKUP(proper(A435),'Fintech, Regulatory Arbitrage, '!A:A,'Fintech, Regulatory Arbitrage, '!C:C,"")</f>
        <v/>
      </c>
    </row>
    <row r="436">
      <c r="A436" s="1" t="s">
        <v>455</v>
      </c>
      <c r="B436" s="2">
        <v>585.0</v>
      </c>
      <c r="C436" s="4"/>
      <c r="E436" s="4" t="str">
        <f t="array" ref="E436">XLOOKUP(proper(A436),'Fintech, Regulatory Arbitrage, '!A:A,'Fintech, Regulatory Arbitrage, '!C:C,"")</f>
        <v/>
      </c>
    </row>
    <row r="437">
      <c r="A437" s="1" t="s">
        <v>456</v>
      </c>
      <c r="B437" s="2">
        <v>578.0</v>
      </c>
      <c r="C437" s="4"/>
      <c r="E437" s="4" t="str">
        <f t="array" ref="E437">XLOOKUP(proper(A437),'Fintech, Regulatory Arbitrage, '!A:A,'Fintech, Regulatory Arbitrage, '!C:C,"")</f>
        <v/>
      </c>
    </row>
    <row r="438">
      <c r="A438" s="1" t="s">
        <v>457</v>
      </c>
      <c r="B438" s="2">
        <v>576.0</v>
      </c>
      <c r="C438" s="4"/>
      <c r="E438" s="4" t="str">
        <f t="array" ref="E438">XLOOKUP(proper(A438),'Fintech, Regulatory Arbitrage, '!A:A,'Fintech, Regulatory Arbitrage, '!C:C,"")</f>
        <v/>
      </c>
    </row>
    <row r="439">
      <c r="A439" s="1" t="s">
        <v>458</v>
      </c>
      <c r="B439" s="2">
        <v>575.0</v>
      </c>
      <c r="C439" s="4"/>
      <c r="E439" s="4" t="str">
        <f t="array" ref="E439">XLOOKUP(proper(A439),'Fintech, Regulatory Arbitrage, '!A:A,'Fintech, Regulatory Arbitrage, '!C:C,"")</f>
        <v/>
      </c>
    </row>
    <row r="440">
      <c r="A440" s="1" t="s">
        <v>459</v>
      </c>
      <c r="B440" s="2">
        <v>574.0</v>
      </c>
      <c r="C440" s="4"/>
      <c r="E440" s="4" t="str">
        <f t="array" ref="E440">XLOOKUP(proper(A440),'Fintech, Regulatory Arbitrage, '!A:A,'Fintech, Regulatory Arbitrage, '!C:C,"")</f>
        <v/>
      </c>
    </row>
    <row r="441">
      <c r="A441" s="1" t="s">
        <v>460</v>
      </c>
      <c r="B441" s="2">
        <v>570.0</v>
      </c>
      <c r="C441" s="4"/>
      <c r="E441" s="4" t="str">
        <f t="array" ref="E441">XLOOKUP(proper(A441),'Fintech, Regulatory Arbitrage, '!A:A,'Fintech, Regulatory Arbitrage, '!C:C,"")</f>
        <v/>
      </c>
    </row>
    <row r="442">
      <c r="A442" s="1" t="s">
        <v>461</v>
      </c>
      <c r="B442" s="2">
        <v>569.0</v>
      </c>
      <c r="C442" s="4"/>
      <c r="E442" s="4" t="str">
        <f t="array" ref="E442">XLOOKUP(proper(A442),'Fintech, Regulatory Arbitrage, '!A:A,'Fintech, Regulatory Arbitrage, '!C:C,"")</f>
        <v/>
      </c>
    </row>
    <row r="443">
      <c r="A443" s="1" t="s">
        <v>462</v>
      </c>
      <c r="B443" s="2">
        <v>562.0</v>
      </c>
      <c r="C443" s="4"/>
      <c r="E443" s="4" t="str">
        <f t="array" ref="E443">XLOOKUP(proper(A443),'Fintech, Regulatory Arbitrage, '!A:A,'Fintech, Regulatory Arbitrage, '!C:C,"")</f>
        <v/>
      </c>
    </row>
    <row r="444">
      <c r="A444" s="1" t="s">
        <v>463</v>
      </c>
      <c r="B444" s="2">
        <v>561.0</v>
      </c>
      <c r="C444" s="4"/>
      <c r="E444" s="4" t="str">
        <f t="array" ref="E444">XLOOKUP(proper(A444),'Fintech, Regulatory Arbitrage, '!A:A,'Fintech, Regulatory Arbitrage, '!C:C,"")</f>
        <v/>
      </c>
    </row>
    <row r="445">
      <c r="A445" s="1" t="s">
        <v>464</v>
      </c>
      <c r="B445" s="2">
        <v>558.0</v>
      </c>
      <c r="C445" s="4"/>
      <c r="E445" s="4" t="str">
        <f t="array" ref="E445">XLOOKUP(proper(A445),'Fintech, Regulatory Arbitrage, '!A:A,'Fintech, Regulatory Arbitrage, '!C:C,"")</f>
        <v/>
      </c>
    </row>
    <row r="446">
      <c r="A446" s="1" t="s">
        <v>465</v>
      </c>
      <c r="B446" s="2">
        <v>557.0</v>
      </c>
      <c r="C446" s="4"/>
      <c r="E446" s="4" t="str">
        <f t="array" ref="E446">XLOOKUP(proper(A446),'Fintech, Regulatory Arbitrage, '!A:A,'Fintech, Regulatory Arbitrage, '!C:C,"")</f>
        <v/>
      </c>
    </row>
    <row r="447">
      <c r="A447" s="1" t="s">
        <v>466</v>
      </c>
      <c r="B447" s="2">
        <v>552.0</v>
      </c>
      <c r="C447" s="3" t="s">
        <v>12</v>
      </c>
      <c r="E447" s="4" t="str">
        <f t="array" ref="E447">XLOOKUP(proper(A447),'Fintech, Regulatory Arbitrage, '!A:A,'Fintech, Regulatory Arbitrage, '!C:C,"")</f>
        <v/>
      </c>
    </row>
    <row r="448">
      <c r="A448" s="1" t="s">
        <v>467</v>
      </c>
      <c r="B448" s="2">
        <v>552.0</v>
      </c>
      <c r="C448" s="4"/>
      <c r="E448" s="4" t="str">
        <f t="array" ref="E448">XLOOKUP(proper(A448),'Fintech, Regulatory Arbitrage, '!A:A,'Fintech, Regulatory Arbitrage, '!C:C,"")</f>
        <v/>
      </c>
    </row>
    <row r="449">
      <c r="A449" s="1" t="s">
        <v>468</v>
      </c>
      <c r="B449" s="2">
        <v>550.0</v>
      </c>
      <c r="C449" s="4"/>
      <c r="E449" s="4" t="str">
        <f t="array" ref="E449">XLOOKUP(proper(A449),'Fintech, Regulatory Arbitrage, '!A:A,'Fintech, Regulatory Arbitrage, '!C:C,"")</f>
        <v/>
      </c>
    </row>
    <row r="450">
      <c r="A450" s="1" t="s">
        <v>469</v>
      </c>
      <c r="B450" s="2">
        <v>549.0</v>
      </c>
      <c r="C450" s="4"/>
      <c r="E450" s="4" t="str">
        <f t="array" ref="E450">XLOOKUP(proper(A450),'Fintech, Regulatory Arbitrage, '!A:A,'Fintech, Regulatory Arbitrage, '!C:C,"")</f>
        <v/>
      </c>
    </row>
    <row r="451">
      <c r="A451" s="1" t="s">
        <v>470</v>
      </c>
      <c r="B451" s="2">
        <v>546.0</v>
      </c>
      <c r="C451" s="4"/>
      <c r="E451" s="4" t="str">
        <f t="array" ref="E451">XLOOKUP(proper(A451),'Fintech, Regulatory Arbitrage, '!A:A,'Fintech, Regulatory Arbitrage, '!C:C,"")</f>
        <v/>
      </c>
    </row>
    <row r="452">
      <c r="A452" s="1" t="s">
        <v>471</v>
      </c>
      <c r="B452" s="2">
        <v>545.0</v>
      </c>
      <c r="C452" s="4"/>
      <c r="E452" s="4" t="str">
        <f t="array" ref="E452">XLOOKUP(proper(A452),'Fintech, Regulatory Arbitrage, '!A:A,'Fintech, Regulatory Arbitrage, '!C:C,"")</f>
        <v/>
      </c>
    </row>
    <row r="453">
      <c r="A453" s="1" t="s">
        <v>472</v>
      </c>
      <c r="B453" s="2">
        <v>544.0</v>
      </c>
      <c r="C453" s="4"/>
      <c r="E453" s="4" t="str">
        <f t="array" ref="E453">XLOOKUP(proper(A453),'Fintech, Regulatory Arbitrage, '!A:A,'Fintech, Regulatory Arbitrage, '!C:C,"")</f>
        <v/>
      </c>
    </row>
    <row r="454">
      <c r="A454" s="1" t="s">
        <v>473</v>
      </c>
      <c r="B454" s="2">
        <v>539.0</v>
      </c>
      <c r="C454" s="4"/>
      <c r="E454" s="4" t="str">
        <f t="array" ref="E454">XLOOKUP(proper(A454),'Fintech, Regulatory Arbitrage, '!A:A,'Fintech, Regulatory Arbitrage, '!C:C,"")</f>
        <v/>
      </c>
    </row>
    <row r="455">
      <c r="A455" s="1" t="s">
        <v>474</v>
      </c>
      <c r="B455" s="2">
        <v>538.0</v>
      </c>
      <c r="C455" s="4"/>
      <c r="E455" s="4" t="str">
        <f t="array" ref="E455">XLOOKUP(proper(A455),'Fintech, Regulatory Arbitrage, '!A:A,'Fintech, Regulatory Arbitrage, '!C:C,"")</f>
        <v/>
      </c>
    </row>
    <row r="456">
      <c r="A456" s="1" t="s">
        <v>475</v>
      </c>
      <c r="B456" s="2">
        <v>535.0</v>
      </c>
      <c r="C456" s="4"/>
      <c r="E456" s="4" t="str">
        <f t="array" ref="E456">XLOOKUP(proper(A456),'Fintech, Regulatory Arbitrage, '!A:A,'Fintech, Regulatory Arbitrage, '!C:C,"")</f>
        <v/>
      </c>
    </row>
    <row r="457">
      <c r="A457" s="1" t="s">
        <v>476</v>
      </c>
      <c r="B457" s="2">
        <v>534.0</v>
      </c>
      <c r="C457" s="4"/>
      <c r="E457" s="4" t="str">
        <f t="array" ref="E457">XLOOKUP(proper(A457),'Fintech, Regulatory Arbitrage, '!A:A,'Fintech, Regulatory Arbitrage, '!C:C,"")</f>
        <v/>
      </c>
    </row>
    <row r="458">
      <c r="A458" s="1" t="s">
        <v>477</v>
      </c>
      <c r="B458" s="2">
        <v>533.0</v>
      </c>
      <c r="C458" s="4"/>
      <c r="E458" s="4" t="str">
        <f t="array" ref="E458">XLOOKUP(proper(A458),'Fintech, Regulatory Arbitrage, '!A:A,'Fintech, Regulatory Arbitrage, '!C:C,"")</f>
        <v/>
      </c>
    </row>
    <row r="459">
      <c r="A459" s="1" t="s">
        <v>478</v>
      </c>
      <c r="B459" s="2">
        <v>531.0</v>
      </c>
      <c r="C459" s="4"/>
      <c r="E459" s="4" t="str">
        <f t="array" ref="E459">XLOOKUP(proper(A459),'Fintech, Regulatory Arbitrage, '!A:A,'Fintech, Regulatory Arbitrage, '!C:C,"")</f>
        <v/>
      </c>
    </row>
    <row r="460">
      <c r="A460" s="1" t="s">
        <v>479</v>
      </c>
      <c r="B460" s="2">
        <v>529.0</v>
      </c>
      <c r="C460" s="4"/>
      <c r="E460" s="4" t="str">
        <f t="array" ref="E460">XLOOKUP(proper(A460),'Fintech, Regulatory Arbitrage, '!A:A,'Fintech, Regulatory Arbitrage, '!C:C,"")</f>
        <v/>
      </c>
    </row>
    <row r="461">
      <c r="A461" s="1" t="s">
        <v>480</v>
      </c>
      <c r="B461" s="2">
        <v>528.0</v>
      </c>
      <c r="C461" s="4"/>
      <c r="E461" s="4" t="str">
        <f t="array" ref="E461">XLOOKUP(proper(A461),'Fintech, Regulatory Arbitrage, '!A:A,'Fintech, Regulatory Arbitrage, '!C:C,"")</f>
        <v/>
      </c>
    </row>
    <row r="462">
      <c r="A462" s="1" t="s">
        <v>481</v>
      </c>
      <c r="B462" s="2">
        <v>526.0</v>
      </c>
      <c r="C462" s="4"/>
      <c r="E462" s="4" t="str">
        <f t="array" ref="E462">XLOOKUP(proper(A462),'Fintech, Regulatory Arbitrage, '!A:A,'Fintech, Regulatory Arbitrage, '!C:C,"")</f>
        <v/>
      </c>
    </row>
    <row r="463">
      <c r="A463" s="1" t="s">
        <v>482</v>
      </c>
      <c r="B463" s="2">
        <v>525.0</v>
      </c>
      <c r="C463" s="4"/>
      <c r="E463" s="4" t="str">
        <f t="array" ref="E463">XLOOKUP(proper(A463),'Fintech, Regulatory Arbitrage, '!A:A,'Fintech, Regulatory Arbitrage, '!C:C,"")</f>
        <v/>
      </c>
    </row>
    <row r="464">
      <c r="A464" s="1" t="s">
        <v>483</v>
      </c>
      <c r="B464" s="2">
        <v>523.0</v>
      </c>
      <c r="C464" s="4"/>
      <c r="E464" s="4" t="str">
        <f t="array" ref="E464">XLOOKUP(proper(A464),'Fintech, Regulatory Arbitrage, '!A:A,'Fintech, Regulatory Arbitrage, '!C:C,"")</f>
        <v/>
      </c>
    </row>
    <row r="465">
      <c r="A465" s="1" t="s">
        <v>484</v>
      </c>
      <c r="B465" s="2">
        <v>523.0</v>
      </c>
      <c r="C465" s="4"/>
      <c r="E465" s="4" t="str">
        <f t="array" ref="E465">XLOOKUP(proper(A465),'Fintech, Regulatory Arbitrage, '!A:A,'Fintech, Regulatory Arbitrage, '!C:C,"")</f>
        <v/>
      </c>
    </row>
    <row r="466">
      <c r="A466" s="1" t="s">
        <v>485</v>
      </c>
      <c r="B466" s="2">
        <v>521.0</v>
      </c>
      <c r="C466" s="4"/>
      <c r="E466" s="4" t="str">
        <f t="array" ref="E466">XLOOKUP(proper(A466),'Fintech, Regulatory Arbitrage, '!A:A,'Fintech, Regulatory Arbitrage, '!C:C,"")</f>
        <v/>
      </c>
    </row>
    <row r="467">
      <c r="A467" s="1" t="s">
        <v>486</v>
      </c>
      <c r="B467" s="2">
        <v>521.0</v>
      </c>
      <c r="C467" s="4"/>
      <c r="E467" s="4" t="str">
        <f t="array" ref="E467">XLOOKUP(proper(A467),'Fintech, Regulatory Arbitrage, '!A:A,'Fintech, Regulatory Arbitrage, '!C:C,"")</f>
        <v/>
      </c>
    </row>
    <row r="468">
      <c r="A468" s="1" t="s">
        <v>487</v>
      </c>
      <c r="B468" s="2">
        <v>520.0</v>
      </c>
      <c r="C468" s="4"/>
      <c r="E468" s="4" t="str">
        <f t="array" ref="E468">XLOOKUP(proper(A468),'Fintech, Regulatory Arbitrage, '!A:A,'Fintech, Regulatory Arbitrage, '!C:C,"")</f>
        <v/>
      </c>
    </row>
    <row r="469">
      <c r="A469" s="1" t="s">
        <v>488</v>
      </c>
      <c r="B469" s="2">
        <v>520.0</v>
      </c>
      <c r="C469" s="4"/>
      <c r="E469" s="4" t="str">
        <f t="array" ref="E469">XLOOKUP(proper(A469),'Fintech, Regulatory Arbitrage, '!A:A,'Fintech, Regulatory Arbitrage, '!C:C,"")</f>
        <v/>
      </c>
    </row>
    <row r="470">
      <c r="A470" s="1" t="s">
        <v>489</v>
      </c>
      <c r="B470" s="2">
        <v>520.0</v>
      </c>
      <c r="C470" s="4"/>
      <c r="E470" s="4" t="str">
        <f t="array" ref="E470">XLOOKUP(proper(A470),'Fintech, Regulatory Arbitrage, '!A:A,'Fintech, Regulatory Arbitrage, '!C:C,"")</f>
        <v/>
      </c>
    </row>
    <row r="471">
      <c r="A471" s="1" t="s">
        <v>490</v>
      </c>
      <c r="B471" s="2">
        <v>518.0</v>
      </c>
      <c r="C471" s="4"/>
      <c r="E471" s="4" t="str">
        <f t="array" ref="E471">XLOOKUP(proper(A471),'Fintech, Regulatory Arbitrage, '!A:A,'Fintech, Regulatory Arbitrage, '!C:C,"")</f>
        <v/>
      </c>
    </row>
    <row r="472">
      <c r="A472" s="1" t="s">
        <v>491</v>
      </c>
      <c r="B472" s="2">
        <v>516.0</v>
      </c>
      <c r="C472" s="4"/>
      <c r="E472" s="4" t="str">
        <f t="array" ref="E472">XLOOKUP(proper(A472),'Fintech, Regulatory Arbitrage, '!A:A,'Fintech, Regulatory Arbitrage, '!C:C,"")</f>
        <v/>
      </c>
    </row>
    <row r="473">
      <c r="A473" s="1" t="s">
        <v>492</v>
      </c>
      <c r="B473" s="2">
        <v>514.0</v>
      </c>
      <c r="C473" s="4"/>
      <c r="E473" s="4" t="str">
        <f t="array" ref="E473">XLOOKUP(proper(A473),'Fintech, Regulatory Arbitrage, '!A:A,'Fintech, Regulatory Arbitrage, '!C:C,"")</f>
        <v/>
      </c>
    </row>
    <row r="474">
      <c r="A474" s="1" t="s">
        <v>493</v>
      </c>
      <c r="B474" s="2">
        <v>513.0</v>
      </c>
      <c r="C474" s="4"/>
      <c r="E474" s="4" t="str">
        <f t="array" ref="E474">XLOOKUP(proper(A474),'Fintech, Regulatory Arbitrage, '!A:A,'Fintech, Regulatory Arbitrage, '!C:C,"")</f>
        <v/>
      </c>
    </row>
    <row r="475">
      <c r="A475" s="1" t="s">
        <v>494</v>
      </c>
      <c r="B475" s="2">
        <v>511.0</v>
      </c>
      <c r="C475" s="4"/>
      <c r="E475" s="4" t="str">
        <f t="array" ref="E475">XLOOKUP(proper(A475),'Fintech, Regulatory Arbitrage, '!A:A,'Fintech, Regulatory Arbitrage, '!C:C,"")</f>
        <v/>
      </c>
    </row>
    <row r="476">
      <c r="A476" s="1" t="s">
        <v>495</v>
      </c>
      <c r="B476" s="2">
        <v>509.0</v>
      </c>
      <c r="C476" s="4"/>
      <c r="E476" s="4" t="str">
        <f t="array" ref="E476">XLOOKUP(proper(A476),'Fintech, Regulatory Arbitrage, '!A:A,'Fintech, Regulatory Arbitrage, '!C:C,"")</f>
        <v/>
      </c>
    </row>
    <row r="477">
      <c r="A477" s="1" t="s">
        <v>496</v>
      </c>
      <c r="B477" s="2">
        <v>507.0</v>
      </c>
      <c r="C477" s="4"/>
      <c r="E477" s="4" t="str">
        <f t="array" ref="E477">XLOOKUP(proper(A477),'Fintech, Regulatory Arbitrage, '!A:A,'Fintech, Regulatory Arbitrage, '!C:C,"")</f>
        <v/>
      </c>
    </row>
    <row r="478">
      <c r="A478" s="1" t="s">
        <v>497</v>
      </c>
      <c r="B478" s="2">
        <v>507.0</v>
      </c>
      <c r="C478" s="4"/>
      <c r="E478" s="4" t="str">
        <f t="array" ref="E478">XLOOKUP(proper(A478),'Fintech, Regulatory Arbitrage, '!A:A,'Fintech, Regulatory Arbitrage, '!C:C,"")</f>
        <v/>
      </c>
    </row>
    <row r="479">
      <c r="A479" s="1" t="s">
        <v>498</v>
      </c>
      <c r="B479" s="2">
        <v>505.0</v>
      </c>
      <c r="C479" s="4"/>
      <c r="E479" s="4" t="str">
        <f t="array" ref="E479">XLOOKUP(proper(A479),'Fintech, Regulatory Arbitrage, '!A:A,'Fintech, Regulatory Arbitrage, '!C:C,"")</f>
        <v/>
      </c>
    </row>
    <row r="480">
      <c r="A480" s="1" t="s">
        <v>499</v>
      </c>
      <c r="B480" s="2">
        <v>505.0</v>
      </c>
      <c r="C480" s="4"/>
      <c r="E480" s="4" t="str">
        <f t="array" ref="E480">XLOOKUP(proper(A480),'Fintech, Regulatory Arbitrage, '!A:A,'Fintech, Regulatory Arbitrage, '!C:C,"")</f>
        <v/>
      </c>
    </row>
    <row r="481">
      <c r="A481" s="1" t="s">
        <v>500</v>
      </c>
      <c r="B481" s="2">
        <v>500.0</v>
      </c>
      <c r="C481" s="4"/>
      <c r="E481" s="4" t="str">
        <f t="array" ref="E481">XLOOKUP(proper(A481),'Fintech, Regulatory Arbitrage, '!A:A,'Fintech, Regulatory Arbitrage, '!C:C,"")</f>
        <v/>
      </c>
    </row>
    <row r="482">
      <c r="A482" s="1" t="s">
        <v>501</v>
      </c>
      <c r="B482" s="2">
        <v>498.0</v>
      </c>
      <c r="C482" s="4"/>
      <c r="E482" s="4" t="str">
        <f t="array" ref="E482">XLOOKUP(proper(A482),'Fintech, Regulatory Arbitrage, '!A:A,'Fintech, Regulatory Arbitrage, '!C:C,"")</f>
        <v/>
      </c>
    </row>
    <row r="483">
      <c r="A483" s="1" t="s">
        <v>502</v>
      </c>
      <c r="B483" s="2">
        <v>496.0</v>
      </c>
      <c r="C483" s="4"/>
      <c r="E483" s="4" t="str">
        <f t="array" ref="E483">XLOOKUP(proper(A483),'Fintech, Regulatory Arbitrage, '!A:A,'Fintech, Regulatory Arbitrage, '!C:C,"")</f>
        <v/>
      </c>
    </row>
    <row r="484">
      <c r="A484" s="1" t="s">
        <v>503</v>
      </c>
      <c r="B484" s="2">
        <v>495.0</v>
      </c>
      <c r="C484" s="4"/>
      <c r="E484" s="4" t="str">
        <f t="array" ref="E484">XLOOKUP(proper(A484),'Fintech, Regulatory Arbitrage, '!A:A,'Fintech, Regulatory Arbitrage, '!C:C,"")</f>
        <v/>
      </c>
    </row>
    <row r="485">
      <c r="A485" s="1" t="s">
        <v>504</v>
      </c>
      <c r="B485" s="2">
        <v>494.0</v>
      </c>
      <c r="C485" s="4"/>
      <c r="E485" s="4" t="str">
        <f t="array" ref="E485">XLOOKUP(proper(A485),'Fintech, Regulatory Arbitrage, '!A:A,'Fintech, Regulatory Arbitrage, '!C:C,"")</f>
        <v/>
      </c>
    </row>
    <row r="486">
      <c r="A486" s="1" t="s">
        <v>505</v>
      </c>
      <c r="B486" s="2">
        <v>493.0</v>
      </c>
      <c r="C486" s="4"/>
      <c r="E486" s="4" t="str">
        <f t="array" ref="E486">XLOOKUP(proper(A486),'Fintech, Regulatory Arbitrage, '!A:A,'Fintech, Regulatory Arbitrage, '!C:C,"")</f>
        <v/>
      </c>
    </row>
    <row r="487">
      <c r="A487" s="1" t="s">
        <v>506</v>
      </c>
      <c r="B487" s="2">
        <v>493.0</v>
      </c>
      <c r="C487" s="4"/>
      <c r="E487" s="4" t="str">
        <f t="array" ref="E487">XLOOKUP(proper(A487),'Fintech, Regulatory Arbitrage, '!A:A,'Fintech, Regulatory Arbitrage, '!C:C,"")</f>
        <v/>
      </c>
    </row>
    <row r="488">
      <c r="A488" s="1" t="s">
        <v>507</v>
      </c>
      <c r="B488" s="2">
        <v>490.0</v>
      </c>
      <c r="C488" s="4"/>
      <c r="E488" s="4" t="str">
        <f t="array" ref="E488">XLOOKUP(proper(A488),'Fintech, Regulatory Arbitrage, '!A:A,'Fintech, Regulatory Arbitrage, '!C:C,"")</f>
        <v/>
      </c>
    </row>
    <row r="489">
      <c r="A489" s="1" t="s">
        <v>508</v>
      </c>
      <c r="B489" s="2">
        <v>489.0</v>
      </c>
      <c r="C489" s="4"/>
      <c r="E489" s="4" t="str">
        <f t="array" ref="E489">XLOOKUP(proper(A489),'Fintech, Regulatory Arbitrage, '!A:A,'Fintech, Regulatory Arbitrage, '!C:C,"")</f>
        <v/>
      </c>
    </row>
    <row r="490">
      <c r="A490" s="1" t="s">
        <v>509</v>
      </c>
      <c r="B490" s="2">
        <v>484.0</v>
      </c>
      <c r="C490" s="4"/>
      <c r="E490" s="4" t="str">
        <f t="array" ref="E490">XLOOKUP(proper(A490),'Fintech, Regulatory Arbitrage, '!A:A,'Fintech, Regulatory Arbitrage, '!C:C,"")</f>
        <v/>
      </c>
    </row>
    <row r="491">
      <c r="A491" s="1" t="s">
        <v>510</v>
      </c>
      <c r="B491" s="2">
        <v>484.0</v>
      </c>
      <c r="C491" s="4"/>
      <c r="E491" s="4" t="str">
        <f t="array" ref="E491">XLOOKUP(proper(A491),'Fintech, Regulatory Arbitrage, '!A:A,'Fintech, Regulatory Arbitrage, '!C:C,"")</f>
        <v/>
      </c>
    </row>
    <row r="492">
      <c r="A492" s="1" t="s">
        <v>511</v>
      </c>
      <c r="B492" s="2">
        <v>481.0</v>
      </c>
      <c r="C492" s="4"/>
      <c r="E492" s="4" t="str">
        <f t="array" ref="E492">XLOOKUP(proper(A492),'Fintech, Regulatory Arbitrage, '!A:A,'Fintech, Regulatory Arbitrage, '!C:C,"")</f>
        <v/>
      </c>
    </row>
    <row r="493">
      <c r="A493" s="1" t="s">
        <v>512</v>
      </c>
      <c r="B493" s="2">
        <v>481.0</v>
      </c>
      <c r="C493" s="4"/>
      <c r="E493" s="4" t="str">
        <f t="array" ref="E493">XLOOKUP(proper(A493),'Fintech, Regulatory Arbitrage, '!A:A,'Fintech, Regulatory Arbitrage, '!C:C,"")</f>
        <v/>
      </c>
    </row>
    <row r="494">
      <c r="A494" s="1" t="s">
        <v>513</v>
      </c>
      <c r="B494" s="2">
        <v>480.0</v>
      </c>
      <c r="C494" s="4"/>
      <c r="E494" s="4" t="str">
        <f t="array" ref="E494">XLOOKUP(proper(A494),'Fintech, Regulatory Arbitrage, '!A:A,'Fintech, Regulatory Arbitrage, '!C:C,"")</f>
        <v/>
      </c>
    </row>
    <row r="495">
      <c r="A495" s="1" t="s">
        <v>514</v>
      </c>
      <c r="B495" s="2">
        <v>479.0</v>
      </c>
      <c r="C495" s="4"/>
      <c r="E495" s="4" t="str">
        <f t="array" ref="E495">XLOOKUP(proper(A495),'Fintech, Regulatory Arbitrage, '!A:A,'Fintech, Regulatory Arbitrage, '!C:C,"")</f>
        <v/>
      </c>
    </row>
    <row r="496">
      <c r="A496" s="1" t="s">
        <v>515</v>
      </c>
      <c r="B496" s="2">
        <v>479.0</v>
      </c>
      <c r="C496" s="4"/>
      <c r="E496" s="4" t="str">
        <f t="array" ref="E496">XLOOKUP(proper(A496),'Fintech, Regulatory Arbitrage, '!A:A,'Fintech, Regulatory Arbitrage, '!C:C,"")</f>
        <v/>
      </c>
    </row>
    <row r="497">
      <c r="A497" s="1" t="s">
        <v>516</v>
      </c>
      <c r="B497" s="2">
        <v>478.0</v>
      </c>
      <c r="C497" s="4"/>
      <c r="E497" s="4" t="str">
        <f t="array" ref="E497">XLOOKUP(proper(A497),'Fintech, Regulatory Arbitrage, '!A:A,'Fintech, Regulatory Arbitrage, '!C:C,"")</f>
        <v/>
      </c>
    </row>
    <row r="498">
      <c r="A498" s="1" t="s">
        <v>517</v>
      </c>
      <c r="B498" s="2">
        <v>476.0</v>
      </c>
      <c r="C498" s="4"/>
      <c r="E498" s="4" t="str">
        <f t="array" ref="E498">XLOOKUP(proper(A498),'Fintech, Regulatory Arbitrage, '!A:A,'Fintech, Regulatory Arbitrage, '!C:C,"")</f>
        <v/>
      </c>
    </row>
    <row r="499">
      <c r="A499" s="1" t="s">
        <v>518</v>
      </c>
      <c r="B499" s="2">
        <v>473.0</v>
      </c>
      <c r="C499" s="4"/>
      <c r="E499" s="4" t="str">
        <f t="array" ref="E499">XLOOKUP(proper(A499),'Fintech, Regulatory Arbitrage, '!A:A,'Fintech, Regulatory Arbitrage, '!C:C,"")</f>
        <v/>
      </c>
    </row>
    <row r="500">
      <c r="A500" s="1" t="s">
        <v>519</v>
      </c>
      <c r="B500" s="2">
        <v>469.0</v>
      </c>
      <c r="C500" s="4"/>
      <c r="E500" s="4" t="str">
        <f t="array" ref="E500">XLOOKUP(proper(A500),'Fintech, Regulatory Arbitrage, '!A:A,'Fintech, Regulatory Arbitrage, '!C:C,"")</f>
        <v/>
      </c>
    </row>
    <row r="501">
      <c r="A501" s="1" t="s">
        <v>520</v>
      </c>
      <c r="B501" s="2">
        <v>467.0</v>
      </c>
      <c r="C501" s="4"/>
      <c r="E501" s="4" t="str">
        <f t="array" ref="E501">XLOOKUP(proper(A501),'Fintech, Regulatory Arbitrage, '!A:A,'Fintech, Regulatory Arbitrage, '!C:C,"")</f>
        <v/>
      </c>
    </row>
    <row r="502">
      <c r="A502" s="1" t="s">
        <v>521</v>
      </c>
      <c r="B502" s="2">
        <v>467.0</v>
      </c>
      <c r="C502" s="4"/>
      <c r="E502" s="4" t="str">
        <f t="array" ref="E502">XLOOKUP(proper(A502),'Fintech, Regulatory Arbitrage, '!A:A,'Fintech, Regulatory Arbitrage, '!C:C,"")</f>
        <v/>
      </c>
    </row>
    <row r="503">
      <c r="A503" s="1" t="s">
        <v>522</v>
      </c>
      <c r="B503" s="2">
        <v>462.0</v>
      </c>
      <c r="C503" s="4"/>
      <c r="E503" s="4" t="str">
        <f t="array" ref="E503">XLOOKUP(proper(A503),'Fintech, Regulatory Arbitrage, '!A:A,'Fintech, Regulatory Arbitrage, '!C:C,"")</f>
        <v/>
      </c>
    </row>
    <row r="504">
      <c r="A504" s="1" t="s">
        <v>523</v>
      </c>
      <c r="B504" s="2">
        <v>460.0</v>
      </c>
      <c r="C504" s="4"/>
      <c r="E504" s="4" t="str">
        <f t="array" ref="E504">XLOOKUP(proper(A504),'Fintech, Regulatory Arbitrage, '!A:A,'Fintech, Regulatory Arbitrage, '!C:C,"")</f>
        <v/>
      </c>
    </row>
    <row r="505">
      <c r="A505" s="1" t="s">
        <v>524</v>
      </c>
      <c r="B505" s="2">
        <v>459.0</v>
      </c>
      <c r="C505" s="4"/>
      <c r="E505" s="4" t="str">
        <f t="array" ref="E505">XLOOKUP(proper(A505),'Fintech, Regulatory Arbitrage, '!A:A,'Fintech, Regulatory Arbitrage, '!C:C,"")</f>
        <v/>
      </c>
    </row>
    <row r="506">
      <c r="A506" s="1" t="s">
        <v>525</v>
      </c>
      <c r="B506" s="2">
        <v>458.0</v>
      </c>
      <c r="C506" s="3" t="s">
        <v>20</v>
      </c>
      <c r="E506" s="4" t="str">
        <f t="array" ref="E506">XLOOKUP(proper(A506),'Fintech, Regulatory Arbitrage, '!A:A,'Fintech, Regulatory Arbitrage, '!C:C,"")</f>
        <v/>
      </c>
    </row>
    <row r="507">
      <c r="A507" s="1" t="s">
        <v>526</v>
      </c>
      <c r="B507" s="2">
        <v>453.0</v>
      </c>
      <c r="C507" s="4"/>
      <c r="E507" s="4" t="str">
        <f t="array" ref="E507">XLOOKUP(proper(A507),'Fintech, Regulatory Arbitrage, '!A:A,'Fintech, Regulatory Arbitrage, '!C:C,"")</f>
        <v/>
      </c>
    </row>
    <row r="508">
      <c r="A508" s="1" t="s">
        <v>527</v>
      </c>
      <c r="B508" s="2">
        <v>453.0</v>
      </c>
      <c r="C508" s="4"/>
      <c r="E508" s="4" t="str">
        <f t="array" ref="E508">XLOOKUP(proper(A508),'Fintech, Regulatory Arbitrage, '!A:A,'Fintech, Regulatory Arbitrage, '!C:C,"")</f>
        <v/>
      </c>
    </row>
    <row r="509">
      <c r="A509" s="1" t="s">
        <v>528</v>
      </c>
      <c r="B509" s="2">
        <v>450.0</v>
      </c>
      <c r="C509" s="4"/>
      <c r="E509" s="4" t="str">
        <f t="array" ref="E509">XLOOKUP(proper(A509),'Fintech, Regulatory Arbitrage, '!A:A,'Fintech, Regulatory Arbitrage, '!C:C,"")</f>
        <v/>
      </c>
    </row>
    <row r="510">
      <c r="A510" s="1" t="s">
        <v>529</v>
      </c>
      <c r="B510" s="2">
        <v>450.0</v>
      </c>
      <c r="C510" s="4"/>
      <c r="E510" s="4" t="str">
        <f t="array" ref="E510">XLOOKUP(proper(A510),'Fintech, Regulatory Arbitrage, '!A:A,'Fintech, Regulatory Arbitrage, '!C:C,"")</f>
        <v/>
      </c>
    </row>
    <row r="511">
      <c r="A511" s="1" t="s">
        <v>530</v>
      </c>
      <c r="B511" s="2">
        <v>449.0</v>
      </c>
      <c r="C511" s="4"/>
      <c r="E511" s="4" t="str">
        <f t="array" ref="E511">XLOOKUP(proper(A511),'Fintech, Regulatory Arbitrage, '!A:A,'Fintech, Regulatory Arbitrage, '!C:C,"")</f>
        <v/>
      </c>
    </row>
    <row r="512">
      <c r="A512" s="1" t="s">
        <v>531</v>
      </c>
      <c r="B512" s="2">
        <v>449.0</v>
      </c>
      <c r="C512" s="4"/>
      <c r="E512" s="4" t="str">
        <f t="array" ref="E512">XLOOKUP(proper(A512),'Fintech, Regulatory Arbitrage, '!A:A,'Fintech, Regulatory Arbitrage, '!C:C,"")</f>
        <v/>
      </c>
    </row>
    <row r="513">
      <c r="A513" s="1" t="s">
        <v>532</v>
      </c>
      <c r="B513" s="2">
        <v>447.0</v>
      </c>
      <c r="C513" s="4"/>
      <c r="E513" s="4" t="str">
        <f t="array" ref="E513">XLOOKUP(proper(A513),'Fintech, Regulatory Arbitrage, '!A:A,'Fintech, Regulatory Arbitrage, '!C:C,"")</f>
        <v/>
      </c>
    </row>
    <row r="514">
      <c r="A514" s="1" t="s">
        <v>533</v>
      </c>
      <c r="B514" s="2">
        <v>446.0</v>
      </c>
      <c r="C514" s="4"/>
      <c r="E514" s="4" t="str">
        <f t="array" ref="E514">XLOOKUP(proper(A514),'Fintech, Regulatory Arbitrage, '!A:A,'Fintech, Regulatory Arbitrage, '!C:C,"")</f>
        <v/>
      </c>
    </row>
    <row r="515">
      <c r="A515" s="1" t="s">
        <v>534</v>
      </c>
      <c r="B515" s="2">
        <v>441.0</v>
      </c>
      <c r="C515" s="4"/>
      <c r="E515" s="4" t="str">
        <f t="array" ref="E515">XLOOKUP(proper(A515),'Fintech, Regulatory Arbitrage, '!A:A,'Fintech, Regulatory Arbitrage, '!C:C,"")</f>
        <v/>
      </c>
    </row>
    <row r="516">
      <c r="A516" s="1" t="s">
        <v>535</v>
      </c>
      <c r="B516" s="2">
        <v>437.0</v>
      </c>
      <c r="C516" s="4"/>
      <c r="E516" s="4" t="str">
        <f t="array" ref="E516">XLOOKUP(proper(A516),'Fintech, Regulatory Arbitrage, '!A:A,'Fintech, Regulatory Arbitrage, '!C:C,"")</f>
        <v/>
      </c>
    </row>
    <row r="517">
      <c r="A517" s="1" t="s">
        <v>536</v>
      </c>
      <c r="B517" s="2">
        <v>436.0</v>
      </c>
      <c r="C517" s="4"/>
      <c r="E517" s="4" t="str">
        <f t="array" ref="E517">XLOOKUP(proper(A517),'Fintech, Regulatory Arbitrage, '!A:A,'Fintech, Regulatory Arbitrage, '!C:C,"")</f>
        <v/>
      </c>
    </row>
    <row r="518">
      <c r="A518" s="1" t="s">
        <v>537</v>
      </c>
      <c r="B518" s="2">
        <v>434.0</v>
      </c>
      <c r="C518" s="4"/>
      <c r="E518" s="4" t="str">
        <f t="array" ref="E518">XLOOKUP(proper(A518),'Fintech, Regulatory Arbitrage, '!A:A,'Fintech, Regulatory Arbitrage, '!C:C,"")</f>
        <v/>
      </c>
    </row>
    <row r="519">
      <c r="A519" s="1" t="s">
        <v>538</v>
      </c>
      <c r="B519" s="2">
        <v>434.0</v>
      </c>
      <c r="C519" s="3" t="s">
        <v>12</v>
      </c>
      <c r="E519" s="4" t="str">
        <f t="array" ref="E519">XLOOKUP(proper(A519),'Fintech, Regulatory Arbitrage, '!A:A,'Fintech, Regulatory Arbitrage, '!C:C,"")</f>
        <v/>
      </c>
    </row>
    <row r="520">
      <c r="A520" s="1" t="s">
        <v>539</v>
      </c>
      <c r="B520" s="2">
        <v>433.0</v>
      </c>
      <c r="C520" s="4"/>
      <c r="E520" s="4" t="str">
        <f t="array" ref="E520">XLOOKUP(proper(A520),'Fintech, Regulatory Arbitrage, '!A:A,'Fintech, Regulatory Arbitrage, '!C:C,"")</f>
        <v/>
      </c>
    </row>
    <row r="521">
      <c r="A521" s="1" t="s">
        <v>540</v>
      </c>
      <c r="B521" s="2">
        <v>431.0</v>
      </c>
      <c r="C521" s="4"/>
      <c r="E521" s="4" t="str">
        <f t="array" ref="E521">XLOOKUP(proper(A521),'Fintech, Regulatory Arbitrage, '!A:A,'Fintech, Regulatory Arbitrage, '!C:C,"")</f>
        <v/>
      </c>
    </row>
    <row r="522">
      <c r="A522" s="1" t="s">
        <v>541</v>
      </c>
      <c r="B522" s="2">
        <v>431.0</v>
      </c>
      <c r="C522" s="4"/>
      <c r="E522" s="4" t="str">
        <f t="array" ref="E522">XLOOKUP(proper(A522),'Fintech, Regulatory Arbitrage, '!A:A,'Fintech, Regulatory Arbitrage, '!C:C,"")</f>
        <v/>
      </c>
    </row>
    <row r="523">
      <c r="A523" s="1" t="s">
        <v>542</v>
      </c>
      <c r="B523" s="2">
        <v>429.0</v>
      </c>
      <c r="C523" s="4"/>
      <c r="E523" s="4" t="str">
        <f t="array" ref="E523">XLOOKUP(proper(A523),'Fintech, Regulatory Arbitrage, '!A:A,'Fintech, Regulatory Arbitrage, '!C:C,"")</f>
        <v/>
      </c>
    </row>
    <row r="524">
      <c r="A524" s="1" t="s">
        <v>543</v>
      </c>
      <c r="B524" s="2">
        <v>425.0</v>
      </c>
      <c r="C524" s="4"/>
      <c r="E524" s="4" t="str">
        <f t="array" ref="E524">XLOOKUP(proper(A524),'Fintech, Regulatory Arbitrage, '!A:A,'Fintech, Regulatory Arbitrage, '!C:C,"")</f>
        <v/>
      </c>
    </row>
    <row r="525">
      <c r="A525" s="1" t="s">
        <v>544</v>
      </c>
      <c r="B525" s="2">
        <v>423.0</v>
      </c>
      <c r="C525" s="4"/>
      <c r="E525" s="4" t="str">
        <f t="array" ref="E525">XLOOKUP(proper(A525),'Fintech, Regulatory Arbitrage, '!A:A,'Fintech, Regulatory Arbitrage, '!C:C,"")</f>
        <v/>
      </c>
    </row>
    <row r="526">
      <c r="A526" s="1" t="s">
        <v>545</v>
      </c>
      <c r="B526" s="2">
        <v>423.0</v>
      </c>
      <c r="C526" s="4"/>
      <c r="E526" s="4" t="str">
        <f t="array" ref="E526">XLOOKUP(proper(A526),'Fintech, Regulatory Arbitrage, '!A:A,'Fintech, Regulatory Arbitrage, '!C:C,"")</f>
        <v/>
      </c>
    </row>
    <row r="527">
      <c r="A527" s="1" t="s">
        <v>546</v>
      </c>
      <c r="B527" s="2">
        <v>422.0</v>
      </c>
      <c r="C527" s="4"/>
      <c r="E527" s="4" t="str">
        <f t="array" ref="E527">XLOOKUP(proper(A527),'Fintech, Regulatory Arbitrage, '!A:A,'Fintech, Regulatory Arbitrage, '!C:C,"")</f>
        <v/>
      </c>
    </row>
    <row r="528">
      <c r="A528" s="1" t="s">
        <v>547</v>
      </c>
      <c r="B528" s="2">
        <v>421.0</v>
      </c>
      <c r="C528" s="4"/>
      <c r="E528" s="4" t="str">
        <f t="array" ref="E528">XLOOKUP(proper(A528),'Fintech, Regulatory Arbitrage, '!A:A,'Fintech, Regulatory Arbitrage, '!C:C,"")</f>
        <v/>
      </c>
    </row>
    <row r="529">
      <c r="A529" s="1" t="s">
        <v>548</v>
      </c>
      <c r="B529" s="2">
        <v>421.0</v>
      </c>
      <c r="C529" s="4"/>
      <c r="E529" s="4" t="str">
        <f t="array" ref="E529">XLOOKUP(proper(A529),'Fintech, Regulatory Arbitrage, '!A:A,'Fintech, Regulatory Arbitrage, '!C:C,"")</f>
        <v/>
      </c>
    </row>
    <row r="530">
      <c r="A530" s="1" t="s">
        <v>549</v>
      </c>
      <c r="B530" s="2">
        <v>420.0</v>
      </c>
      <c r="C530" s="4"/>
      <c r="E530" s="4" t="str">
        <f t="array" ref="E530">XLOOKUP(proper(A530),'Fintech, Regulatory Arbitrage, '!A:A,'Fintech, Regulatory Arbitrage, '!C:C,"")</f>
        <v/>
      </c>
    </row>
    <row r="531">
      <c r="A531" s="1" t="s">
        <v>550</v>
      </c>
      <c r="B531" s="2">
        <v>419.0</v>
      </c>
      <c r="C531" s="4"/>
      <c r="E531" s="4" t="str">
        <f t="array" ref="E531">XLOOKUP(proper(A531),'Fintech, Regulatory Arbitrage, '!A:A,'Fintech, Regulatory Arbitrage, '!C:C,"")</f>
        <v/>
      </c>
    </row>
    <row r="532">
      <c r="A532" s="1" t="s">
        <v>551</v>
      </c>
      <c r="B532" s="2">
        <v>419.0</v>
      </c>
      <c r="C532" s="4"/>
      <c r="E532" s="4" t="str">
        <f t="array" ref="E532">XLOOKUP(proper(A532),'Fintech, Regulatory Arbitrage, '!A:A,'Fintech, Regulatory Arbitrage, '!C:C,"")</f>
        <v/>
      </c>
    </row>
    <row r="533">
      <c r="A533" s="1" t="s">
        <v>552</v>
      </c>
      <c r="B533" s="2">
        <v>418.0</v>
      </c>
      <c r="C533" s="4"/>
      <c r="E533" s="4" t="str">
        <f t="array" ref="E533">XLOOKUP(proper(A533),'Fintech, Regulatory Arbitrage, '!A:A,'Fintech, Regulatory Arbitrage, '!C:C,"")</f>
        <v/>
      </c>
    </row>
    <row r="534">
      <c r="A534" s="1" t="s">
        <v>553</v>
      </c>
      <c r="B534" s="2">
        <v>417.0</v>
      </c>
      <c r="C534" s="4"/>
      <c r="E534" s="4" t="str">
        <f t="array" ref="E534">XLOOKUP(proper(A534),'Fintech, Regulatory Arbitrage, '!A:A,'Fintech, Regulatory Arbitrage, '!C:C,"")</f>
        <v/>
      </c>
    </row>
    <row r="535">
      <c r="A535" s="1" t="s">
        <v>554</v>
      </c>
      <c r="B535" s="2">
        <v>416.0</v>
      </c>
      <c r="C535" s="4"/>
      <c r="E535" s="4" t="str">
        <f t="array" ref="E535">XLOOKUP(proper(A535),'Fintech, Regulatory Arbitrage, '!A:A,'Fintech, Regulatory Arbitrage, '!C:C,"")</f>
        <v/>
      </c>
    </row>
    <row r="536">
      <c r="A536" s="1" t="s">
        <v>555</v>
      </c>
      <c r="B536" s="2">
        <v>415.0</v>
      </c>
      <c r="C536" s="4"/>
      <c r="E536" s="4" t="str">
        <f t="array" ref="E536">XLOOKUP(proper(A536),'Fintech, Regulatory Arbitrage, '!A:A,'Fintech, Regulatory Arbitrage, '!C:C,"")</f>
        <v/>
      </c>
    </row>
    <row r="537">
      <c r="A537" s="1" t="s">
        <v>556</v>
      </c>
      <c r="B537" s="2">
        <v>414.0</v>
      </c>
      <c r="C537" s="4"/>
      <c r="E537" s="4" t="str">
        <f t="array" ref="E537">XLOOKUP(proper(A537),'Fintech, Regulatory Arbitrage, '!A:A,'Fintech, Regulatory Arbitrage, '!C:C,"")</f>
        <v/>
      </c>
    </row>
    <row r="538">
      <c r="A538" s="1" t="s">
        <v>557</v>
      </c>
      <c r="B538" s="2">
        <v>413.0</v>
      </c>
      <c r="C538" s="4"/>
      <c r="E538" s="4" t="str">
        <f t="array" ref="E538">XLOOKUP(proper(A538),'Fintech, Regulatory Arbitrage, '!A:A,'Fintech, Regulatory Arbitrage, '!C:C,"")</f>
        <v/>
      </c>
    </row>
    <row r="539">
      <c r="A539" s="1" t="s">
        <v>558</v>
      </c>
      <c r="B539" s="2">
        <v>412.0</v>
      </c>
      <c r="C539" s="4"/>
      <c r="E539" s="4" t="str">
        <f t="array" ref="E539">XLOOKUP(proper(A539),'Fintech, Regulatory Arbitrage, '!A:A,'Fintech, Regulatory Arbitrage, '!C:C,"")</f>
        <v/>
      </c>
    </row>
    <row r="540">
      <c r="A540" s="1" t="s">
        <v>559</v>
      </c>
      <c r="B540" s="2">
        <v>411.0</v>
      </c>
      <c r="C540" s="4"/>
      <c r="E540" s="4" t="str">
        <f t="array" ref="E540">XLOOKUP(proper(A540),'Fintech, Regulatory Arbitrage, '!A:A,'Fintech, Regulatory Arbitrage, '!C:C,"")</f>
        <v/>
      </c>
    </row>
    <row r="541">
      <c r="A541" s="1" t="s">
        <v>560</v>
      </c>
      <c r="B541" s="2">
        <v>409.0</v>
      </c>
      <c r="C541" s="4"/>
      <c r="E541" s="4" t="str">
        <f t="array" ref="E541">XLOOKUP(proper(A541),'Fintech, Regulatory Arbitrage, '!A:A,'Fintech, Regulatory Arbitrage, '!C:C,"")</f>
        <v/>
      </c>
    </row>
    <row r="542">
      <c r="A542" s="1" t="s">
        <v>561</v>
      </c>
      <c r="B542" s="2">
        <v>403.0</v>
      </c>
      <c r="C542" s="4"/>
      <c r="E542" s="4" t="str">
        <f t="array" ref="E542">XLOOKUP(proper(A542),'Fintech, Regulatory Arbitrage, '!A:A,'Fintech, Regulatory Arbitrage, '!C:C,"")</f>
        <v/>
      </c>
    </row>
    <row r="543">
      <c r="A543" s="1" t="s">
        <v>562</v>
      </c>
      <c r="B543" s="2">
        <v>402.0</v>
      </c>
      <c r="C543" s="4"/>
      <c r="E543" s="4" t="str">
        <f t="array" ref="E543">XLOOKUP(proper(A543),'Fintech, Regulatory Arbitrage, '!A:A,'Fintech, Regulatory Arbitrage, '!C:C,"")</f>
        <v/>
      </c>
    </row>
    <row r="544">
      <c r="A544" s="1" t="s">
        <v>563</v>
      </c>
      <c r="B544" s="2">
        <v>400.0</v>
      </c>
      <c r="C544" s="4"/>
      <c r="E544" s="4" t="str">
        <f t="array" ref="E544">XLOOKUP(proper(A544),'Fintech, Regulatory Arbitrage, '!A:A,'Fintech, Regulatory Arbitrage, '!C:C,"")</f>
        <v/>
      </c>
    </row>
    <row r="545">
      <c r="A545" s="1" t="s">
        <v>564</v>
      </c>
      <c r="B545" s="2">
        <v>400.0</v>
      </c>
      <c r="C545" s="4"/>
      <c r="E545" s="4" t="str">
        <f t="array" ref="E545">XLOOKUP(proper(A545),'Fintech, Regulatory Arbitrage, '!A:A,'Fintech, Regulatory Arbitrage, '!C:C,"")</f>
        <v/>
      </c>
    </row>
    <row r="546">
      <c r="A546" s="1" t="s">
        <v>565</v>
      </c>
      <c r="B546" s="2">
        <v>399.0</v>
      </c>
      <c r="C546" s="4"/>
      <c r="E546" s="4" t="str">
        <f t="array" ref="E546">XLOOKUP(proper(A546),'Fintech, Regulatory Arbitrage, '!A:A,'Fintech, Regulatory Arbitrage, '!C:C,"")</f>
        <v/>
      </c>
    </row>
    <row r="547">
      <c r="A547" s="1" t="s">
        <v>566</v>
      </c>
      <c r="B547" s="2">
        <v>399.0</v>
      </c>
      <c r="C547" s="4"/>
      <c r="E547" s="4" t="str">
        <f t="array" ref="E547">XLOOKUP(proper(A547),'Fintech, Regulatory Arbitrage, '!A:A,'Fintech, Regulatory Arbitrage, '!C:C,"")</f>
        <v/>
      </c>
    </row>
    <row r="548">
      <c r="A548" s="1" t="s">
        <v>567</v>
      </c>
      <c r="B548" s="2">
        <v>398.0</v>
      </c>
      <c r="C548" s="4"/>
      <c r="E548" s="4" t="str">
        <f t="array" ref="E548">XLOOKUP(proper(A548),'Fintech, Regulatory Arbitrage, '!A:A,'Fintech, Regulatory Arbitrage, '!C:C,"")</f>
        <v/>
      </c>
    </row>
    <row r="549">
      <c r="A549" s="1" t="s">
        <v>568</v>
      </c>
      <c r="B549" s="2">
        <v>398.0</v>
      </c>
      <c r="C549" s="4"/>
      <c r="E549" s="4" t="str">
        <f t="array" ref="E549">XLOOKUP(proper(A549),'Fintech, Regulatory Arbitrage, '!A:A,'Fintech, Regulatory Arbitrage, '!C:C,"")</f>
        <v/>
      </c>
    </row>
    <row r="550">
      <c r="A550" s="1" t="s">
        <v>569</v>
      </c>
      <c r="B550" s="2">
        <v>397.0</v>
      </c>
      <c r="C550" s="4"/>
      <c r="E550" s="4" t="str">
        <f t="array" ref="E550">XLOOKUP(proper(A550),'Fintech, Regulatory Arbitrage, '!A:A,'Fintech, Regulatory Arbitrage, '!C:C,"")</f>
        <v/>
      </c>
    </row>
    <row r="551">
      <c r="A551" s="1" t="s">
        <v>570</v>
      </c>
      <c r="B551" s="2">
        <v>393.0</v>
      </c>
      <c r="C551" s="4"/>
      <c r="E551" s="4" t="str">
        <f t="array" ref="E551">XLOOKUP(proper(A551),'Fintech, Regulatory Arbitrage, '!A:A,'Fintech, Regulatory Arbitrage, '!C:C,"")</f>
        <v/>
      </c>
    </row>
    <row r="552">
      <c r="A552" s="1" t="s">
        <v>571</v>
      </c>
      <c r="B552" s="2">
        <v>393.0</v>
      </c>
      <c r="C552" s="4"/>
      <c r="E552" s="4" t="str">
        <f t="array" ref="E552">XLOOKUP(proper(A552),'Fintech, Regulatory Arbitrage, '!A:A,'Fintech, Regulatory Arbitrage, '!C:C,"")</f>
        <v/>
      </c>
    </row>
    <row r="553">
      <c r="A553" s="1" t="s">
        <v>572</v>
      </c>
      <c r="B553" s="2">
        <v>389.0</v>
      </c>
      <c r="C553" s="4"/>
      <c r="E553" s="4" t="str">
        <f t="array" ref="E553">XLOOKUP(proper(A553),'Fintech, Regulatory Arbitrage, '!A:A,'Fintech, Regulatory Arbitrage, '!C:C,"")</f>
        <v/>
      </c>
    </row>
    <row r="554">
      <c r="A554" s="1" t="s">
        <v>573</v>
      </c>
      <c r="B554" s="2">
        <v>388.0</v>
      </c>
      <c r="C554" s="4"/>
      <c r="E554" s="4" t="str">
        <f t="array" ref="E554">XLOOKUP(proper(A554),'Fintech, Regulatory Arbitrage, '!A:A,'Fintech, Regulatory Arbitrage, '!C:C,"")</f>
        <v/>
      </c>
    </row>
    <row r="555">
      <c r="A555" s="1" t="s">
        <v>574</v>
      </c>
      <c r="B555" s="2">
        <v>386.0</v>
      </c>
      <c r="C555" s="4"/>
      <c r="E555" s="4" t="str">
        <f t="array" ref="E555">XLOOKUP(proper(A555),'Fintech, Regulatory Arbitrage, '!A:A,'Fintech, Regulatory Arbitrage, '!C:C,"")</f>
        <v/>
      </c>
    </row>
    <row r="556">
      <c r="A556" s="1" t="s">
        <v>575</v>
      </c>
      <c r="B556" s="2">
        <v>384.0</v>
      </c>
      <c r="C556" s="4"/>
      <c r="E556" s="4" t="str">
        <f t="array" ref="E556">XLOOKUP(proper(A556),'Fintech, Regulatory Arbitrage, '!A:A,'Fintech, Regulatory Arbitrage, '!C:C,"")</f>
        <v/>
      </c>
    </row>
    <row r="557">
      <c r="A557" s="1" t="s">
        <v>576</v>
      </c>
      <c r="B557" s="2">
        <v>384.0</v>
      </c>
      <c r="C557" s="4"/>
      <c r="E557" s="4" t="str">
        <f t="array" ref="E557">XLOOKUP(proper(A557),'Fintech, Regulatory Arbitrage, '!A:A,'Fintech, Regulatory Arbitrage, '!C:C,"")</f>
        <v/>
      </c>
    </row>
    <row r="558">
      <c r="A558" s="1" t="s">
        <v>577</v>
      </c>
      <c r="B558" s="2">
        <v>384.0</v>
      </c>
      <c r="C558" s="3" t="s">
        <v>20</v>
      </c>
      <c r="E558" s="4" t="str">
        <f t="array" ref="E558">XLOOKUP(proper(A558),'Fintech, Regulatory Arbitrage, '!A:A,'Fintech, Regulatory Arbitrage, '!C:C,"")</f>
        <v/>
      </c>
    </row>
    <row r="559">
      <c r="A559" s="1" t="s">
        <v>578</v>
      </c>
      <c r="B559" s="2">
        <v>383.0</v>
      </c>
      <c r="C559" s="4"/>
      <c r="E559" s="4" t="str">
        <f t="array" ref="E559">XLOOKUP(proper(A559),'Fintech, Regulatory Arbitrage, '!A:A,'Fintech, Regulatory Arbitrage, '!C:C,"")</f>
        <v/>
      </c>
    </row>
    <row r="560">
      <c r="A560" s="1" t="s">
        <v>579</v>
      </c>
      <c r="B560" s="2">
        <v>382.0</v>
      </c>
      <c r="C560" s="4"/>
      <c r="E560" s="4" t="str">
        <f t="array" ref="E560">XLOOKUP(proper(A560),'Fintech, Regulatory Arbitrage, '!A:A,'Fintech, Regulatory Arbitrage, '!C:C,"")</f>
        <v/>
      </c>
    </row>
    <row r="561">
      <c r="A561" s="1" t="s">
        <v>580</v>
      </c>
      <c r="B561" s="2">
        <v>379.0</v>
      </c>
      <c r="C561" s="4"/>
      <c r="E561" s="4" t="str">
        <f t="array" ref="E561">XLOOKUP(proper(A561),'Fintech, Regulatory Arbitrage, '!A:A,'Fintech, Regulatory Arbitrage, '!C:C,"")</f>
        <v/>
      </c>
    </row>
    <row r="562">
      <c r="A562" s="1" t="s">
        <v>581</v>
      </c>
      <c r="B562" s="2">
        <v>378.0</v>
      </c>
      <c r="C562" s="4"/>
      <c r="E562" s="4" t="str">
        <f t="array" ref="E562">XLOOKUP(proper(A562),'Fintech, Regulatory Arbitrage, '!A:A,'Fintech, Regulatory Arbitrage, '!C:C,"")</f>
        <v/>
      </c>
    </row>
    <row r="563">
      <c r="A563" s="1" t="s">
        <v>582</v>
      </c>
      <c r="B563" s="2">
        <v>378.0</v>
      </c>
      <c r="C563" s="4"/>
      <c r="E563" s="4" t="str">
        <f t="array" ref="E563">XLOOKUP(proper(A563),'Fintech, Regulatory Arbitrage, '!A:A,'Fintech, Regulatory Arbitrage, '!C:C,"")</f>
        <v/>
      </c>
    </row>
    <row r="564">
      <c r="A564" s="1" t="s">
        <v>583</v>
      </c>
      <c r="B564" s="2">
        <v>376.0</v>
      </c>
      <c r="C564" s="4"/>
      <c r="E564" s="4" t="str">
        <f t="array" ref="E564">XLOOKUP(proper(A564),'Fintech, Regulatory Arbitrage, '!A:A,'Fintech, Regulatory Arbitrage, '!C:C,"")</f>
        <v/>
      </c>
    </row>
    <row r="565">
      <c r="A565" s="1" t="s">
        <v>584</v>
      </c>
      <c r="B565" s="2">
        <v>376.0</v>
      </c>
      <c r="C565" s="4"/>
      <c r="E565" s="4" t="str">
        <f t="array" ref="E565">XLOOKUP(proper(A565),'Fintech, Regulatory Arbitrage, '!A:A,'Fintech, Regulatory Arbitrage, '!C:C,"")</f>
        <v/>
      </c>
    </row>
    <row r="566">
      <c r="A566" s="1" t="s">
        <v>585</v>
      </c>
      <c r="B566" s="2">
        <v>375.0</v>
      </c>
      <c r="C566" s="4"/>
      <c r="E566" s="4" t="str">
        <f t="array" ref="E566">XLOOKUP(proper(A566),'Fintech, Regulatory Arbitrage, '!A:A,'Fintech, Regulatory Arbitrage, '!C:C,"")</f>
        <v/>
      </c>
    </row>
    <row r="567">
      <c r="A567" s="1" t="s">
        <v>586</v>
      </c>
      <c r="B567" s="2">
        <v>374.0</v>
      </c>
      <c r="C567" s="4"/>
      <c r="E567" s="4" t="str">
        <f t="array" ref="E567">XLOOKUP(proper(A567),'Fintech, Regulatory Arbitrage, '!A:A,'Fintech, Regulatory Arbitrage, '!C:C,"")</f>
        <v/>
      </c>
    </row>
    <row r="568">
      <c r="A568" s="1" t="s">
        <v>587</v>
      </c>
      <c r="B568" s="2">
        <v>374.0</v>
      </c>
      <c r="C568" s="4"/>
      <c r="E568" s="4" t="str">
        <f t="array" ref="E568">XLOOKUP(proper(A568),'Fintech, Regulatory Arbitrage, '!A:A,'Fintech, Regulatory Arbitrage, '!C:C,"")</f>
        <v/>
      </c>
    </row>
    <row r="569">
      <c r="A569" s="1" t="s">
        <v>588</v>
      </c>
      <c r="B569" s="2">
        <v>373.0</v>
      </c>
      <c r="C569" s="4"/>
      <c r="E569" s="4" t="str">
        <f t="array" ref="E569">XLOOKUP(proper(A569),'Fintech, Regulatory Arbitrage, '!A:A,'Fintech, Regulatory Arbitrage, '!C:C,"")</f>
        <v/>
      </c>
    </row>
    <row r="570">
      <c r="A570" s="1" t="s">
        <v>589</v>
      </c>
      <c r="B570" s="2">
        <v>372.0</v>
      </c>
      <c r="C570" s="4"/>
      <c r="E570" s="4" t="str">
        <f t="array" ref="E570">XLOOKUP(proper(A570),'Fintech, Regulatory Arbitrage, '!A:A,'Fintech, Regulatory Arbitrage, '!C:C,"")</f>
        <v/>
      </c>
    </row>
    <row r="571">
      <c r="A571" s="1" t="s">
        <v>590</v>
      </c>
      <c r="B571" s="2">
        <v>372.0</v>
      </c>
      <c r="C571" s="4"/>
      <c r="E571" s="4" t="str">
        <f t="array" ref="E571">XLOOKUP(proper(A571),'Fintech, Regulatory Arbitrage, '!A:A,'Fintech, Regulatory Arbitrage, '!C:C,"")</f>
        <v/>
      </c>
    </row>
    <row r="572">
      <c r="A572" s="1" t="s">
        <v>591</v>
      </c>
      <c r="B572" s="2">
        <v>370.0</v>
      </c>
      <c r="C572" s="4"/>
      <c r="E572" s="4" t="str">
        <f t="array" ref="E572">XLOOKUP(proper(A572),'Fintech, Regulatory Arbitrage, '!A:A,'Fintech, Regulatory Arbitrage, '!C:C,"")</f>
        <v/>
      </c>
    </row>
    <row r="573">
      <c r="A573" s="1" t="s">
        <v>592</v>
      </c>
      <c r="B573" s="2">
        <v>368.0</v>
      </c>
      <c r="C573" s="4"/>
      <c r="E573" s="4" t="str">
        <f t="array" ref="E573">XLOOKUP(proper(A573),'Fintech, Regulatory Arbitrage, '!A:A,'Fintech, Regulatory Arbitrage, '!C:C,"")</f>
        <v/>
      </c>
    </row>
    <row r="574">
      <c r="A574" s="1" t="s">
        <v>593</v>
      </c>
      <c r="B574" s="2">
        <v>367.0</v>
      </c>
      <c r="C574" s="4"/>
      <c r="E574" s="4" t="str">
        <f t="array" ref="E574">XLOOKUP(proper(A574),'Fintech, Regulatory Arbitrage, '!A:A,'Fintech, Regulatory Arbitrage, '!C:C,"")</f>
        <v/>
      </c>
    </row>
    <row r="575">
      <c r="A575" s="1" t="s">
        <v>594</v>
      </c>
      <c r="B575" s="2">
        <v>367.0</v>
      </c>
      <c r="C575" s="4"/>
      <c r="E575" s="4" t="str">
        <f t="array" ref="E575">XLOOKUP(proper(A575),'Fintech, Regulatory Arbitrage, '!A:A,'Fintech, Regulatory Arbitrage, '!C:C,"")</f>
        <v/>
      </c>
    </row>
    <row r="576">
      <c r="A576" s="1" t="s">
        <v>595</v>
      </c>
      <c r="B576" s="2">
        <v>367.0</v>
      </c>
      <c r="C576" s="4"/>
      <c r="E576" s="4" t="str">
        <f t="array" ref="E576">XLOOKUP(proper(A576),'Fintech, Regulatory Arbitrage, '!A:A,'Fintech, Regulatory Arbitrage, '!C:C,"")</f>
        <v/>
      </c>
    </row>
    <row r="577">
      <c r="A577" s="1" t="s">
        <v>596</v>
      </c>
      <c r="B577" s="2">
        <v>364.0</v>
      </c>
      <c r="C577" s="4"/>
      <c r="E577" s="4" t="str">
        <f t="array" ref="E577">XLOOKUP(proper(A577),'Fintech, Regulatory Arbitrage, '!A:A,'Fintech, Regulatory Arbitrage, '!C:C,"")</f>
        <v/>
      </c>
    </row>
    <row r="578">
      <c r="A578" s="1" t="s">
        <v>597</v>
      </c>
      <c r="B578" s="2">
        <v>364.0</v>
      </c>
      <c r="C578" s="4"/>
      <c r="E578" s="4" t="str">
        <f t="array" ref="E578">XLOOKUP(proper(A578),'Fintech, Regulatory Arbitrage, '!A:A,'Fintech, Regulatory Arbitrage, '!C:C,"")</f>
        <v/>
      </c>
    </row>
    <row r="579">
      <c r="A579" s="1" t="s">
        <v>598</v>
      </c>
      <c r="B579" s="2">
        <v>364.0</v>
      </c>
      <c r="C579" s="4"/>
      <c r="E579" s="4" t="str">
        <f t="array" ref="E579">XLOOKUP(proper(A579),'Fintech, Regulatory Arbitrage, '!A:A,'Fintech, Regulatory Arbitrage, '!C:C,"")</f>
        <v/>
      </c>
    </row>
    <row r="580">
      <c r="A580" s="1" t="s">
        <v>599</v>
      </c>
      <c r="B580" s="2">
        <v>363.0</v>
      </c>
      <c r="C580" s="4"/>
      <c r="E580" s="4" t="str">
        <f t="array" ref="E580">XLOOKUP(proper(A580),'Fintech, Regulatory Arbitrage, '!A:A,'Fintech, Regulatory Arbitrage, '!C:C,"")</f>
        <v/>
      </c>
    </row>
    <row r="581">
      <c r="A581" s="1" t="s">
        <v>600</v>
      </c>
      <c r="B581" s="2">
        <v>363.0</v>
      </c>
      <c r="C581" s="4"/>
      <c r="E581" s="4" t="str">
        <f t="array" ref="E581">XLOOKUP(proper(A581),'Fintech, Regulatory Arbitrage, '!A:A,'Fintech, Regulatory Arbitrage, '!C:C,"")</f>
        <v/>
      </c>
    </row>
    <row r="582">
      <c r="A582" s="1" t="s">
        <v>601</v>
      </c>
      <c r="B582" s="2">
        <v>362.0</v>
      </c>
      <c r="C582" s="4"/>
      <c r="E582" s="4" t="str">
        <f t="array" ref="E582">XLOOKUP(proper(A582),'Fintech, Regulatory Arbitrage, '!A:A,'Fintech, Regulatory Arbitrage, '!C:C,"")</f>
        <v/>
      </c>
    </row>
    <row r="583">
      <c r="A583" s="1" t="s">
        <v>602</v>
      </c>
      <c r="B583" s="2">
        <v>361.0</v>
      </c>
      <c r="C583" s="4"/>
      <c r="E583" s="4" t="str">
        <f t="array" ref="E583">XLOOKUP(proper(A583),'Fintech, Regulatory Arbitrage, '!A:A,'Fintech, Regulatory Arbitrage, '!C:C,"")</f>
        <v/>
      </c>
    </row>
    <row r="584">
      <c r="A584" s="1" t="s">
        <v>603</v>
      </c>
      <c r="B584" s="2">
        <v>361.0</v>
      </c>
      <c r="C584" s="4"/>
      <c r="E584" s="4" t="str">
        <f t="array" ref="E584">XLOOKUP(proper(A584),'Fintech, Regulatory Arbitrage, '!A:A,'Fintech, Regulatory Arbitrage, '!C:C,"")</f>
        <v/>
      </c>
    </row>
    <row r="585">
      <c r="A585" s="1" t="s">
        <v>604</v>
      </c>
      <c r="B585" s="2">
        <v>361.0</v>
      </c>
      <c r="C585" s="4"/>
      <c r="E585" s="4" t="str">
        <f t="array" ref="E585">XLOOKUP(proper(A585),'Fintech, Regulatory Arbitrage, '!A:A,'Fintech, Regulatory Arbitrage, '!C:C,"")</f>
        <v/>
      </c>
    </row>
    <row r="586">
      <c r="A586" s="1" t="s">
        <v>605</v>
      </c>
      <c r="B586" s="2">
        <v>361.0</v>
      </c>
      <c r="C586" s="4"/>
      <c r="E586" s="4" t="str">
        <f t="array" ref="E586">XLOOKUP(proper(A586),'Fintech, Regulatory Arbitrage, '!A:A,'Fintech, Regulatory Arbitrage, '!C:C,"")</f>
        <v/>
      </c>
    </row>
    <row r="587">
      <c r="A587" s="1" t="s">
        <v>606</v>
      </c>
      <c r="B587" s="2">
        <v>360.0</v>
      </c>
      <c r="C587" s="4"/>
      <c r="E587" s="4" t="str">
        <f t="array" ref="E587">XLOOKUP(proper(A587),'Fintech, Regulatory Arbitrage, '!A:A,'Fintech, Regulatory Arbitrage, '!C:C,"")</f>
        <v/>
      </c>
    </row>
    <row r="588">
      <c r="A588" s="1" t="s">
        <v>607</v>
      </c>
      <c r="B588" s="2">
        <v>359.0</v>
      </c>
      <c r="C588" s="4"/>
      <c r="E588" s="4" t="str">
        <f t="array" ref="E588">XLOOKUP(proper(A588),'Fintech, Regulatory Arbitrage, '!A:A,'Fintech, Regulatory Arbitrage, '!C:C,"")</f>
        <v/>
      </c>
    </row>
    <row r="589">
      <c r="A589" s="1" t="s">
        <v>608</v>
      </c>
      <c r="B589" s="2">
        <v>358.0</v>
      </c>
      <c r="C589" s="4"/>
      <c r="E589" s="4" t="str">
        <f t="array" ref="E589">XLOOKUP(proper(A589),'Fintech, Regulatory Arbitrage, '!A:A,'Fintech, Regulatory Arbitrage, '!C:C,"")</f>
        <v/>
      </c>
    </row>
    <row r="590">
      <c r="A590" s="1" t="s">
        <v>609</v>
      </c>
      <c r="B590" s="2">
        <v>358.0</v>
      </c>
      <c r="C590" s="4"/>
      <c r="E590" s="4" t="str">
        <f t="array" ref="E590">XLOOKUP(proper(A590),'Fintech, Regulatory Arbitrage, '!A:A,'Fintech, Regulatory Arbitrage, '!C:C,"")</f>
        <v/>
      </c>
    </row>
    <row r="591">
      <c r="A591" s="1" t="s">
        <v>610</v>
      </c>
      <c r="B591" s="2">
        <v>357.0</v>
      </c>
      <c r="C591" s="4"/>
      <c r="E591" s="4" t="str">
        <f t="array" ref="E591">XLOOKUP(proper(A591),'Fintech, Regulatory Arbitrage, '!A:A,'Fintech, Regulatory Arbitrage, '!C:C,"")</f>
        <v/>
      </c>
    </row>
    <row r="592">
      <c r="A592" s="1" t="s">
        <v>611</v>
      </c>
      <c r="B592" s="2">
        <v>356.0</v>
      </c>
      <c r="C592" s="4"/>
      <c r="E592" s="4" t="str">
        <f t="array" ref="E592">XLOOKUP(proper(A592),'Fintech, Regulatory Arbitrage, '!A:A,'Fintech, Regulatory Arbitrage, '!C:C,"")</f>
        <v/>
      </c>
    </row>
    <row r="593">
      <c r="A593" s="1" t="s">
        <v>612</v>
      </c>
      <c r="B593" s="2">
        <v>354.0</v>
      </c>
      <c r="C593" s="4"/>
      <c r="E593" s="4" t="str">
        <f t="array" ref="E593">XLOOKUP(proper(A593),'Fintech, Regulatory Arbitrage, '!A:A,'Fintech, Regulatory Arbitrage, '!C:C,"")</f>
        <v/>
      </c>
    </row>
    <row r="594">
      <c r="A594" s="1" t="s">
        <v>613</v>
      </c>
      <c r="B594" s="2">
        <v>354.0</v>
      </c>
      <c r="C594" s="4"/>
      <c r="E594" s="4" t="str">
        <f t="array" ref="E594">XLOOKUP(proper(A594),'Fintech, Regulatory Arbitrage, '!A:A,'Fintech, Regulatory Arbitrage, '!C:C,"")</f>
        <v/>
      </c>
    </row>
    <row r="595">
      <c r="A595" s="1" t="s">
        <v>614</v>
      </c>
      <c r="B595" s="2">
        <v>354.0</v>
      </c>
      <c r="C595" s="4"/>
      <c r="E595" s="4" t="str">
        <f t="array" ref="E595">XLOOKUP(proper(A595),'Fintech, Regulatory Arbitrage, '!A:A,'Fintech, Regulatory Arbitrage, '!C:C,"")</f>
        <v/>
      </c>
    </row>
    <row r="596">
      <c r="A596" s="1" t="s">
        <v>615</v>
      </c>
      <c r="B596" s="2">
        <v>351.0</v>
      </c>
      <c r="C596" s="4"/>
      <c r="E596" s="4" t="str">
        <f t="array" ref="E596">XLOOKUP(proper(A596),'Fintech, Regulatory Arbitrage, '!A:A,'Fintech, Regulatory Arbitrage, '!C:C,"")</f>
        <v/>
      </c>
    </row>
    <row r="597">
      <c r="A597" s="1" t="s">
        <v>616</v>
      </c>
      <c r="B597" s="2">
        <v>347.0</v>
      </c>
      <c r="C597" s="4"/>
      <c r="E597" s="4" t="str">
        <f t="array" ref="E597">XLOOKUP(proper(A597),'Fintech, Regulatory Arbitrage, '!A:A,'Fintech, Regulatory Arbitrage, '!C:C,"")</f>
        <v/>
      </c>
    </row>
    <row r="598">
      <c r="A598" s="1" t="s">
        <v>617</v>
      </c>
      <c r="B598" s="2">
        <v>346.0</v>
      </c>
      <c r="C598" s="4"/>
      <c r="E598" s="4" t="str">
        <f t="array" ref="E598">XLOOKUP(proper(A598),'Fintech, Regulatory Arbitrage, '!A:A,'Fintech, Regulatory Arbitrage, '!C:C,"")</f>
        <v/>
      </c>
    </row>
    <row r="599">
      <c r="A599" s="1" t="s">
        <v>618</v>
      </c>
      <c r="B599" s="2">
        <v>344.0</v>
      </c>
      <c r="C599" s="4"/>
      <c r="E599" s="4" t="str">
        <f t="array" ref="E599">XLOOKUP(proper(A599),'Fintech, Regulatory Arbitrage, '!A:A,'Fintech, Regulatory Arbitrage, '!C:C,"")</f>
        <v/>
      </c>
    </row>
    <row r="600">
      <c r="A600" s="1" t="s">
        <v>619</v>
      </c>
      <c r="B600" s="2">
        <v>343.0</v>
      </c>
      <c r="C600" s="4"/>
      <c r="E600" s="4" t="str">
        <f t="array" ref="E600">XLOOKUP(proper(A600),'Fintech, Regulatory Arbitrage, '!A:A,'Fintech, Regulatory Arbitrage, '!C:C,"")</f>
        <v/>
      </c>
    </row>
    <row r="601">
      <c r="A601" s="1" t="s">
        <v>620</v>
      </c>
      <c r="B601" s="2">
        <v>343.0</v>
      </c>
      <c r="C601" s="4"/>
      <c r="E601" s="4" t="str">
        <f t="array" ref="E601">XLOOKUP(proper(A601),'Fintech, Regulatory Arbitrage, '!A:A,'Fintech, Regulatory Arbitrage, '!C:C,"")</f>
        <v/>
      </c>
    </row>
    <row r="602">
      <c r="A602" s="1" t="s">
        <v>621</v>
      </c>
      <c r="B602" s="2">
        <v>343.0</v>
      </c>
      <c r="C602" s="4"/>
      <c r="E602" s="4" t="str">
        <f t="array" ref="E602">XLOOKUP(proper(A602),'Fintech, Regulatory Arbitrage, '!A:A,'Fintech, Regulatory Arbitrage, '!C:C,"")</f>
        <v/>
      </c>
    </row>
    <row r="603">
      <c r="A603" s="1" t="s">
        <v>622</v>
      </c>
      <c r="B603" s="2">
        <v>340.0</v>
      </c>
      <c r="C603" s="4"/>
      <c r="E603" s="4" t="str">
        <f t="array" ref="E603">XLOOKUP(proper(A603),'Fintech, Regulatory Arbitrage, '!A:A,'Fintech, Regulatory Arbitrage, '!C:C,"")</f>
        <v/>
      </c>
    </row>
    <row r="604">
      <c r="A604" s="1" t="s">
        <v>623</v>
      </c>
      <c r="B604" s="2">
        <v>339.0</v>
      </c>
      <c r="C604" s="4"/>
      <c r="E604" s="4" t="str">
        <f t="array" ref="E604">XLOOKUP(proper(A604),'Fintech, Regulatory Arbitrage, '!A:A,'Fintech, Regulatory Arbitrage, '!C:C,"")</f>
        <v/>
      </c>
    </row>
    <row r="605">
      <c r="A605" s="1" t="s">
        <v>624</v>
      </c>
      <c r="B605" s="2">
        <v>338.0</v>
      </c>
      <c r="C605" s="4"/>
      <c r="E605" s="4" t="str">
        <f t="array" ref="E605">XLOOKUP(proper(A605),'Fintech, Regulatory Arbitrage, '!A:A,'Fintech, Regulatory Arbitrage, '!C:C,"")</f>
        <v/>
      </c>
    </row>
    <row r="606">
      <c r="A606" s="1" t="s">
        <v>625</v>
      </c>
      <c r="B606" s="2">
        <v>338.0</v>
      </c>
      <c r="C606" s="4"/>
      <c r="E606" s="4" t="str">
        <f t="array" ref="E606">XLOOKUP(proper(A606),'Fintech, Regulatory Arbitrage, '!A:A,'Fintech, Regulatory Arbitrage, '!C:C,"")</f>
        <v/>
      </c>
    </row>
    <row r="607">
      <c r="A607" s="1" t="s">
        <v>626</v>
      </c>
      <c r="B607" s="2">
        <v>337.0</v>
      </c>
      <c r="C607" s="4"/>
      <c r="E607" s="4" t="str">
        <f t="array" ref="E607">XLOOKUP(proper(A607),'Fintech, Regulatory Arbitrage, '!A:A,'Fintech, Regulatory Arbitrage, '!C:C,"")</f>
        <v/>
      </c>
    </row>
    <row r="608">
      <c r="A608" s="1" t="s">
        <v>627</v>
      </c>
      <c r="B608" s="2">
        <v>337.0</v>
      </c>
      <c r="C608" s="4"/>
      <c r="E608" s="4" t="str">
        <f t="array" ref="E608">XLOOKUP(proper(A608),'Fintech, Regulatory Arbitrage, '!A:A,'Fintech, Regulatory Arbitrage, '!C:C,"")</f>
        <v/>
      </c>
    </row>
    <row r="609">
      <c r="A609" s="1" t="s">
        <v>628</v>
      </c>
      <c r="B609" s="2">
        <v>336.0</v>
      </c>
      <c r="C609" s="4"/>
      <c r="E609" s="4" t="str">
        <f t="array" ref="E609">XLOOKUP(proper(A609),'Fintech, Regulatory Arbitrage, '!A:A,'Fintech, Regulatory Arbitrage, '!C:C,"")</f>
        <v/>
      </c>
    </row>
    <row r="610">
      <c r="A610" s="1" t="s">
        <v>629</v>
      </c>
      <c r="B610" s="2">
        <v>333.0</v>
      </c>
      <c r="C610" s="4"/>
      <c r="E610" s="4" t="str">
        <f t="array" ref="E610">XLOOKUP(proper(A610),'Fintech, Regulatory Arbitrage, '!A:A,'Fintech, Regulatory Arbitrage, '!C:C,"")</f>
        <v/>
      </c>
    </row>
    <row r="611">
      <c r="A611" s="1" t="s">
        <v>630</v>
      </c>
      <c r="B611" s="2">
        <v>333.0</v>
      </c>
      <c r="C611" s="4"/>
      <c r="E611" s="4" t="str">
        <f t="array" ref="E611">XLOOKUP(proper(A611),'Fintech, Regulatory Arbitrage, '!A:A,'Fintech, Regulatory Arbitrage, '!C:C,"")</f>
        <v/>
      </c>
    </row>
    <row r="612">
      <c r="A612" s="1" t="s">
        <v>631</v>
      </c>
      <c r="B612" s="2">
        <v>333.0</v>
      </c>
      <c r="C612" s="4"/>
      <c r="E612" s="4" t="str">
        <f t="array" ref="E612">XLOOKUP(proper(A612),'Fintech, Regulatory Arbitrage, '!A:A,'Fintech, Regulatory Arbitrage, '!C:C,"")</f>
        <v/>
      </c>
    </row>
    <row r="613">
      <c r="A613" s="1" t="s">
        <v>632</v>
      </c>
      <c r="B613" s="2">
        <v>332.0</v>
      </c>
      <c r="C613" s="4"/>
      <c r="E613" s="4" t="str">
        <f t="array" ref="E613">XLOOKUP(proper(A613),'Fintech, Regulatory Arbitrage, '!A:A,'Fintech, Regulatory Arbitrage, '!C:C,"")</f>
        <v/>
      </c>
    </row>
    <row r="614">
      <c r="A614" s="1" t="s">
        <v>633</v>
      </c>
      <c r="B614" s="2">
        <v>331.0</v>
      </c>
      <c r="C614" s="4"/>
      <c r="E614" s="4" t="str">
        <f t="array" ref="E614">XLOOKUP(proper(A614),'Fintech, Regulatory Arbitrage, '!A:A,'Fintech, Regulatory Arbitrage, '!C:C,"")</f>
        <v/>
      </c>
    </row>
    <row r="615">
      <c r="A615" s="1" t="s">
        <v>634</v>
      </c>
      <c r="B615" s="2">
        <v>331.0</v>
      </c>
      <c r="C615" s="4"/>
      <c r="E615" s="4" t="str">
        <f t="array" ref="E615">XLOOKUP(proper(A615),'Fintech, Regulatory Arbitrage, '!A:A,'Fintech, Regulatory Arbitrage, '!C:C,"")</f>
        <v/>
      </c>
    </row>
    <row r="616">
      <c r="A616" s="1" t="s">
        <v>635</v>
      </c>
      <c r="B616" s="2">
        <v>330.0</v>
      </c>
      <c r="C616" s="4"/>
      <c r="E616" s="4" t="str">
        <f t="array" ref="E616">XLOOKUP(proper(A616),'Fintech, Regulatory Arbitrage, '!A:A,'Fintech, Regulatory Arbitrage, '!C:C,"")</f>
        <v/>
      </c>
    </row>
    <row r="617">
      <c r="A617" s="1" t="s">
        <v>636</v>
      </c>
      <c r="B617" s="2">
        <v>328.0</v>
      </c>
      <c r="C617" s="4"/>
      <c r="E617" s="4" t="str">
        <f t="array" ref="E617">XLOOKUP(proper(A617),'Fintech, Regulatory Arbitrage, '!A:A,'Fintech, Regulatory Arbitrage, '!C:C,"")</f>
        <v/>
      </c>
    </row>
    <row r="618">
      <c r="A618" s="1" t="s">
        <v>637</v>
      </c>
      <c r="B618" s="2">
        <v>325.0</v>
      </c>
      <c r="C618" s="4"/>
      <c r="E618" s="4" t="str">
        <f t="array" ref="E618">XLOOKUP(proper(A618),'Fintech, Regulatory Arbitrage, '!A:A,'Fintech, Regulatory Arbitrage, '!C:C,"")</f>
        <v/>
      </c>
    </row>
    <row r="619">
      <c r="A619" s="1" t="s">
        <v>638</v>
      </c>
      <c r="B619" s="2">
        <v>325.0</v>
      </c>
      <c r="C619" s="4"/>
      <c r="E619" s="4" t="str">
        <f t="array" ref="E619">XLOOKUP(proper(A619),'Fintech, Regulatory Arbitrage, '!A:A,'Fintech, Regulatory Arbitrage, '!C:C,"")</f>
        <v/>
      </c>
    </row>
    <row r="620">
      <c r="A620" s="1" t="s">
        <v>639</v>
      </c>
      <c r="B620" s="2">
        <v>325.0</v>
      </c>
      <c r="C620" s="4"/>
      <c r="E620" s="4" t="str">
        <f t="array" ref="E620">XLOOKUP(proper(A620),'Fintech, Regulatory Arbitrage, '!A:A,'Fintech, Regulatory Arbitrage, '!C:C,"")</f>
        <v/>
      </c>
    </row>
    <row r="621">
      <c r="A621" s="1" t="s">
        <v>640</v>
      </c>
      <c r="B621" s="2">
        <v>322.0</v>
      </c>
      <c r="C621" s="4"/>
      <c r="E621" s="4" t="str">
        <f t="array" ref="E621">XLOOKUP(proper(A621),'Fintech, Regulatory Arbitrage, '!A:A,'Fintech, Regulatory Arbitrage, '!C:C,"")</f>
        <v/>
      </c>
    </row>
    <row r="622">
      <c r="A622" s="1" t="s">
        <v>641</v>
      </c>
      <c r="B622" s="2">
        <v>319.0</v>
      </c>
      <c r="C622" s="4"/>
      <c r="E622" s="4" t="str">
        <f t="array" ref="E622">XLOOKUP(proper(A622),'Fintech, Regulatory Arbitrage, '!A:A,'Fintech, Regulatory Arbitrage, '!C:C,"")</f>
        <v/>
      </c>
    </row>
    <row r="623">
      <c r="A623" s="1" t="s">
        <v>642</v>
      </c>
      <c r="B623" s="2">
        <v>319.0</v>
      </c>
      <c r="C623" s="4"/>
      <c r="E623" s="4" t="str">
        <f t="array" ref="E623">XLOOKUP(proper(A623),'Fintech, Regulatory Arbitrage, '!A:A,'Fintech, Regulatory Arbitrage, '!C:C,"")</f>
        <v/>
      </c>
    </row>
    <row r="624">
      <c r="A624" s="1" t="s">
        <v>643</v>
      </c>
      <c r="B624" s="2">
        <v>319.0</v>
      </c>
      <c r="C624" s="4"/>
      <c r="E624" s="4" t="str">
        <f t="array" ref="E624">XLOOKUP(proper(A624),'Fintech, Regulatory Arbitrage, '!A:A,'Fintech, Regulatory Arbitrage, '!C:C,"")</f>
        <v/>
      </c>
    </row>
    <row r="625">
      <c r="A625" s="1" t="s">
        <v>644</v>
      </c>
      <c r="B625" s="2">
        <v>317.0</v>
      </c>
      <c r="C625" s="4"/>
      <c r="E625" s="4" t="str">
        <f t="array" ref="E625">XLOOKUP(proper(A625),'Fintech, Regulatory Arbitrage, '!A:A,'Fintech, Regulatory Arbitrage, '!C:C,"")</f>
        <v/>
      </c>
    </row>
    <row r="626">
      <c r="A626" s="1" t="s">
        <v>645</v>
      </c>
      <c r="B626" s="2">
        <v>316.0</v>
      </c>
      <c r="C626" s="4"/>
      <c r="E626" s="4" t="str">
        <f t="array" ref="E626">XLOOKUP(proper(A626),'Fintech, Regulatory Arbitrage, '!A:A,'Fintech, Regulatory Arbitrage, '!C:C,"")</f>
        <v/>
      </c>
    </row>
    <row r="627">
      <c r="A627" s="1" t="s">
        <v>646</v>
      </c>
      <c r="B627" s="2">
        <v>315.0</v>
      </c>
      <c r="C627" s="4"/>
      <c r="E627" s="4" t="str">
        <f t="array" ref="E627">XLOOKUP(proper(A627),'Fintech, Regulatory Arbitrage, '!A:A,'Fintech, Regulatory Arbitrage, '!C:C,"")</f>
        <v/>
      </c>
    </row>
    <row r="628">
      <c r="A628" s="1" t="s">
        <v>647</v>
      </c>
      <c r="B628" s="2">
        <v>315.0</v>
      </c>
      <c r="C628" s="4"/>
      <c r="E628" s="4" t="str">
        <f t="array" ref="E628">XLOOKUP(proper(A628),'Fintech, Regulatory Arbitrage, '!A:A,'Fintech, Regulatory Arbitrage, '!C:C,"")</f>
        <v/>
      </c>
    </row>
    <row r="629">
      <c r="A629" s="1" t="s">
        <v>648</v>
      </c>
      <c r="B629" s="2">
        <v>314.0</v>
      </c>
      <c r="C629" s="4"/>
      <c r="E629" s="4" t="str">
        <f t="array" ref="E629">XLOOKUP(proper(A629),'Fintech, Regulatory Arbitrage, '!A:A,'Fintech, Regulatory Arbitrage, '!C:C,"")</f>
        <v/>
      </c>
    </row>
    <row r="630">
      <c r="A630" s="1" t="s">
        <v>649</v>
      </c>
      <c r="B630" s="2">
        <v>314.0</v>
      </c>
      <c r="C630" s="4"/>
      <c r="E630" s="4" t="str">
        <f t="array" ref="E630">XLOOKUP(proper(A630),'Fintech, Regulatory Arbitrage, '!A:A,'Fintech, Regulatory Arbitrage, '!C:C,"")</f>
        <v/>
      </c>
    </row>
    <row r="631">
      <c r="A631" s="1" t="s">
        <v>650</v>
      </c>
      <c r="B631" s="2">
        <v>314.0</v>
      </c>
      <c r="C631" s="4"/>
      <c r="E631" s="4" t="str">
        <f t="array" ref="E631">XLOOKUP(proper(A631),'Fintech, Regulatory Arbitrage, '!A:A,'Fintech, Regulatory Arbitrage, '!C:C,"")</f>
        <v/>
      </c>
    </row>
    <row r="632">
      <c r="A632" s="1" t="s">
        <v>651</v>
      </c>
      <c r="B632" s="2">
        <v>313.0</v>
      </c>
      <c r="C632" s="4"/>
      <c r="E632" s="4" t="str">
        <f t="array" ref="E632">XLOOKUP(proper(A632),'Fintech, Regulatory Arbitrage, '!A:A,'Fintech, Regulatory Arbitrage, '!C:C,"")</f>
        <v/>
      </c>
    </row>
    <row r="633">
      <c r="A633" s="1" t="s">
        <v>652</v>
      </c>
      <c r="B633" s="2">
        <v>313.0</v>
      </c>
      <c r="C633" s="4"/>
      <c r="E633" s="4" t="str">
        <f t="array" ref="E633">XLOOKUP(proper(A633),'Fintech, Regulatory Arbitrage, '!A:A,'Fintech, Regulatory Arbitrage, '!C:C,"")</f>
        <v/>
      </c>
    </row>
    <row r="634">
      <c r="A634" s="1" t="s">
        <v>653</v>
      </c>
      <c r="B634" s="2">
        <v>313.0</v>
      </c>
      <c r="C634" s="4"/>
      <c r="E634" s="4" t="str">
        <f t="array" ref="E634">XLOOKUP(proper(A634),'Fintech, Regulatory Arbitrage, '!A:A,'Fintech, Regulatory Arbitrage, '!C:C,"")</f>
        <v/>
      </c>
    </row>
    <row r="635">
      <c r="A635" s="1" t="s">
        <v>654</v>
      </c>
      <c r="B635" s="2">
        <v>312.0</v>
      </c>
      <c r="C635" s="4"/>
      <c r="E635" s="4" t="str">
        <f t="array" ref="E635">XLOOKUP(proper(A635),'Fintech, Regulatory Arbitrage, '!A:A,'Fintech, Regulatory Arbitrage, '!C:C,"")</f>
        <v/>
      </c>
    </row>
    <row r="636">
      <c r="A636" s="1" t="s">
        <v>655</v>
      </c>
      <c r="B636" s="2">
        <v>312.0</v>
      </c>
      <c r="C636" s="4"/>
      <c r="E636" s="4" t="str">
        <f t="array" ref="E636">XLOOKUP(proper(A636),'Fintech, Regulatory Arbitrage, '!A:A,'Fintech, Regulatory Arbitrage, '!C:C,"")</f>
        <v/>
      </c>
    </row>
    <row r="637">
      <c r="A637" s="1" t="s">
        <v>656</v>
      </c>
      <c r="B637" s="2">
        <v>311.0</v>
      </c>
      <c r="C637" s="4"/>
      <c r="E637" s="4" t="str">
        <f t="array" ref="E637">XLOOKUP(proper(A637),'Fintech, Regulatory Arbitrage, '!A:A,'Fintech, Regulatory Arbitrage, '!C:C,"")</f>
        <v/>
      </c>
    </row>
    <row r="638">
      <c r="A638" s="1" t="s">
        <v>657</v>
      </c>
      <c r="B638" s="2">
        <v>311.0</v>
      </c>
      <c r="C638" s="4"/>
      <c r="E638" s="4" t="str">
        <f t="array" ref="E638">XLOOKUP(proper(A638),'Fintech, Regulatory Arbitrage, '!A:A,'Fintech, Regulatory Arbitrage, '!C:C,"")</f>
        <v/>
      </c>
    </row>
    <row r="639">
      <c r="A639" s="1" t="s">
        <v>658</v>
      </c>
      <c r="B639" s="2">
        <v>310.0</v>
      </c>
      <c r="C639" s="4"/>
      <c r="E639" s="4" t="str">
        <f t="array" ref="E639">XLOOKUP(proper(A639),'Fintech, Regulatory Arbitrage, '!A:A,'Fintech, Regulatory Arbitrage, '!C:C,"")</f>
        <v/>
      </c>
    </row>
    <row r="640">
      <c r="A640" s="1" t="s">
        <v>659</v>
      </c>
      <c r="B640" s="2">
        <v>310.0</v>
      </c>
      <c r="C640" s="4"/>
      <c r="E640" s="4" t="str">
        <f t="array" ref="E640">XLOOKUP(proper(A640),'Fintech, Regulatory Arbitrage, '!A:A,'Fintech, Regulatory Arbitrage, '!C:C,"")</f>
        <v/>
      </c>
    </row>
    <row r="641">
      <c r="A641" s="1" t="s">
        <v>660</v>
      </c>
      <c r="B641" s="2">
        <v>310.0</v>
      </c>
      <c r="C641" s="4"/>
      <c r="E641" s="4" t="str">
        <f t="array" ref="E641">XLOOKUP(proper(A641),'Fintech, Regulatory Arbitrage, '!A:A,'Fintech, Regulatory Arbitrage, '!C:C,"")</f>
        <v/>
      </c>
    </row>
    <row r="642">
      <c r="A642" s="1" t="s">
        <v>661</v>
      </c>
      <c r="B642" s="2">
        <v>308.0</v>
      </c>
      <c r="C642" s="4"/>
      <c r="E642" s="4" t="str">
        <f t="array" ref="E642">XLOOKUP(proper(A642),'Fintech, Regulatory Arbitrage, '!A:A,'Fintech, Regulatory Arbitrage, '!C:C,"")</f>
        <v/>
      </c>
    </row>
    <row r="643">
      <c r="A643" s="1" t="s">
        <v>662</v>
      </c>
      <c r="B643" s="2">
        <v>308.0</v>
      </c>
      <c r="C643" s="4"/>
      <c r="E643" s="4" t="str">
        <f t="array" ref="E643">XLOOKUP(proper(A643),'Fintech, Regulatory Arbitrage, '!A:A,'Fintech, Regulatory Arbitrage, '!C:C,"")</f>
        <v/>
      </c>
    </row>
    <row r="644">
      <c r="A644" s="1" t="s">
        <v>663</v>
      </c>
      <c r="B644" s="2">
        <v>308.0</v>
      </c>
      <c r="C644" s="4"/>
      <c r="E644" s="4" t="str">
        <f t="array" ref="E644">XLOOKUP(proper(A644),'Fintech, Regulatory Arbitrage, '!A:A,'Fintech, Regulatory Arbitrage, '!C:C,"")</f>
        <v/>
      </c>
    </row>
    <row r="645">
      <c r="A645" s="1" t="s">
        <v>664</v>
      </c>
      <c r="B645" s="2">
        <v>307.0</v>
      </c>
      <c r="C645" s="4"/>
      <c r="E645" s="4" t="str">
        <f t="array" ref="E645">XLOOKUP(proper(A645),'Fintech, Regulatory Arbitrage, '!A:A,'Fintech, Regulatory Arbitrage, '!C:C,"")</f>
        <v/>
      </c>
    </row>
    <row r="646">
      <c r="A646" s="1" t="s">
        <v>665</v>
      </c>
      <c r="B646" s="2">
        <v>306.0</v>
      </c>
      <c r="C646" s="4"/>
      <c r="E646" s="4" t="str">
        <f t="array" ref="E646">XLOOKUP(proper(A646),'Fintech, Regulatory Arbitrage, '!A:A,'Fintech, Regulatory Arbitrage, '!C:C,"")</f>
        <v/>
      </c>
    </row>
    <row r="647">
      <c r="A647" s="1" t="s">
        <v>666</v>
      </c>
      <c r="B647" s="2">
        <v>306.0</v>
      </c>
      <c r="C647" s="4"/>
      <c r="E647" s="4" t="str">
        <f t="array" ref="E647">XLOOKUP(proper(A647),'Fintech, Regulatory Arbitrage, '!A:A,'Fintech, Regulatory Arbitrage, '!C:C,"")</f>
        <v/>
      </c>
    </row>
    <row r="648">
      <c r="A648" s="1" t="s">
        <v>667</v>
      </c>
      <c r="B648" s="2">
        <v>306.0</v>
      </c>
      <c r="C648" s="4"/>
      <c r="E648" s="4" t="str">
        <f t="array" ref="E648">XLOOKUP(proper(A648),'Fintech, Regulatory Arbitrage, '!A:A,'Fintech, Regulatory Arbitrage, '!C:C,"")</f>
        <v/>
      </c>
    </row>
    <row r="649">
      <c r="A649" s="1" t="s">
        <v>668</v>
      </c>
      <c r="B649" s="2">
        <v>305.0</v>
      </c>
      <c r="C649" s="4"/>
      <c r="E649" s="4" t="str">
        <f t="array" ref="E649">XLOOKUP(proper(A649),'Fintech, Regulatory Arbitrage, '!A:A,'Fintech, Regulatory Arbitrage, '!C:C,"")</f>
        <v/>
      </c>
    </row>
    <row r="650">
      <c r="A650" s="1" t="s">
        <v>669</v>
      </c>
      <c r="B650" s="2">
        <v>304.0</v>
      </c>
      <c r="C650" s="4"/>
      <c r="E650" s="4" t="str">
        <f t="array" ref="E650">XLOOKUP(proper(A650),'Fintech, Regulatory Arbitrage, '!A:A,'Fintech, Regulatory Arbitrage, '!C:C,"")</f>
        <v/>
      </c>
    </row>
    <row r="651">
      <c r="A651" s="1" t="s">
        <v>670</v>
      </c>
      <c r="B651" s="2">
        <v>304.0</v>
      </c>
      <c r="C651" s="4"/>
      <c r="E651" s="4" t="str">
        <f t="array" ref="E651">XLOOKUP(proper(A651),'Fintech, Regulatory Arbitrage, '!A:A,'Fintech, Regulatory Arbitrage, '!C:C,"")</f>
        <v/>
      </c>
    </row>
    <row r="652">
      <c r="A652" s="1" t="s">
        <v>671</v>
      </c>
      <c r="B652" s="2">
        <v>303.0</v>
      </c>
      <c r="C652" s="4"/>
      <c r="E652" s="4" t="str">
        <f t="array" ref="E652">XLOOKUP(proper(A652),'Fintech, Regulatory Arbitrage, '!A:A,'Fintech, Regulatory Arbitrage, '!C:C,"")</f>
        <v/>
      </c>
    </row>
    <row r="653">
      <c r="A653" s="1" t="s">
        <v>672</v>
      </c>
      <c r="B653" s="2">
        <v>303.0</v>
      </c>
      <c r="C653" s="4"/>
      <c r="E653" s="4" t="str">
        <f t="array" ref="E653">XLOOKUP(proper(A653),'Fintech, Regulatory Arbitrage, '!A:A,'Fintech, Regulatory Arbitrage, '!C:C,"")</f>
        <v/>
      </c>
    </row>
    <row r="654">
      <c r="A654" s="1" t="s">
        <v>673</v>
      </c>
      <c r="B654" s="2">
        <v>302.0</v>
      </c>
      <c r="C654" s="4"/>
      <c r="E654" s="4" t="str">
        <f t="array" ref="E654">XLOOKUP(proper(A654),'Fintech, Regulatory Arbitrage, '!A:A,'Fintech, Regulatory Arbitrage, '!C:C,"")</f>
        <v/>
      </c>
    </row>
    <row r="655">
      <c r="A655" s="1" t="s">
        <v>674</v>
      </c>
      <c r="B655" s="2">
        <v>302.0</v>
      </c>
      <c r="C655" s="4"/>
      <c r="E655" s="4" t="str">
        <f t="array" ref="E655">XLOOKUP(proper(A655),'Fintech, Regulatory Arbitrage, '!A:A,'Fintech, Regulatory Arbitrage, '!C:C,"")</f>
        <v/>
      </c>
    </row>
    <row r="656">
      <c r="A656" s="1" t="s">
        <v>675</v>
      </c>
      <c r="B656" s="2">
        <v>301.0</v>
      </c>
      <c r="C656" s="4"/>
      <c r="E656" s="4" t="str">
        <f t="array" ref="E656">XLOOKUP(proper(A656),'Fintech, Regulatory Arbitrage, '!A:A,'Fintech, Regulatory Arbitrage, '!C:C,"")</f>
        <v/>
      </c>
    </row>
    <row r="657">
      <c r="A657" s="1" t="s">
        <v>676</v>
      </c>
      <c r="B657" s="2">
        <v>300.0</v>
      </c>
      <c r="C657" s="4"/>
      <c r="E657" s="4" t="str">
        <f t="array" ref="E657">XLOOKUP(proper(A657),'Fintech, Regulatory Arbitrage, '!A:A,'Fintech, Regulatory Arbitrage, '!C:C,"")</f>
        <v/>
      </c>
    </row>
    <row r="658">
      <c r="A658" s="1" t="s">
        <v>677</v>
      </c>
      <c r="B658" s="2">
        <v>300.0</v>
      </c>
      <c r="C658" s="4"/>
      <c r="E658" s="4" t="str">
        <f t="array" ref="E658">XLOOKUP(proper(A658),'Fintech, Regulatory Arbitrage, '!A:A,'Fintech, Regulatory Arbitrage, '!C:C,"")</f>
        <v/>
      </c>
    </row>
    <row r="659">
      <c r="A659" s="1" t="s">
        <v>678</v>
      </c>
      <c r="B659" s="2">
        <v>299.0</v>
      </c>
      <c r="C659" s="4"/>
      <c r="E659" s="4" t="str">
        <f t="array" ref="E659">XLOOKUP(proper(A659),'Fintech, Regulatory Arbitrage, '!A:A,'Fintech, Regulatory Arbitrage, '!C:C,"")</f>
        <v/>
      </c>
    </row>
    <row r="660">
      <c r="A660" s="1" t="s">
        <v>679</v>
      </c>
      <c r="B660" s="2">
        <v>298.0</v>
      </c>
      <c r="C660" s="4"/>
      <c r="E660" s="4" t="str">
        <f t="array" ref="E660">XLOOKUP(proper(A660),'Fintech, Regulatory Arbitrage, '!A:A,'Fintech, Regulatory Arbitrage, '!C:C,"")</f>
        <v/>
      </c>
    </row>
    <row r="661">
      <c r="A661" s="1" t="s">
        <v>680</v>
      </c>
      <c r="B661" s="2">
        <v>297.0</v>
      </c>
      <c r="C661" s="4"/>
      <c r="E661" s="4" t="str">
        <f t="array" ref="E661">XLOOKUP(proper(A661),'Fintech, Regulatory Arbitrage, '!A:A,'Fintech, Regulatory Arbitrage, '!C:C,"")</f>
        <v/>
      </c>
    </row>
    <row r="662">
      <c r="A662" s="1" t="s">
        <v>681</v>
      </c>
      <c r="B662" s="2">
        <v>297.0</v>
      </c>
      <c r="C662" s="4"/>
      <c r="E662" s="4" t="str">
        <f t="array" ref="E662">XLOOKUP(proper(A662),'Fintech, Regulatory Arbitrage, '!A:A,'Fintech, Regulatory Arbitrage, '!C:C,"")</f>
        <v/>
      </c>
    </row>
    <row r="663">
      <c r="A663" s="1" t="s">
        <v>682</v>
      </c>
      <c r="B663" s="2">
        <v>296.0</v>
      </c>
      <c r="C663" s="4"/>
      <c r="E663" s="4" t="str">
        <f t="array" ref="E663">XLOOKUP(proper(A663),'Fintech, Regulatory Arbitrage, '!A:A,'Fintech, Regulatory Arbitrage, '!C:C,"")</f>
        <v/>
      </c>
    </row>
    <row r="664">
      <c r="A664" s="1" t="s">
        <v>683</v>
      </c>
      <c r="B664" s="2">
        <v>295.0</v>
      </c>
      <c r="C664" s="4"/>
      <c r="E664" s="4" t="str">
        <f t="array" ref="E664">XLOOKUP(proper(A664),'Fintech, Regulatory Arbitrage, '!A:A,'Fintech, Regulatory Arbitrage, '!C:C,"")</f>
        <v/>
      </c>
    </row>
    <row r="665">
      <c r="A665" s="1" t="s">
        <v>684</v>
      </c>
      <c r="B665" s="2">
        <v>294.0</v>
      </c>
      <c r="C665" s="4"/>
      <c r="E665" s="4" t="str">
        <f t="array" ref="E665">XLOOKUP(proper(A665),'Fintech, Regulatory Arbitrage, '!A:A,'Fintech, Regulatory Arbitrage, '!C:C,"")</f>
        <v/>
      </c>
    </row>
    <row r="666">
      <c r="A666" s="1" t="s">
        <v>685</v>
      </c>
      <c r="B666" s="2">
        <v>294.0</v>
      </c>
      <c r="C666" s="4"/>
      <c r="E666" s="4" t="str">
        <f t="array" ref="E666">XLOOKUP(proper(A666),'Fintech, Regulatory Arbitrage, '!A:A,'Fintech, Regulatory Arbitrage, '!C:C,"")</f>
        <v/>
      </c>
    </row>
    <row r="667">
      <c r="A667" s="1" t="s">
        <v>686</v>
      </c>
      <c r="B667" s="2">
        <v>294.0</v>
      </c>
      <c r="C667" s="4"/>
      <c r="E667" s="4" t="str">
        <f t="array" ref="E667">XLOOKUP(proper(A667),'Fintech, Regulatory Arbitrage, '!A:A,'Fintech, Regulatory Arbitrage, '!C:C,"")</f>
        <v/>
      </c>
    </row>
    <row r="668">
      <c r="A668" s="1" t="s">
        <v>687</v>
      </c>
      <c r="B668" s="2">
        <v>293.0</v>
      </c>
      <c r="C668" s="4"/>
      <c r="E668" s="4" t="str">
        <f t="array" ref="E668">XLOOKUP(proper(A668),'Fintech, Regulatory Arbitrage, '!A:A,'Fintech, Regulatory Arbitrage, '!C:C,"")</f>
        <v/>
      </c>
    </row>
    <row r="669">
      <c r="A669" s="1" t="s">
        <v>688</v>
      </c>
      <c r="B669" s="2">
        <v>291.0</v>
      </c>
      <c r="C669" s="4"/>
      <c r="E669" s="4" t="str">
        <f t="array" ref="E669">XLOOKUP(proper(A669),'Fintech, Regulatory Arbitrage, '!A:A,'Fintech, Regulatory Arbitrage, '!C:C,"")</f>
        <v/>
      </c>
    </row>
    <row r="670">
      <c r="A670" s="1" t="s">
        <v>689</v>
      </c>
      <c r="B670" s="2">
        <v>291.0</v>
      </c>
      <c r="C670" s="4"/>
      <c r="E670" s="4" t="str">
        <f t="array" ref="E670">XLOOKUP(proper(A670),'Fintech, Regulatory Arbitrage, '!A:A,'Fintech, Regulatory Arbitrage, '!C:C,"")</f>
        <v/>
      </c>
    </row>
    <row r="671">
      <c r="A671" s="1" t="s">
        <v>690</v>
      </c>
      <c r="B671" s="2">
        <v>290.0</v>
      </c>
      <c r="C671" s="4"/>
      <c r="E671" s="4" t="str">
        <f t="array" ref="E671">XLOOKUP(proper(A671),'Fintech, Regulatory Arbitrage, '!A:A,'Fintech, Regulatory Arbitrage, '!C:C,"")</f>
        <v/>
      </c>
    </row>
    <row r="672">
      <c r="A672" s="1" t="s">
        <v>691</v>
      </c>
      <c r="B672" s="2">
        <v>290.0</v>
      </c>
      <c r="C672" s="4"/>
      <c r="E672" s="4" t="str">
        <f t="array" ref="E672">XLOOKUP(proper(A672),'Fintech, Regulatory Arbitrage, '!A:A,'Fintech, Regulatory Arbitrage, '!C:C,"")</f>
        <v/>
      </c>
    </row>
    <row r="673">
      <c r="A673" s="1" t="s">
        <v>692</v>
      </c>
      <c r="B673" s="2">
        <v>290.0</v>
      </c>
      <c r="C673" s="4"/>
      <c r="E673" s="4" t="str">
        <f t="array" ref="E673">XLOOKUP(proper(A673),'Fintech, Regulatory Arbitrage, '!A:A,'Fintech, Regulatory Arbitrage, '!C:C,"")</f>
        <v/>
      </c>
    </row>
    <row r="674">
      <c r="A674" s="1" t="s">
        <v>693</v>
      </c>
      <c r="B674" s="2">
        <v>287.0</v>
      </c>
      <c r="C674" s="4"/>
      <c r="E674" s="4" t="str">
        <f t="array" ref="E674">XLOOKUP(proper(A674),'Fintech, Regulatory Arbitrage, '!A:A,'Fintech, Regulatory Arbitrage, '!C:C,"")</f>
        <v/>
      </c>
    </row>
    <row r="675">
      <c r="A675" s="1" t="s">
        <v>694</v>
      </c>
      <c r="B675" s="2">
        <v>286.0</v>
      </c>
      <c r="C675" s="4"/>
      <c r="E675" s="4" t="str">
        <f t="array" ref="E675">XLOOKUP(proper(A675),'Fintech, Regulatory Arbitrage, '!A:A,'Fintech, Regulatory Arbitrage, '!C:C,"")</f>
        <v/>
      </c>
    </row>
    <row r="676">
      <c r="A676" s="1" t="s">
        <v>695</v>
      </c>
      <c r="B676" s="2">
        <v>286.0</v>
      </c>
      <c r="C676" s="4"/>
      <c r="E676" s="4" t="str">
        <f t="array" ref="E676">XLOOKUP(proper(A676),'Fintech, Regulatory Arbitrage, '!A:A,'Fintech, Regulatory Arbitrage, '!C:C,"")</f>
        <v/>
      </c>
    </row>
    <row r="677">
      <c r="A677" s="1" t="s">
        <v>696</v>
      </c>
      <c r="B677" s="2">
        <v>285.0</v>
      </c>
      <c r="C677" s="4"/>
      <c r="E677" s="4" t="str">
        <f t="array" ref="E677">XLOOKUP(proper(A677),'Fintech, Regulatory Arbitrage, '!A:A,'Fintech, Regulatory Arbitrage, '!C:C,"")</f>
        <v/>
      </c>
    </row>
    <row r="678">
      <c r="A678" s="1" t="s">
        <v>697</v>
      </c>
      <c r="B678" s="2">
        <v>285.0</v>
      </c>
      <c r="C678" s="4"/>
      <c r="E678" s="4" t="str">
        <f t="array" ref="E678">XLOOKUP(proper(A678),'Fintech, Regulatory Arbitrage, '!A:A,'Fintech, Regulatory Arbitrage, '!C:C,"")</f>
        <v/>
      </c>
    </row>
    <row r="679">
      <c r="A679" s="1" t="s">
        <v>698</v>
      </c>
      <c r="B679" s="2">
        <v>285.0</v>
      </c>
      <c r="C679" s="4"/>
      <c r="E679" s="4" t="str">
        <f t="array" ref="E679">XLOOKUP(proper(A679),'Fintech, Regulatory Arbitrage, '!A:A,'Fintech, Regulatory Arbitrage, '!C:C,"")</f>
        <v/>
      </c>
    </row>
    <row r="680">
      <c r="A680" s="1" t="s">
        <v>699</v>
      </c>
      <c r="B680" s="2">
        <v>284.0</v>
      </c>
      <c r="C680" s="4"/>
      <c r="E680" s="4" t="str">
        <f t="array" ref="E680">XLOOKUP(proper(A680),'Fintech, Regulatory Arbitrage, '!A:A,'Fintech, Regulatory Arbitrage, '!C:C,"")</f>
        <v/>
      </c>
    </row>
    <row r="681">
      <c r="A681" s="1" t="s">
        <v>700</v>
      </c>
      <c r="B681" s="2">
        <v>283.0</v>
      </c>
      <c r="C681" s="4"/>
      <c r="E681" s="4" t="str">
        <f t="array" ref="E681">XLOOKUP(proper(A681),'Fintech, Regulatory Arbitrage, '!A:A,'Fintech, Regulatory Arbitrage, '!C:C,"")</f>
        <v/>
      </c>
    </row>
    <row r="682">
      <c r="A682" s="1" t="s">
        <v>701</v>
      </c>
      <c r="B682" s="2">
        <v>282.0</v>
      </c>
      <c r="C682" s="4"/>
      <c r="E682" s="4" t="str">
        <f t="array" ref="E682">XLOOKUP(proper(A682),'Fintech, Regulatory Arbitrage, '!A:A,'Fintech, Regulatory Arbitrage, '!C:C,"")</f>
        <v/>
      </c>
    </row>
    <row r="683">
      <c r="A683" s="1" t="s">
        <v>702</v>
      </c>
      <c r="B683" s="2">
        <v>282.0</v>
      </c>
      <c r="C683" s="4"/>
      <c r="E683" s="4" t="str">
        <f t="array" ref="E683">XLOOKUP(proper(A683),'Fintech, Regulatory Arbitrage, '!A:A,'Fintech, Regulatory Arbitrage, '!C:C,"")</f>
        <v/>
      </c>
    </row>
    <row r="684">
      <c r="A684" s="1" t="s">
        <v>703</v>
      </c>
      <c r="B684" s="2">
        <v>282.0</v>
      </c>
      <c r="C684" s="4"/>
      <c r="E684" s="4" t="str">
        <f t="array" ref="E684">XLOOKUP(proper(A684),'Fintech, Regulatory Arbitrage, '!A:A,'Fintech, Regulatory Arbitrage, '!C:C,"")</f>
        <v/>
      </c>
    </row>
    <row r="685">
      <c r="A685" s="1" t="s">
        <v>704</v>
      </c>
      <c r="B685" s="2">
        <v>281.0</v>
      </c>
      <c r="C685" s="4"/>
      <c r="E685" s="4" t="str">
        <f t="array" ref="E685">XLOOKUP(proper(A685),'Fintech, Regulatory Arbitrage, '!A:A,'Fintech, Regulatory Arbitrage, '!C:C,"")</f>
        <v/>
      </c>
    </row>
    <row r="686">
      <c r="A686" s="1" t="s">
        <v>705</v>
      </c>
      <c r="B686" s="2">
        <v>281.0</v>
      </c>
      <c r="C686" s="4"/>
      <c r="E686" s="4" t="str">
        <f t="array" ref="E686">XLOOKUP(proper(A686),'Fintech, Regulatory Arbitrage, '!A:A,'Fintech, Regulatory Arbitrage, '!C:C,"")</f>
        <v/>
      </c>
    </row>
    <row r="687">
      <c r="A687" s="1" t="s">
        <v>706</v>
      </c>
      <c r="B687" s="2">
        <v>281.0</v>
      </c>
      <c r="C687" s="4"/>
      <c r="E687" s="4" t="str">
        <f t="array" ref="E687">XLOOKUP(proper(A687),'Fintech, Regulatory Arbitrage, '!A:A,'Fintech, Regulatory Arbitrage, '!C:C,"")</f>
        <v/>
      </c>
    </row>
    <row r="688">
      <c r="A688" s="1" t="s">
        <v>707</v>
      </c>
      <c r="B688" s="2">
        <v>280.0</v>
      </c>
      <c r="C688" s="4"/>
      <c r="E688" s="4" t="str">
        <f t="array" ref="E688">XLOOKUP(proper(A688),'Fintech, Regulatory Arbitrage, '!A:A,'Fintech, Regulatory Arbitrage, '!C:C,"")</f>
        <v/>
      </c>
    </row>
    <row r="689">
      <c r="A689" s="1" t="s">
        <v>708</v>
      </c>
      <c r="B689" s="2">
        <v>280.0</v>
      </c>
      <c r="C689" s="4"/>
      <c r="E689" s="4" t="str">
        <f t="array" ref="E689">XLOOKUP(proper(A689),'Fintech, Regulatory Arbitrage, '!A:A,'Fintech, Regulatory Arbitrage, '!C:C,"")</f>
        <v/>
      </c>
    </row>
    <row r="690">
      <c r="A690" s="1" t="s">
        <v>709</v>
      </c>
      <c r="B690" s="2">
        <v>280.0</v>
      </c>
      <c r="C690" s="4"/>
      <c r="E690" s="4" t="str">
        <f t="array" ref="E690">XLOOKUP(proper(A690),'Fintech, Regulatory Arbitrage, '!A:A,'Fintech, Regulatory Arbitrage, '!C:C,"")</f>
        <v/>
      </c>
    </row>
    <row r="691">
      <c r="A691" s="1" t="s">
        <v>710</v>
      </c>
      <c r="B691" s="2">
        <v>279.0</v>
      </c>
      <c r="C691" s="4"/>
      <c r="E691" s="4" t="str">
        <f t="array" ref="E691">XLOOKUP(proper(A691),'Fintech, Regulatory Arbitrage, '!A:A,'Fintech, Regulatory Arbitrage, '!C:C,"")</f>
        <v/>
      </c>
    </row>
    <row r="692">
      <c r="A692" s="1" t="s">
        <v>711</v>
      </c>
      <c r="B692" s="2">
        <v>279.0</v>
      </c>
      <c r="C692" s="4"/>
      <c r="E692" s="4" t="str">
        <f t="array" ref="E692">XLOOKUP(proper(A692),'Fintech, Regulatory Arbitrage, '!A:A,'Fintech, Regulatory Arbitrage, '!C:C,"")</f>
        <v/>
      </c>
    </row>
    <row r="693">
      <c r="A693" s="1" t="s">
        <v>712</v>
      </c>
      <c r="B693" s="2">
        <v>277.0</v>
      </c>
      <c r="C693" s="4"/>
      <c r="E693" s="4" t="str">
        <f t="array" ref="E693">XLOOKUP(proper(A693),'Fintech, Regulatory Arbitrage, '!A:A,'Fintech, Regulatory Arbitrage, '!C:C,"")</f>
        <v/>
      </c>
    </row>
    <row r="694">
      <c r="A694" s="1" t="s">
        <v>713</v>
      </c>
      <c r="B694" s="2">
        <v>277.0</v>
      </c>
      <c r="C694" s="4"/>
      <c r="E694" s="4" t="str">
        <f t="array" ref="E694">XLOOKUP(proper(A694),'Fintech, Regulatory Arbitrage, '!A:A,'Fintech, Regulatory Arbitrage, '!C:C,"")</f>
        <v/>
      </c>
    </row>
    <row r="695">
      <c r="A695" s="1" t="s">
        <v>714</v>
      </c>
      <c r="B695" s="2">
        <v>277.0</v>
      </c>
      <c r="C695" s="4"/>
      <c r="E695" s="4" t="str">
        <f t="array" ref="E695">XLOOKUP(proper(A695),'Fintech, Regulatory Arbitrage, '!A:A,'Fintech, Regulatory Arbitrage, '!C:C,"")</f>
        <v/>
      </c>
    </row>
    <row r="696">
      <c r="A696" s="1" t="s">
        <v>715</v>
      </c>
      <c r="B696" s="2">
        <v>277.0</v>
      </c>
      <c r="C696" s="4"/>
      <c r="E696" s="4" t="str">
        <f t="array" ref="E696">XLOOKUP(proper(A696),'Fintech, Regulatory Arbitrage, '!A:A,'Fintech, Regulatory Arbitrage, '!C:C,"")</f>
        <v/>
      </c>
    </row>
    <row r="697">
      <c r="A697" s="1" t="s">
        <v>716</v>
      </c>
      <c r="B697" s="2">
        <v>276.0</v>
      </c>
      <c r="C697" s="4"/>
      <c r="E697" s="4" t="str">
        <f t="array" ref="E697">XLOOKUP(proper(A697),'Fintech, Regulatory Arbitrage, '!A:A,'Fintech, Regulatory Arbitrage, '!C:C,"")</f>
        <v/>
      </c>
    </row>
    <row r="698">
      <c r="A698" s="1" t="s">
        <v>717</v>
      </c>
      <c r="B698" s="2">
        <v>276.0</v>
      </c>
      <c r="C698" s="4"/>
      <c r="E698" s="4" t="str">
        <f t="array" ref="E698">XLOOKUP(proper(A698),'Fintech, Regulatory Arbitrage, '!A:A,'Fintech, Regulatory Arbitrage, '!C:C,"")</f>
        <v/>
      </c>
    </row>
    <row r="699">
      <c r="A699" s="1" t="s">
        <v>718</v>
      </c>
      <c r="B699" s="2">
        <v>274.0</v>
      </c>
      <c r="C699" s="4"/>
      <c r="E699" s="4" t="str">
        <f t="array" ref="E699">XLOOKUP(proper(A699),'Fintech, Regulatory Arbitrage, '!A:A,'Fintech, Regulatory Arbitrage, '!C:C,"")</f>
        <v/>
      </c>
    </row>
    <row r="700">
      <c r="A700" s="1" t="s">
        <v>719</v>
      </c>
      <c r="B700" s="2">
        <v>274.0</v>
      </c>
      <c r="C700" s="4"/>
      <c r="E700" s="4" t="str">
        <f t="array" ref="E700">XLOOKUP(proper(A700),'Fintech, Regulatory Arbitrage, '!A:A,'Fintech, Regulatory Arbitrage, '!C:C,"")</f>
        <v/>
      </c>
    </row>
    <row r="701">
      <c r="A701" s="1" t="s">
        <v>720</v>
      </c>
      <c r="B701" s="2">
        <v>274.0</v>
      </c>
      <c r="C701" s="4"/>
      <c r="E701" s="4" t="str">
        <f t="array" ref="E701">XLOOKUP(proper(A701),'Fintech, Regulatory Arbitrage, '!A:A,'Fintech, Regulatory Arbitrage, '!C:C,"")</f>
        <v/>
      </c>
    </row>
    <row r="702">
      <c r="A702" s="1" t="s">
        <v>721</v>
      </c>
      <c r="B702" s="2">
        <v>271.0</v>
      </c>
      <c r="C702" s="4"/>
      <c r="E702" s="4" t="str">
        <f t="array" ref="E702">XLOOKUP(proper(A702),'Fintech, Regulatory Arbitrage, '!A:A,'Fintech, Regulatory Arbitrage, '!C:C,"")</f>
        <v/>
      </c>
    </row>
    <row r="703">
      <c r="A703" s="1" t="s">
        <v>722</v>
      </c>
      <c r="B703" s="2">
        <v>271.0</v>
      </c>
      <c r="C703" s="4"/>
      <c r="E703" s="4" t="str">
        <f t="array" ref="E703">XLOOKUP(proper(A703),'Fintech, Regulatory Arbitrage, '!A:A,'Fintech, Regulatory Arbitrage, '!C:C,"")</f>
        <v/>
      </c>
    </row>
    <row r="704">
      <c r="A704" s="1" t="s">
        <v>723</v>
      </c>
      <c r="B704" s="2">
        <v>271.0</v>
      </c>
      <c r="C704" s="4"/>
      <c r="E704" s="4" t="str">
        <f t="array" ref="E704">XLOOKUP(proper(A704),'Fintech, Regulatory Arbitrage, '!A:A,'Fintech, Regulatory Arbitrage, '!C:C,"")</f>
        <v/>
      </c>
    </row>
    <row r="705">
      <c r="A705" s="1" t="s">
        <v>724</v>
      </c>
      <c r="B705" s="2">
        <v>271.0</v>
      </c>
      <c r="C705" s="4"/>
      <c r="E705" s="4" t="str">
        <f t="array" ref="E705">XLOOKUP(proper(A705),'Fintech, Regulatory Arbitrage, '!A:A,'Fintech, Regulatory Arbitrage, '!C:C,"")</f>
        <v/>
      </c>
    </row>
    <row r="706">
      <c r="A706" s="1" t="s">
        <v>725</v>
      </c>
      <c r="B706" s="2">
        <v>271.0</v>
      </c>
      <c r="C706" s="4"/>
      <c r="E706" s="4" t="str">
        <f t="array" ref="E706">XLOOKUP(proper(A706),'Fintech, Regulatory Arbitrage, '!A:A,'Fintech, Regulatory Arbitrage, '!C:C,"")</f>
        <v/>
      </c>
    </row>
    <row r="707">
      <c r="A707" s="1" t="s">
        <v>726</v>
      </c>
      <c r="B707" s="2">
        <v>271.0</v>
      </c>
      <c r="C707" s="4"/>
      <c r="E707" s="4" t="str">
        <f t="array" ref="E707">XLOOKUP(proper(A707),'Fintech, Regulatory Arbitrage, '!A:A,'Fintech, Regulatory Arbitrage, '!C:C,"")</f>
        <v/>
      </c>
    </row>
    <row r="708">
      <c r="A708" s="1" t="s">
        <v>727</v>
      </c>
      <c r="B708" s="2">
        <v>271.0</v>
      </c>
      <c r="C708" s="4"/>
      <c r="E708" s="4" t="str">
        <f t="array" ref="E708">XLOOKUP(proper(A708),'Fintech, Regulatory Arbitrage, '!A:A,'Fintech, Regulatory Arbitrage, '!C:C,"")</f>
        <v/>
      </c>
    </row>
    <row r="709">
      <c r="A709" s="1" t="s">
        <v>728</v>
      </c>
      <c r="B709" s="2">
        <v>270.0</v>
      </c>
      <c r="C709" s="4"/>
      <c r="E709" s="4" t="str">
        <f t="array" ref="E709">XLOOKUP(proper(A709),'Fintech, Regulatory Arbitrage, '!A:A,'Fintech, Regulatory Arbitrage, '!C:C,"")</f>
        <v/>
      </c>
    </row>
    <row r="710">
      <c r="A710" s="1" t="s">
        <v>729</v>
      </c>
      <c r="B710" s="2">
        <v>269.0</v>
      </c>
      <c r="C710" s="4"/>
      <c r="E710" s="4" t="str">
        <f t="array" ref="E710">XLOOKUP(proper(A710),'Fintech, Regulatory Arbitrage, '!A:A,'Fintech, Regulatory Arbitrage, '!C:C,"")</f>
        <v/>
      </c>
    </row>
    <row r="711">
      <c r="A711" s="1" t="s">
        <v>730</v>
      </c>
      <c r="B711" s="2">
        <v>268.0</v>
      </c>
      <c r="C711" s="4"/>
      <c r="E711" s="4" t="str">
        <f t="array" ref="E711">XLOOKUP(proper(A711),'Fintech, Regulatory Arbitrage, '!A:A,'Fintech, Regulatory Arbitrage, '!C:C,"")</f>
        <v/>
      </c>
    </row>
    <row r="712">
      <c r="A712" s="1" t="s">
        <v>731</v>
      </c>
      <c r="B712" s="2">
        <v>264.0</v>
      </c>
      <c r="C712" s="4"/>
      <c r="E712" s="4" t="str">
        <f t="array" ref="E712">XLOOKUP(proper(A712),'Fintech, Regulatory Arbitrage, '!A:A,'Fintech, Regulatory Arbitrage, '!C:C,"")</f>
        <v/>
      </c>
    </row>
    <row r="713">
      <c r="A713" s="1" t="s">
        <v>732</v>
      </c>
      <c r="B713" s="2">
        <v>264.0</v>
      </c>
      <c r="C713" s="4"/>
      <c r="E713" s="4" t="str">
        <f t="array" ref="E713">XLOOKUP(proper(A713),'Fintech, Regulatory Arbitrage, '!A:A,'Fintech, Regulatory Arbitrage, '!C:C,"")</f>
        <v/>
      </c>
    </row>
    <row r="714">
      <c r="A714" s="1" t="s">
        <v>733</v>
      </c>
      <c r="B714" s="2">
        <v>264.0</v>
      </c>
      <c r="C714" s="4"/>
      <c r="E714" s="4" t="str">
        <f t="array" ref="E714">XLOOKUP(proper(A714),'Fintech, Regulatory Arbitrage, '!A:A,'Fintech, Regulatory Arbitrage, '!C:C,"")</f>
        <v/>
      </c>
    </row>
    <row r="715">
      <c r="A715" s="1" t="s">
        <v>734</v>
      </c>
      <c r="B715" s="2">
        <v>263.0</v>
      </c>
      <c r="C715" s="4"/>
      <c r="E715" s="4" t="str">
        <f t="array" ref="E715">XLOOKUP(proper(A715),'Fintech, Regulatory Arbitrage, '!A:A,'Fintech, Regulatory Arbitrage, '!C:C,"")</f>
        <v/>
      </c>
    </row>
    <row r="716">
      <c r="A716" s="1" t="s">
        <v>735</v>
      </c>
      <c r="B716" s="2">
        <v>262.0</v>
      </c>
      <c r="C716" s="4"/>
      <c r="E716" s="4" t="str">
        <f t="array" ref="E716">XLOOKUP(proper(A716),'Fintech, Regulatory Arbitrage, '!A:A,'Fintech, Regulatory Arbitrage, '!C:C,"")</f>
        <v/>
      </c>
    </row>
    <row r="717">
      <c r="A717" s="1" t="s">
        <v>736</v>
      </c>
      <c r="B717" s="2">
        <v>262.0</v>
      </c>
      <c r="C717" s="4"/>
      <c r="E717" s="4" t="str">
        <f t="array" ref="E717">XLOOKUP(proper(A717),'Fintech, Regulatory Arbitrage, '!A:A,'Fintech, Regulatory Arbitrage, '!C:C,"")</f>
        <v/>
      </c>
    </row>
    <row r="718">
      <c r="A718" s="1" t="s">
        <v>737</v>
      </c>
      <c r="B718" s="2">
        <v>262.0</v>
      </c>
      <c r="C718" s="4"/>
      <c r="E718" s="4" t="str">
        <f t="array" ref="E718">XLOOKUP(proper(A718),'Fintech, Regulatory Arbitrage, '!A:A,'Fintech, Regulatory Arbitrage, '!C:C,"")</f>
        <v/>
      </c>
    </row>
    <row r="719">
      <c r="A719" s="1" t="s">
        <v>738</v>
      </c>
      <c r="B719" s="2">
        <v>262.0</v>
      </c>
      <c r="C719" s="4"/>
      <c r="E719" s="4" t="str">
        <f t="array" ref="E719">XLOOKUP(proper(A719),'Fintech, Regulatory Arbitrage, '!A:A,'Fintech, Regulatory Arbitrage, '!C:C,"")</f>
        <v/>
      </c>
    </row>
    <row r="720">
      <c r="A720" s="1" t="s">
        <v>739</v>
      </c>
      <c r="B720" s="2">
        <v>261.0</v>
      </c>
      <c r="C720" s="4"/>
      <c r="E720" s="4" t="str">
        <f t="array" ref="E720">XLOOKUP(proper(A720),'Fintech, Regulatory Arbitrage, '!A:A,'Fintech, Regulatory Arbitrage, '!C:C,"")</f>
        <v/>
      </c>
    </row>
    <row r="721">
      <c r="A721" s="1" t="s">
        <v>740</v>
      </c>
      <c r="B721" s="2">
        <v>261.0</v>
      </c>
      <c r="C721" s="4"/>
      <c r="E721" s="4" t="str">
        <f t="array" ref="E721">XLOOKUP(proper(A721),'Fintech, Regulatory Arbitrage, '!A:A,'Fintech, Regulatory Arbitrage, '!C:C,"")</f>
        <v/>
      </c>
    </row>
    <row r="722">
      <c r="A722" s="1" t="s">
        <v>741</v>
      </c>
      <c r="B722" s="2">
        <v>261.0</v>
      </c>
      <c r="C722" s="4"/>
      <c r="E722" s="4" t="str">
        <f t="array" ref="E722">XLOOKUP(proper(A722),'Fintech, Regulatory Arbitrage, '!A:A,'Fintech, Regulatory Arbitrage, '!C:C,"")</f>
        <v/>
      </c>
    </row>
    <row r="723">
      <c r="A723" s="1" t="s">
        <v>742</v>
      </c>
      <c r="B723" s="2">
        <v>260.0</v>
      </c>
      <c r="C723" s="4"/>
      <c r="E723" s="4" t="str">
        <f t="array" ref="E723">XLOOKUP(proper(A723),'Fintech, Regulatory Arbitrage, '!A:A,'Fintech, Regulatory Arbitrage, '!C:C,"")</f>
        <v/>
      </c>
    </row>
    <row r="724">
      <c r="A724" s="1" t="s">
        <v>743</v>
      </c>
      <c r="B724" s="2">
        <v>260.0</v>
      </c>
      <c r="C724" s="4"/>
      <c r="E724" s="4" t="str">
        <f t="array" ref="E724">XLOOKUP(proper(A724),'Fintech, Regulatory Arbitrage, '!A:A,'Fintech, Regulatory Arbitrage, '!C:C,"")</f>
        <v/>
      </c>
    </row>
    <row r="725">
      <c r="A725" s="1" t="s">
        <v>744</v>
      </c>
      <c r="B725" s="2">
        <v>260.0</v>
      </c>
      <c r="C725" s="4"/>
      <c r="E725" s="4" t="str">
        <f t="array" ref="E725">XLOOKUP(proper(A725),'Fintech, Regulatory Arbitrage, '!A:A,'Fintech, Regulatory Arbitrage, '!C:C,"")</f>
        <v/>
      </c>
    </row>
    <row r="726">
      <c r="A726" s="1" t="s">
        <v>745</v>
      </c>
      <c r="B726" s="2">
        <v>260.0</v>
      </c>
      <c r="C726" s="4"/>
      <c r="E726" s="4" t="str">
        <f t="array" ref="E726">XLOOKUP(proper(A726),'Fintech, Regulatory Arbitrage, '!A:A,'Fintech, Regulatory Arbitrage, '!C:C,"")</f>
        <v/>
      </c>
    </row>
    <row r="727">
      <c r="A727" s="1" t="s">
        <v>746</v>
      </c>
      <c r="B727" s="2">
        <v>259.0</v>
      </c>
      <c r="C727" s="4"/>
      <c r="E727" s="4" t="str">
        <f t="array" ref="E727">XLOOKUP(proper(A727),'Fintech, Regulatory Arbitrage, '!A:A,'Fintech, Regulatory Arbitrage, '!C:C,"")</f>
        <v/>
      </c>
    </row>
    <row r="728">
      <c r="A728" s="1" t="s">
        <v>747</v>
      </c>
      <c r="B728" s="2">
        <v>258.0</v>
      </c>
      <c r="C728" s="4"/>
      <c r="E728" s="4" t="str">
        <f t="array" ref="E728">XLOOKUP(proper(A728),'Fintech, Regulatory Arbitrage, '!A:A,'Fintech, Regulatory Arbitrage, '!C:C,"")</f>
        <v/>
      </c>
    </row>
    <row r="729">
      <c r="A729" s="1" t="s">
        <v>748</v>
      </c>
      <c r="B729" s="2">
        <v>257.0</v>
      </c>
      <c r="C729" s="4"/>
      <c r="E729" s="4" t="str">
        <f t="array" ref="E729">XLOOKUP(proper(A729),'Fintech, Regulatory Arbitrage, '!A:A,'Fintech, Regulatory Arbitrage, '!C:C,"")</f>
        <v/>
      </c>
    </row>
    <row r="730">
      <c r="A730" s="1" t="s">
        <v>749</v>
      </c>
      <c r="B730" s="2">
        <v>256.0</v>
      </c>
      <c r="C730" s="4"/>
      <c r="E730" s="4" t="str">
        <f t="array" ref="E730">XLOOKUP(proper(A730),'Fintech, Regulatory Arbitrage, '!A:A,'Fintech, Regulatory Arbitrage, '!C:C,"")</f>
        <v/>
      </c>
    </row>
    <row r="731">
      <c r="A731" s="1" t="s">
        <v>750</v>
      </c>
      <c r="B731" s="2">
        <v>256.0</v>
      </c>
      <c r="C731" s="4"/>
      <c r="E731" s="4" t="str">
        <f t="array" ref="E731">XLOOKUP(proper(A731),'Fintech, Regulatory Arbitrage, '!A:A,'Fintech, Regulatory Arbitrage, '!C:C,"")</f>
        <v/>
      </c>
    </row>
    <row r="732">
      <c r="A732" s="1" t="s">
        <v>751</v>
      </c>
      <c r="B732" s="2">
        <v>256.0</v>
      </c>
      <c r="C732" s="4"/>
      <c r="E732" s="4" t="str">
        <f t="array" ref="E732">XLOOKUP(proper(A732),'Fintech, Regulatory Arbitrage, '!A:A,'Fintech, Regulatory Arbitrage, '!C:C,"")</f>
        <v/>
      </c>
    </row>
    <row r="733">
      <c r="A733" s="1" t="s">
        <v>752</v>
      </c>
      <c r="B733" s="2">
        <v>255.0</v>
      </c>
      <c r="C733" s="4"/>
      <c r="E733" s="4" t="str">
        <f t="array" ref="E733">XLOOKUP(proper(A733),'Fintech, Regulatory Arbitrage, '!A:A,'Fintech, Regulatory Arbitrage, '!C:C,"")</f>
        <v/>
      </c>
    </row>
    <row r="734">
      <c r="A734" s="1" t="s">
        <v>753</v>
      </c>
      <c r="B734" s="2">
        <v>255.0</v>
      </c>
      <c r="C734" s="4"/>
      <c r="E734" s="4" t="str">
        <f t="array" ref="E734">XLOOKUP(proper(A734),'Fintech, Regulatory Arbitrage, '!A:A,'Fintech, Regulatory Arbitrage, '!C:C,"")</f>
        <v/>
      </c>
    </row>
    <row r="735">
      <c r="A735" s="1" t="s">
        <v>754</v>
      </c>
      <c r="B735" s="2">
        <v>255.0</v>
      </c>
      <c r="C735" s="4"/>
      <c r="E735" s="4" t="str">
        <f t="array" ref="E735">XLOOKUP(proper(A735),'Fintech, Regulatory Arbitrage, '!A:A,'Fintech, Regulatory Arbitrage, '!C:C,"")</f>
        <v/>
      </c>
    </row>
    <row r="736">
      <c r="A736" s="1" t="s">
        <v>755</v>
      </c>
      <c r="B736" s="2">
        <v>254.0</v>
      </c>
      <c r="C736" s="4"/>
      <c r="E736" s="4" t="str">
        <f t="array" ref="E736">XLOOKUP(proper(A736),'Fintech, Regulatory Arbitrage, '!A:A,'Fintech, Regulatory Arbitrage, '!C:C,"")</f>
        <v/>
      </c>
    </row>
    <row r="737">
      <c r="A737" s="1" t="s">
        <v>756</v>
      </c>
      <c r="B737" s="2">
        <v>253.0</v>
      </c>
      <c r="C737" s="4"/>
      <c r="E737" s="4" t="str">
        <f t="array" ref="E737">XLOOKUP(proper(A737),'Fintech, Regulatory Arbitrage, '!A:A,'Fintech, Regulatory Arbitrage, '!C:C,"")</f>
        <v/>
      </c>
    </row>
    <row r="738">
      <c r="A738" s="1" t="s">
        <v>757</v>
      </c>
      <c r="B738" s="2">
        <v>253.0</v>
      </c>
      <c r="C738" s="4"/>
      <c r="E738" s="4" t="str">
        <f t="array" ref="E738">XLOOKUP(proper(A738),'Fintech, Regulatory Arbitrage, '!A:A,'Fintech, Regulatory Arbitrage, '!C:C,"")</f>
        <v/>
      </c>
    </row>
    <row r="739">
      <c r="A739" s="1" t="s">
        <v>758</v>
      </c>
      <c r="B739" s="2">
        <v>253.0</v>
      </c>
      <c r="C739" s="4"/>
      <c r="E739" s="4" t="str">
        <f t="array" ref="E739">XLOOKUP(proper(A739),'Fintech, Regulatory Arbitrage, '!A:A,'Fintech, Regulatory Arbitrage, '!C:C,"")</f>
        <v/>
      </c>
    </row>
    <row r="740">
      <c r="A740" s="1" t="s">
        <v>759</v>
      </c>
      <c r="B740" s="2">
        <v>253.0</v>
      </c>
      <c r="C740" s="4"/>
      <c r="E740" s="4" t="str">
        <f t="array" ref="E740">XLOOKUP(proper(A740),'Fintech, Regulatory Arbitrage, '!A:A,'Fintech, Regulatory Arbitrage, '!C:C,"")</f>
        <v/>
      </c>
    </row>
    <row r="741">
      <c r="A741" s="1" t="s">
        <v>760</v>
      </c>
      <c r="B741" s="2">
        <v>251.0</v>
      </c>
      <c r="C741" s="4"/>
      <c r="E741" s="4" t="str">
        <f t="array" ref="E741">XLOOKUP(proper(A741),'Fintech, Regulatory Arbitrage, '!A:A,'Fintech, Regulatory Arbitrage, '!C:C,"")</f>
        <v/>
      </c>
    </row>
    <row r="742">
      <c r="A742" s="1" t="s">
        <v>761</v>
      </c>
      <c r="B742" s="2">
        <v>251.0</v>
      </c>
      <c r="C742" s="4"/>
      <c r="E742" s="4" t="str">
        <f t="array" ref="E742">XLOOKUP(proper(A742),'Fintech, Regulatory Arbitrage, '!A:A,'Fintech, Regulatory Arbitrage, '!C:C,"")</f>
        <v/>
      </c>
    </row>
    <row r="743">
      <c r="A743" s="1" t="s">
        <v>762</v>
      </c>
      <c r="B743" s="2">
        <v>251.0</v>
      </c>
      <c r="C743" s="4"/>
      <c r="E743" s="4" t="str">
        <f t="array" ref="E743">XLOOKUP(proper(A743),'Fintech, Regulatory Arbitrage, '!A:A,'Fintech, Regulatory Arbitrage, '!C:C,"")</f>
        <v/>
      </c>
    </row>
    <row r="744">
      <c r="A744" s="1" t="s">
        <v>763</v>
      </c>
      <c r="B744" s="2">
        <v>251.0</v>
      </c>
      <c r="C744" s="4"/>
      <c r="E744" s="4" t="str">
        <f t="array" ref="E744">XLOOKUP(proper(A744),'Fintech, Regulatory Arbitrage, '!A:A,'Fintech, Regulatory Arbitrage, '!C:C,"")</f>
        <v/>
      </c>
    </row>
    <row r="745">
      <c r="A745" s="1" t="s">
        <v>764</v>
      </c>
      <c r="B745" s="2">
        <v>251.0</v>
      </c>
      <c r="C745" s="4"/>
      <c r="E745" s="4" t="str">
        <f t="array" ref="E745">XLOOKUP(proper(A745),'Fintech, Regulatory Arbitrage, '!A:A,'Fintech, Regulatory Arbitrage, '!C:C,"")</f>
        <v/>
      </c>
    </row>
    <row r="746">
      <c r="A746" s="1" t="s">
        <v>765</v>
      </c>
      <c r="B746" s="2">
        <v>248.0</v>
      </c>
      <c r="C746" s="4"/>
      <c r="E746" s="4" t="str">
        <f t="array" ref="E746">XLOOKUP(proper(A746),'Fintech, Regulatory Arbitrage, '!A:A,'Fintech, Regulatory Arbitrage, '!C:C,"")</f>
        <v/>
      </c>
    </row>
    <row r="747">
      <c r="A747" s="1" t="s">
        <v>766</v>
      </c>
      <c r="B747" s="2">
        <v>248.0</v>
      </c>
      <c r="C747" s="4"/>
      <c r="E747" s="4" t="str">
        <f t="array" ref="E747">XLOOKUP(proper(A747),'Fintech, Regulatory Arbitrage, '!A:A,'Fintech, Regulatory Arbitrage, '!C:C,"")</f>
        <v/>
      </c>
    </row>
    <row r="748">
      <c r="A748" s="1" t="s">
        <v>767</v>
      </c>
      <c r="B748" s="2">
        <v>247.0</v>
      </c>
      <c r="C748" s="4"/>
      <c r="E748" s="4" t="str">
        <f t="array" ref="E748">XLOOKUP(proper(A748),'Fintech, Regulatory Arbitrage, '!A:A,'Fintech, Regulatory Arbitrage, '!C:C,"")</f>
        <v/>
      </c>
    </row>
    <row r="749">
      <c r="A749" s="1" t="s">
        <v>768</v>
      </c>
      <c r="B749" s="2">
        <v>247.0</v>
      </c>
      <c r="C749" s="4"/>
      <c r="E749" s="4" t="str">
        <f t="array" ref="E749">XLOOKUP(proper(A749),'Fintech, Regulatory Arbitrage, '!A:A,'Fintech, Regulatory Arbitrage, '!C:C,"")</f>
        <v/>
      </c>
    </row>
    <row r="750">
      <c r="A750" s="1" t="s">
        <v>769</v>
      </c>
      <c r="B750" s="2">
        <v>246.0</v>
      </c>
      <c r="C750" s="4"/>
      <c r="E750" s="4" t="str">
        <f t="array" ref="E750">XLOOKUP(proper(A750),'Fintech, Regulatory Arbitrage, '!A:A,'Fintech, Regulatory Arbitrage, '!C:C,"")</f>
        <v/>
      </c>
    </row>
    <row r="751">
      <c r="A751" s="1" t="s">
        <v>770</v>
      </c>
      <c r="B751" s="2">
        <v>246.0</v>
      </c>
      <c r="C751" s="4"/>
      <c r="E751" s="4" t="str">
        <f t="array" ref="E751">XLOOKUP(proper(A751),'Fintech, Regulatory Arbitrage, '!A:A,'Fintech, Regulatory Arbitrage, '!C:C,"")</f>
        <v/>
      </c>
    </row>
    <row r="752">
      <c r="A752" s="1" t="s">
        <v>771</v>
      </c>
      <c r="B752" s="2">
        <v>245.0</v>
      </c>
      <c r="C752" s="4"/>
      <c r="E752" s="4" t="str">
        <f t="array" ref="E752">XLOOKUP(proper(A752),'Fintech, Regulatory Arbitrage, '!A:A,'Fintech, Regulatory Arbitrage, '!C:C,"")</f>
        <v/>
      </c>
    </row>
    <row r="753">
      <c r="A753" s="1" t="s">
        <v>772</v>
      </c>
      <c r="B753" s="2">
        <v>244.0</v>
      </c>
      <c r="C753" s="4"/>
      <c r="E753" s="4" t="str">
        <f t="array" ref="E753">XLOOKUP(proper(A753),'Fintech, Regulatory Arbitrage, '!A:A,'Fintech, Regulatory Arbitrage, '!C:C,"")</f>
        <v/>
      </c>
    </row>
    <row r="754">
      <c r="A754" s="1" t="s">
        <v>773</v>
      </c>
      <c r="B754" s="2">
        <v>244.0</v>
      </c>
      <c r="C754" s="4"/>
      <c r="E754" s="4" t="str">
        <f t="array" ref="E754">XLOOKUP(proper(A754),'Fintech, Regulatory Arbitrage, '!A:A,'Fintech, Regulatory Arbitrage, '!C:C,"")</f>
        <v/>
      </c>
    </row>
    <row r="755">
      <c r="A755" s="1" t="s">
        <v>774</v>
      </c>
      <c r="B755" s="2">
        <v>244.0</v>
      </c>
      <c r="C755" s="4"/>
      <c r="E755" s="4" t="str">
        <f t="array" ref="E755">XLOOKUP(proper(A755),'Fintech, Regulatory Arbitrage, '!A:A,'Fintech, Regulatory Arbitrage, '!C:C,"")</f>
        <v/>
      </c>
    </row>
    <row r="756">
      <c r="A756" s="1" t="s">
        <v>775</v>
      </c>
      <c r="B756" s="2">
        <v>243.0</v>
      </c>
      <c r="C756" s="4"/>
      <c r="E756" s="4" t="str">
        <f t="array" ref="E756">XLOOKUP(proper(A756),'Fintech, Regulatory Arbitrage, '!A:A,'Fintech, Regulatory Arbitrage, '!C:C,"")</f>
        <v/>
      </c>
    </row>
    <row r="757">
      <c r="A757" s="1" t="s">
        <v>776</v>
      </c>
      <c r="B757" s="2">
        <v>242.0</v>
      </c>
      <c r="C757" s="4"/>
      <c r="E757" s="4" t="str">
        <f t="array" ref="E757">XLOOKUP(proper(A757),'Fintech, Regulatory Arbitrage, '!A:A,'Fintech, Regulatory Arbitrage, '!C:C,"")</f>
        <v/>
      </c>
    </row>
    <row r="758">
      <c r="A758" s="1" t="s">
        <v>777</v>
      </c>
      <c r="B758" s="2">
        <v>242.0</v>
      </c>
      <c r="C758" s="4"/>
      <c r="E758" s="4" t="str">
        <f t="array" ref="E758">XLOOKUP(proper(A758),'Fintech, Regulatory Arbitrage, '!A:A,'Fintech, Regulatory Arbitrage, '!C:C,"")</f>
        <v/>
      </c>
    </row>
    <row r="759">
      <c r="A759" s="1" t="s">
        <v>778</v>
      </c>
      <c r="B759" s="2">
        <v>242.0</v>
      </c>
      <c r="C759" s="4"/>
      <c r="E759" s="4" t="str">
        <f t="array" ref="E759">XLOOKUP(proper(A759),'Fintech, Regulatory Arbitrage, '!A:A,'Fintech, Regulatory Arbitrage, '!C:C,"")</f>
        <v/>
      </c>
    </row>
    <row r="760">
      <c r="A760" s="1" t="s">
        <v>779</v>
      </c>
      <c r="B760" s="2">
        <v>241.0</v>
      </c>
      <c r="C760" s="4"/>
      <c r="E760" s="4" t="str">
        <f t="array" ref="E760">XLOOKUP(proper(A760),'Fintech, Regulatory Arbitrage, '!A:A,'Fintech, Regulatory Arbitrage, '!C:C,"")</f>
        <v/>
      </c>
    </row>
    <row r="761">
      <c r="A761" s="1" t="s">
        <v>780</v>
      </c>
      <c r="B761" s="2">
        <v>241.0</v>
      </c>
      <c r="C761" s="4"/>
      <c r="E761" s="4" t="str">
        <f t="array" ref="E761">XLOOKUP(proper(A761),'Fintech, Regulatory Arbitrage, '!A:A,'Fintech, Regulatory Arbitrage, '!C:C,"")</f>
        <v/>
      </c>
    </row>
    <row r="762">
      <c r="A762" s="1" t="s">
        <v>781</v>
      </c>
      <c r="B762" s="2">
        <v>240.0</v>
      </c>
      <c r="C762" s="4"/>
      <c r="E762" s="4" t="str">
        <f t="array" ref="E762">XLOOKUP(proper(A762),'Fintech, Regulatory Arbitrage, '!A:A,'Fintech, Regulatory Arbitrage, '!C:C,"")</f>
        <v/>
      </c>
    </row>
    <row r="763">
      <c r="A763" s="1" t="s">
        <v>782</v>
      </c>
      <c r="B763" s="2">
        <v>240.0</v>
      </c>
      <c r="C763" s="4"/>
      <c r="E763" s="4" t="str">
        <f t="array" ref="E763">XLOOKUP(proper(A763),'Fintech, Regulatory Arbitrage, '!A:A,'Fintech, Regulatory Arbitrage, '!C:C,"")</f>
        <v/>
      </c>
    </row>
    <row r="764">
      <c r="A764" s="1" t="s">
        <v>783</v>
      </c>
      <c r="B764" s="2">
        <v>238.0</v>
      </c>
      <c r="C764" s="4"/>
      <c r="E764" s="4" t="str">
        <f t="array" ref="E764">XLOOKUP(proper(A764),'Fintech, Regulatory Arbitrage, '!A:A,'Fintech, Regulatory Arbitrage, '!C:C,"")</f>
        <v/>
      </c>
    </row>
    <row r="765">
      <c r="A765" s="1" t="s">
        <v>784</v>
      </c>
      <c r="B765" s="2">
        <v>237.0</v>
      </c>
      <c r="C765" s="4"/>
      <c r="E765" s="4" t="str">
        <f t="array" ref="E765">XLOOKUP(proper(A765),'Fintech, Regulatory Arbitrage, '!A:A,'Fintech, Regulatory Arbitrage, '!C:C,"")</f>
        <v/>
      </c>
    </row>
    <row r="766">
      <c r="A766" s="1" t="s">
        <v>785</v>
      </c>
      <c r="B766" s="2">
        <v>237.0</v>
      </c>
      <c r="C766" s="4"/>
      <c r="E766" s="4" t="str">
        <f t="array" ref="E766">XLOOKUP(proper(A766),'Fintech, Regulatory Arbitrage, '!A:A,'Fintech, Regulatory Arbitrage, '!C:C,"")</f>
        <v/>
      </c>
    </row>
    <row r="767">
      <c r="A767" s="1" t="s">
        <v>786</v>
      </c>
      <c r="B767" s="2">
        <v>236.0</v>
      </c>
      <c r="C767" s="4"/>
      <c r="E767" s="4" t="str">
        <f t="array" ref="E767">XLOOKUP(proper(A767),'Fintech, Regulatory Arbitrage, '!A:A,'Fintech, Regulatory Arbitrage, '!C:C,"")</f>
        <v/>
      </c>
    </row>
    <row r="768">
      <c r="A768" s="1" t="s">
        <v>787</v>
      </c>
      <c r="B768" s="2">
        <v>236.0</v>
      </c>
      <c r="C768" s="4"/>
      <c r="E768" s="4" t="str">
        <f t="array" ref="E768">XLOOKUP(proper(A768),'Fintech, Regulatory Arbitrage, '!A:A,'Fintech, Regulatory Arbitrage, '!C:C,"")</f>
        <v/>
      </c>
    </row>
    <row r="769">
      <c r="A769" s="1" t="s">
        <v>788</v>
      </c>
      <c r="B769" s="2">
        <v>236.0</v>
      </c>
      <c r="C769" s="4"/>
      <c r="E769" s="4" t="str">
        <f t="array" ref="E769">XLOOKUP(proper(A769),'Fintech, Regulatory Arbitrage, '!A:A,'Fintech, Regulatory Arbitrage, '!C:C,"")</f>
        <v/>
      </c>
    </row>
    <row r="770">
      <c r="A770" s="1" t="s">
        <v>789</v>
      </c>
      <c r="B770" s="2">
        <v>236.0</v>
      </c>
      <c r="C770" s="4"/>
      <c r="E770" s="4" t="str">
        <f t="array" ref="E770">XLOOKUP(proper(A770),'Fintech, Regulatory Arbitrage, '!A:A,'Fintech, Regulatory Arbitrage, '!C:C,"")</f>
        <v/>
      </c>
    </row>
    <row r="771">
      <c r="A771" s="1" t="s">
        <v>790</v>
      </c>
      <c r="B771" s="2">
        <v>235.0</v>
      </c>
      <c r="C771" s="4"/>
      <c r="E771" s="4" t="str">
        <f t="array" ref="E771">XLOOKUP(proper(A771),'Fintech, Regulatory Arbitrage, '!A:A,'Fintech, Regulatory Arbitrage, '!C:C,"")</f>
        <v/>
      </c>
    </row>
    <row r="772">
      <c r="A772" s="1" t="s">
        <v>791</v>
      </c>
      <c r="B772" s="2">
        <v>235.0</v>
      </c>
      <c r="C772" s="4"/>
      <c r="E772" s="4" t="str">
        <f t="array" ref="E772">XLOOKUP(proper(A772),'Fintech, Regulatory Arbitrage, '!A:A,'Fintech, Regulatory Arbitrage, '!C:C,"")</f>
        <v/>
      </c>
    </row>
    <row r="773">
      <c r="A773" s="1" t="s">
        <v>792</v>
      </c>
      <c r="B773" s="2">
        <v>235.0</v>
      </c>
      <c r="C773" s="4"/>
      <c r="E773" s="4" t="str">
        <f t="array" ref="E773">XLOOKUP(proper(A773),'Fintech, Regulatory Arbitrage, '!A:A,'Fintech, Regulatory Arbitrage, '!C:C,"")</f>
        <v/>
      </c>
    </row>
    <row r="774">
      <c r="A774" s="1" t="s">
        <v>793</v>
      </c>
      <c r="B774" s="2">
        <v>234.0</v>
      </c>
      <c r="C774" s="4"/>
      <c r="E774" s="4" t="str">
        <f t="array" ref="E774">XLOOKUP(proper(A774),'Fintech, Regulatory Arbitrage, '!A:A,'Fintech, Regulatory Arbitrage, '!C:C,"")</f>
        <v/>
      </c>
    </row>
    <row r="775">
      <c r="A775" s="1" t="s">
        <v>794</v>
      </c>
      <c r="B775" s="2">
        <v>234.0</v>
      </c>
      <c r="C775" s="4"/>
      <c r="E775" s="4" t="str">
        <f t="array" ref="E775">XLOOKUP(proper(A775),'Fintech, Regulatory Arbitrage, '!A:A,'Fintech, Regulatory Arbitrage, '!C:C,"")</f>
        <v/>
      </c>
    </row>
    <row r="776">
      <c r="A776" s="1" t="s">
        <v>795</v>
      </c>
      <c r="B776" s="2">
        <v>233.0</v>
      </c>
      <c r="C776" s="4"/>
      <c r="E776" s="4" t="str">
        <f t="array" ref="E776">XLOOKUP(proper(A776),'Fintech, Regulatory Arbitrage, '!A:A,'Fintech, Regulatory Arbitrage, '!C:C,"")</f>
        <v/>
      </c>
    </row>
    <row r="777">
      <c r="A777" s="1" t="s">
        <v>796</v>
      </c>
      <c r="B777" s="2">
        <v>233.0</v>
      </c>
      <c r="C777" s="4"/>
      <c r="E777" s="4" t="str">
        <f t="array" ref="E777">XLOOKUP(proper(A777),'Fintech, Regulatory Arbitrage, '!A:A,'Fintech, Regulatory Arbitrage, '!C:C,"")</f>
        <v/>
      </c>
    </row>
    <row r="778">
      <c r="A778" s="1" t="s">
        <v>797</v>
      </c>
      <c r="B778" s="2">
        <v>233.0</v>
      </c>
      <c r="C778" s="4"/>
      <c r="E778" s="4" t="str">
        <f t="array" ref="E778">XLOOKUP(proper(A778),'Fintech, Regulatory Arbitrage, '!A:A,'Fintech, Regulatory Arbitrage, '!C:C,"")</f>
        <v/>
      </c>
    </row>
    <row r="779">
      <c r="A779" s="1" t="s">
        <v>798</v>
      </c>
      <c r="B779" s="2">
        <v>232.0</v>
      </c>
      <c r="C779" s="4"/>
      <c r="E779" s="4" t="str">
        <f t="array" ref="E779">XLOOKUP(proper(A779),'Fintech, Regulatory Arbitrage, '!A:A,'Fintech, Regulatory Arbitrage, '!C:C,"")</f>
        <v/>
      </c>
    </row>
    <row r="780">
      <c r="A780" s="1" t="s">
        <v>799</v>
      </c>
      <c r="B780" s="2">
        <v>232.0</v>
      </c>
      <c r="C780" s="4"/>
      <c r="E780" s="4" t="str">
        <f t="array" ref="E780">XLOOKUP(proper(A780),'Fintech, Regulatory Arbitrage, '!A:A,'Fintech, Regulatory Arbitrage, '!C:C,"")</f>
        <v/>
      </c>
    </row>
    <row r="781">
      <c r="A781" s="1" t="s">
        <v>800</v>
      </c>
      <c r="B781" s="2">
        <v>232.0</v>
      </c>
      <c r="C781" s="4"/>
      <c r="E781" s="4" t="str">
        <f t="array" ref="E781">XLOOKUP(proper(A781),'Fintech, Regulatory Arbitrage, '!A:A,'Fintech, Regulatory Arbitrage, '!C:C,"")</f>
        <v/>
      </c>
    </row>
    <row r="782">
      <c r="A782" s="1" t="s">
        <v>801</v>
      </c>
      <c r="B782" s="2">
        <v>231.0</v>
      </c>
      <c r="C782" s="4"/>
      <c r="E782" s="4" t="str">
        <f t="array" ref="E782">XLOOKUP(proper(A782),'Fintech, Regulatory Arbitrage, '!A:A,'Fintech, Regulatory Arbitrage, '!C:C,"")</f>
        <v/>
      </c>
    </row>
    <row r="783">
      <c r="A783" s="1" t="s">
        <v>802</v>
      </c>
      <c r="B783" s="2">
        <v>231.0</v>
      </c>
      <c r="C783" s="4"/>
      <c r="E783" s="4" t="str">
        <f t="array" ref="E783">XLOOKUP(proper(A783),'Fintech, Regulatory Arbitrage, '!A:A,'Fintech, Regulatory Arbitrage, '!C:C,"")</f>
        <v/>
      </c>
    </row>
    <row r="784">
      <c r="A784" s="1" t="s">
        <v>803</v>
      </c>
      <c r="B784" s="2">
        <v>230.0</v>
      </c>
      <c r="C784" s="4"/>
      <c r="E784" s="4" t="str">
        <f t="array" ref="E784">XLOOKUP(proper(A784),'Fintech, Regulatory Arbitrage, '!A:A,'Fintech, Regulatory Arbitrage, '!C:C,"")</f>
        <v/>
      </c>
    </row>
    <row r="785">
      <c r="A785" s="1" t="s">
        <v>804</v>
      </c>
      <c r="B785" s="2">
        <v>230.0</v>
      </c>
      <c r="C785" s="4"/>
      <c r="E785" s="4" t="str">
        <f t="array" ref="E785">XLOOKUP(proper(A785),'Fintech, Regulatory Arbitrage, '!A:A,'Fintech, Regulatory Arbitrage, '!C:C,"")</f>
        <v/>
      </c>
    </row>
    <row r="786">
      <c r="A786" s="1" t="s">
        <v>805</v>
      </c>
      <c r="B786" s="2">
        <v>229.0</v>
      </c>
      <c r="C786" s="4"/>
      <c r="E786" s="4" t="str">
        <f t="array" ref="E786">XLOOKUP(proper(A786),'Fintech, Regulatory Arbitrage, '!A:A,'Fintech, Regulatory Arbitrage, '!C:C,"")</f>
        <v/>
      </c>
    </row>
    <row r="787">
      <c r="A787" s="1" t="s">
        <v>806</v>
      </c>
      <c r="B787" s="2">
        <v>229.0</v>
      </c>
      <c r="C787" s="4"/>
      <c r="E787" s="4" t="str">
        <f t="array" ref="E787">XLOOKUP(proper(A787),'Fintech, Regulatory Arbitrage, '!A:A,'Fintech, Regulatory Arbitrage, '!C:C,"")</f>
        <v/>
      </c>
    </row>
    <row r="788">
      <c r="A788" s="1" t="s">
        <v>807</v>
      </c>
      <c r="B788" s="2">
        <v>229.0</v>
      </c>
      <c r="C788" s="4"/>
      <c r="E788" s="4" t="str">
        <f t="array" ref="E788">XLOOKUP(proper(A788),'Fintech, Regulatory Arbitrage, '!A:A,'Fintech, Regulatory Arbitrage, '!C:C,"")</f>
        <v/>
      </c>
    </row>
    <row r="789">
      <c r="A789" s="1" t="s">
        <v>808</v>
      </c>
      <c r="B789" s="2">
        <v>228.0</v>
      </c>
      <c r="C789" s="4"/>
      <c r="E789" s="4" t="str">
        <f t="array" ref="E789">XLOOKUP(proper(A789),'Fintech, Regulatory Arbitrage, '!A:A,'Fintech, Regulatory Arbitrage, '!C:C,"")</f>
        <v/>
      </c>
    </row>
    <row r="790">
      <c r="A790" s="1" t="s">
        <v>809</v>
      </c>
      <c r="B790" s="2">
        <v>227.0</v>
      </c>
      <c r="C790" s="4"/>
      <c r="E790" s="4" t="str">
        <f t="array" ref="E790">XLOOKUP(proper(A790),'Fintech, Regulatory Arbitrage, '!A:A,'Fintech, Regulatory Arbitrage, '!C:C,"")</f>
        <v/>
      </c>
    </row>
    <row r="791">
      <c r="A791" s="1" t="s">
        <v>810</v>
      </c>
      <c r="B791" s="2">
        <v>227.0</v>
      </c>
      <c r="C791" s="4"/>
      <c r="E791" s="4" t="str">
        <f t="array" ref="E791">XLOOKUP(proper(A791),'Fintech, Regulatory Arbitrage, '!A:A,'Fintech, Regulatory Arbitrage, '!C:C,"")</f>
        <v/>
      </c>
    </row>
    <row r="792">
      <c r="A792" s="1" t="s">
        <v>811</v>
      </c>
      <c r="B792" s="2">
        <v>227.0</v>
      </c>
      <c r="C792" s="4"/>
      <c r="E792" s="4" t="str">
        <f t="array" ref="E792">XLOOKUP(proper(A792),'Fintech, Regulatory Arbitrage, '!A:A,'Fintech, Regulatory Arbitrage, '!C:C,"")</f>
        <v/>
      </c>
    </row>
    <row r="793">
      <c r="A793" s="1" t="s">
        <v>812</v>
      </c>
      <c r="B793" s="2">
        <v>226.0</v>
      </c>
      <c r="C793" s="4"/>
      <c r="E793" s="4" t="str">
        <f t="array" ref="E793">XLOOKUP(proper(A793),'Fintech, Regulatory Arbitrage, '!A:A,'Fintech, Regulatory Arbitrage, '!C:C,"")</f>
        <v/>
      </c>
    </row>
    <row r="794">
      <c r="A794" s="1" t="s">
        <v>813</v>
      </c>
      <c r="B794" s="2">
        <v>225.0</v>
      </c>
      <c r="C794" s="4"/>
      <c r="E794" s="4" t="str">
        <f t="array" ref="E794">XLOOKUP(proper(A794),'Fintech, Regulatory Arbitrage, '!A:A,'Fintech, Regulatory Arbitrage, '!C:C,"")</f>
        <v/>
      </c>
    </row>
    <row r="795">
      <c r="A795" s="1" t="s">
        <v>814</v>
      </c>
      <c r="B795" s="2">
        <v>225.0</v>
      </c>
      <c r="C795" s="4"/>
      <c r="E795" s="4" t="str">
        <f t="array" ref="E795">XLOOKUP(proper(A795),'Fintech, Regulatory Arbitrage, '!A:A,'Fintech, Regulatory Arbitrage, '!C:C,"")</f>
        <v/>
      </c>
    </row>
    <row r="796">
      <c r="A796" s="1" t="s">
        <v>815</v>
      </c>
      <c r="B796" s="2">
        <v>225.0</v>
      </c>
      <c r="C796" s="4"/>
      <c r="E796" s="4" t="str">
        <f t="array" ref="E796">XLOOKUP(proper(A796),'Fintech, Regulatory Arbitrage, '!A:A,'Fintech, Regulatory Arbitrage, '!C:C,"")</f>
        <v/>
      </c>
    </row>
    <row r="797">
      <c r="A797" s="1" t="s">
        <v>816</v>
      </c>
      <c r="B797" s="2">
        <v>225.0</v>
      </c>
      <c r="C797" s="4"/>
      <c r="E797" s="4" t="str">
        <f t="array" ref="E797">XLOOKUP(proper(A797),'Fintech, Regulatory Arbitrage, '!A:A,'Fintech, Regulatory Arbitrage, '!C:C,"")</f>
        <v/>
      </c>
    </row>
    <row r="798">
      <c r="A798" s="1" t="s">
        <v>817</v>
      </c>
      <c r="B798" s="2">
        <v>225.0</v>
      </c>
      <c r="C798" s="4"/>
      <c r="E798" s="4" t="str">
        <f t="array" ref="E798">XLOOKUP(proper(A798),'Fintech, Regulatory Arbitrage, '!A:A,'Fintech, Regulatory Arbitrage, '!C:C,"")</f>
        <v/>
      </c>
    </row>
    <row r="799">
      <c r="A799" s="1" t="s">
        <v>818</v>
      </c>
      <c r="B799" s="2">
        <v>224.0</v>
      </c>
      <c r="C799" s="4"/>
      <c r="E799" s="4" t="str">
        <f t="array" ref="E799">XLOOKUP(proper(A799),'Fintech, Regulatory Arbitrage, '!A:A,'Fintech, Regulatory Arbitrage, '!C:C,"")</f>
        <v/>
      </c>
    </row>
    <row r="800">
      <c r="A800" s="1" t="s">
        <v>819</v>
      </c>
      <c r="B800" s="2">
        <v>224.0</v>
      </c>
      <c r="C800" s="4"/>
      <c r="E800" s="4" t="str">
        <f t="array" ref="E800">XLOOKUP(proper(A800),'Fintech, Regulatory Arbitrage, '!A:A,'Fintech, Regulatory Arbitrage, '!C:C,"")</f>
        <v/>
      </c>
    </row>
    <row r="801">
      <c r="A801" s="1" t="s">
        <v>820</v>
      </c>
      <c r="B801" s="2">
        <v>224.0</v>
      </c>
      <c r="C801" s="4"/>
      <c r="E801" s="4" t="str">
        <f t="array" ref="E801">XLOOKUP(proper(A801),'Fintech, Regulatory Arbitrage, '!A:A,'Fintech, Regulatory Arbitrage, '!C:C,"")</f>
        <v/>
      </c>
    </row>
    <row r="802">
      <c r="A802" s="1" t="s">
        <v>821</v>
      </c>
      <c r="B802" s="2">
        <v>223.0</v>
      </c>
      <c r="C802" s="4"/>
      <c r="E802" s="4" t="str">
        <f t="array" ref="E802">XLOOKUP(proper(A802),'Fintech, Regulatory Arbitrage, '!A:A,'Fintech, Regulatory Arbitrage, '!C:C,"")</f>
        <v/>
      </c>
    </row>
    <row r="803">
      <c r="A803" s="1" t="s">
        <v>822</v>
      </c>
      <c r="B803" s="2">
        <v>223.0</v>
      </c>
      <c r="C803" s="4"/>
      <c r="E803" s="4" t="str">
        <f t="array" ref="E803">XLOOKUP(proper(A803),'Fintech, Regulatory Arbitrage, '!A:A,'Fintech, Regulatory Arbitrage, '!C:C,"")</f>
        <v/>
      </c>
    </row>
    <row r="804">
      <c r="A804" s="1" t="s">
        <v>823</v>
      </c>
      <c r="B804" s="2">
        <v>222.0</v>
      </c>
      <c r="C804" s="4"/>
      <c r="E804" s="4" t="str">
        <f t="array" ref="E804">XLOOKUP(proper(A804),'Fintech, Regulatory Arbitrage, '!A:A,'Fintech, Regulatory Arbitrage, '!C:C,"")</f>
        <v/>
      </c>
    </row>
    <row r="805">
      <c r="A805" s="1" t="s">
        <v>824</v>
      </c>
      <c r="B805" s="2">
        <v>222.0</v>
      </c>
      <c r="C805" s="4"/>
      <c r="E805" s="4" t="str">
        <f t="array" ref="E805">XLOOKUP(proper(A805),'Fintech, Regulatory Arbitrage, '!A:A,'Fintech, Regulatory Arbitrage, '!C:C,"")</f>
        <v/>
      </c>
    </row>
    <row r="806">
      <c r="A806" s="1" t="s">
        <v>825</v>
      </c>
      <c r="B806" s="2">
        <v>222.0</v>
      </c>
      <c r="C806" s="4"/>
      <c r="E806" s="4" t="str">
        <f t="array" ref="E806">XLOOKUP(proper(A806),'Fintech, Regulatory Arbitrage, '!A:A,'Fintech, Regulatory Arbitrage, '!C:C,"")</f>
        <v/>
      </c>
    </row>
    <row r="807">
      <c r="A807" s="1" t="s">
        <v>826</v>
      </c>
      <c r="B807" s="2">
        <v>222.0</v>
      </c>
      <c r="C807" s="4"/>
      <c r="E807" s="4" t="str">
        <f t="array" ref="E807">XLOOKUP(proper(A807),'Fintech, Regulatory Arbitrage, '!A:A,'Fintech, Regulatory Arbitrage, '!C:C,"")</f>
        <v/>
      </c>
    </row>
    <row r="808">
      <c r="A808" s="1" t="s">
        <v>827</v>
      </c>
      <c r="B808" s="2">
        <v>222.0</v>
      </c>
      <c r="C808" s="4"/>
      <c r="E808" s="4" t="str">
        <f t="array" ref="E808">XLOOKUP(proper(A808),'Fintech, Regulatory Arbitrage, '!A:A,'Fintech, Regulatory Arbitrage, '!C:C,"")</f>
        <v/>
      </c>
    </row>
    <row r="809">
      <c r="A809" s="1" t="s">
        <v>828</v>
      </c>
      <c r="B809" s="2">
        <v>221.0</v>
      </c>
      <c r="C809" s="4"/>
      <c r="E809" s="4" t="str">
        <f t="array" ref="E809">XLOOKUP(proper(A809),'Fintech, Regulatory Arbitrage, '!A:A,'Fintech, Regulatory Arbitrage, '!C:C,"")</f>
        <v/>
      </c>
    </row>
    <row r="810">
      <c r="A810" s="1" t="s">
        <v>829</v>
      </c>
      <c r="B810" s="2">
        <v>221.0</v>
      </c>
      <c r="C810" s="4"/>
      <c r="E810" s="4" t="str">
        <f t="array" ref="E810">XLOOKUP(proper(A810),'Fintech, Regulatory Arbitrage, '!A:A,'Fintech, Regulatory Arbitrage, '!C:C,"")</f>
        <v/>
      </c>
    </row>
    <row r="811">
      <c r="A811" s="1" t="s">
        <v>830</v>
      </c>
      <c r="B811" s="2">
        <v>221.0</v>
      </c>
      <c r="C811" s="4"/>
      <c r="E811" s="4" t="str">
        <f t="array" ref="E811">XLOOKUP(proper(A811),'Fintech, Regulatory Arbitrage, '!A:A,'Fintech, Regulatory Arbitrage, '!C:C,"")</f>
        <v/>
      </c>
    </row>
    <row r="812">
      <c r="A812" s="1" t="s">
        <v>831</v>
      </c>
      <c r="B812" s="2">
        <v>221.0</v>
      </c>
      <c r="C812" s="4"/>
      <c r="E812" s="4" t="str">
        <f t="array" ref="E812">XLOOKUP(proper(A812),'Fintech, Regulatory Arbitrage, '!A:A,'Fintech, Regulatory Arbitrage, '!C:C,"")</f>
        <v/>
      </c>
    </row>
    <row r="813">
      <c r="A813" s="1" t="s">
        <v>832</v>
      </c>
      <c r="B813" s="2">
        <v>221.0</v>
      </c>
      <c r="C813" s="4"/>
      <c r="E813" s="4" t="str">
        <f t="array" ref="E813">XLOOKUP(proper(A813),'Fintech, Regulatory Arbitrage, '!A:A,'Fintech, Regulatory Arbitrage, '!C:C,"")</f>
        <v/>
      </c>
    </row>
    <row r="814">
      <c r="A814" s="1" t="s">
        <v>833</v>
      </c>
      <c r="B814" s="2">
        <v>221.0</v>
      </c>
      <c r="C814" s="4"/>
      <c r="E814" s="4" t="str">
        <f t="array" ref="E814">XLOOKUP(proper(A814),'Fintech, Regulatory Arbitrage, '!A:A,'Fintech, Regulatory Arbitrage, '!C:C,"")</f>
        <v/>
      </c>
    </row>
    <row r="815">
      <c r="A815" s="1" t="s">
        <v>834</v>
      </c>
      <c r="B815" s="2">
        <v>220.0</v>
      </c>
      <c r="C815" s="4"/>
      <c r="E815" s="4" t="str">
        <f t="array" ref="E815">XLOOKUP(proper(A815),'Fintech, Regulatory Arbitrage, '!A:A,'Fintech, Regulatory Arbitrage, '!C:C,"")</f>
        <v/>
      </c>
    </row>
    <row r="816">
      <c r="A816" s="1" t="s">
        <v>835</v>
      </c>
      <c r="B816" s="2">
        <v>220.0</v>
      </c>
      <c r="C816" s="4"/>
      <c r="E816" s="4" t="str">
        <f t="array" ref="E816">XLOOKUP(proper(A816),'Fintech, Regulatory Arbitrage, '!A:A,'Fintech, Regulatory Arbitrage, '!C:C,"")</f>
        <v/>
      </c>
    </row>
    <row r="817">
      <c r="A817" s="1" t="s">
        <v>836</v>
      </c>
      <c r="B817" s="2">
        <v>220.0</v>
      </c>
      <c r="C817" s="4"/>
      <c r="E817" s="4" t="str">
        <f t="array" ref="E817">XLOOKUP(proper(A817),'Fintech, Regulatory Arbitrage, '!A:A,'Fintech, Regulatory Arbitrage, '!C:C,"")</f>
        <v/>
      </c>
    </row>
    <row r="818">
      <c r="A818" s="1" t="s">
        <v>837</v>
      </c>
      <c r="B818" s="2">
        <v>220.0</v>
      </c>
      <c r="C818" s="4"/>
      <c r="E818" s="4" t="str">
        <f t="array" ref="E818">XLOOKUP(proper(A818),'Fintech, Regulatory Arbitrage, '!A:A,'Fintech, Regulatory Arbitrage, '!C:C,"")</f>
        <v/>
      </c>
    </row>
    <row r="819">
      <c r="A819" s="1" t="s">
        <v>838</v>
      </c>
      <c r="B819" s="2">
        <v>220.0</v>
      </c>
      <c r="C819" s="4"/>
      <c r="E819" s="4" t="str">
        <f t="array" ref="E819">XLOOKUP(proper(A819),'Fintech, Regulatory Arbitrage, '!A:A,'Fintech, Regulatory Arbitrage, '!C:C,"")</f>
        <v/>
      </c>
    </row>
    <row r="820">
      <c r="A820" s="1" t="s">
        <v>839</v>
      </c>
      <c r="B820" s="2">
        <v>219.0</v>
      </c>
      <c r="C820" s="4"/>
      <c r="E820" s="4" t="str">
        <f t="array" ref="E820">XLOOKUP(proper(A820),'Fintech, Regulatory Arbitrage, '!A:A,'Fintech, Regulatory Arbitrage, '!C:C,"")</f>
        <v/>
      </c>
    </row>
    <row r="821">
      <c r="A821" s="1" t="s">
        <v>840</v>
      </c>
      <c r="B821" s="2">
        <v>219.0</v>
      </c>
      <c r="C821" s="4"/>
      <c r="E821" s="4" t="str">
        <f t="array" ref="E821">XLOOKUP(proper(A821),'Fintech, Regulatory Arbitrage, '!A:A,'Fintech, Regulatory Arbitrage, '!C:C,"")</f>
        <v/>
      </c>
    </row>
    <row r="822">
      <c r="A822" s="1" t="s">
        <v>841</v>
      </c>
      <c r="B822" s="2">
        <v>218.0</v>
      </c>
      <c r="C822" s="4"/>
      <c r="E822" s="4" t="str">
        <f t="array" ref="E822">XLOOKUP(proper(A822),'Fintech, Regulatory Arbitrage, '!A:A,'Fintech, Regulatory Arbitrage, '!C:C,"")</f>
        <v/>
      </c>
    </row>
    <row r="823">
      <c r="A823" s="1" t="s">
        <v>842</v>
      </c>
      <c r="B823" s="2">
        <v>218.0</v>
      </c>
      <c r="C823" s="4"/>
      <c r="E823" s="4" t="str">
        <f t="array" ref="E823">XLOOKUP(proper(A823),'Fintech, Regulatory Arbitrage, '!A:A,'Fintech, Regulatory Arbitrage, '!C:C,"")</f>
        <v/>
      </c>
    </row>
    <row r="824">
      <c r="A824" s="1" t="s">
        <v>843</v>
      </c>
      <c r="B824" s="2">
        <v>218.0</v>
      </c>
      <c r="C824" s="4"/>
      <c r="E824" s="4" t="str">
        <f t="array" ref="E824">XLOOKUP(proper(A824),'Fintech, Regulatory Arbitrage, '!A:A,'Fintech, Regulatory Arbitrage, '!C:C,"")</f>
        <v/>
      </c>
    </row>
    <row r="825">
      <c r="A825" s="1" t="s">
        <v>844</v>
      </c>
      <c r="B825" s="2">
        <v>217.0</v>
      </c>
      <c r="C825" s="4"/>
      <c r="E825" s="4" t="str">
        <f t="array" ref="E825">XLOOKUP(proper(A825),'Fintech, Regulatory Arbitrage, '!A:A,'Fintech, Regulatory Arbitrage, '!C:C,"")</f>
        <v/>
      </c>
    </row>
    <row r="826">
      <c r="A826" s="1" t="s">
        <v>845</v>
      </c>
      <c r="B826" s="2">
        <v>217.0</v>
      </c>
      <c r="C826" s="4"/>
      <c r="E826" s="4" t="str">
        <f t="array" ref="E826">XLOOKUP(proper(A826),'Fintech, Regulatory Arbitrage, '!A:A,'Fintech, Regulatory Arbitrage, '!C:C,"")</f>
        <v/>
      </c>
    </row>
    <row r="827">
      <c r="A827" s="1" t="s">
        <v>846</v>
      </c>
      <c r="B827" s="2">
        <v>217.0</v>
      </c>
      <c r="C827" s="4"/>
      <c r="E827" s="4" t="str">
        <f t="array" ref="E827">XLOOKUP(proper(A827),'Fintech, Regulatory Arbitrage, '!A:A,'Fintech, Regulatory Arbitrage, '!C:C,"")</f>
        <v/>
      </c>
    </row>
    <row r="828">
      <c r="A828" s="1" t="s">
        <v>847</v>
      </c>
      <c r="B828" s="2">
        <v>217.0</v>
      </c>
      <c r="C828" s="4"/>
      <c r="E828" s="4" t="str">
        <f t="array" ref="E828">XLOOKUP(proper(A828),'Fintech, Regulatory Arbitrage, '!A:A,'Fintech, Regulatory Arbitrage, '!C:C,"")</f>
        <v/>
      </c>
    </row>
    <row r="829">
      <c r="A829" s="1" t="s">
        <v>848</v>
      </c>
      <c r="B829" s="2">
        <v>217.0</v>
      </c>
      <c r="C829" s="4"/>
      <c r="E829" s="4" t="str">
        <f t="array" ref="E829">XLOOKUP(proper(A829),'Fintech, Regulatory Arbitrage, '!A:A,'Fintech, Regulatory Arbitrage, '!C:C,"")</f>
        <v/>
      </c>
    </row>
    <row r="830">
      <c r="A830" s="1" t="s">
        <v>849</v>
      </c>
      <c r="B830" s="2">
        <v>217.0</v>
      </c>
      <c r="C830" s="4"/>
      <c r="E830" s="4" t="str">
        <f t="array" ref="E830">XLOOKUP(proper(A830),'Fintech, Regulatory Arbitrage, '!A:A,'Fintech, Regulatory Arbitrage, '!C:C,"")</f>
        <v/>
      </c>
    </row>
    <row r="831">
      <c r="A831" s="1" t="s">
        <v>850</v>
      </c>
      <c r="B831" s="2">
        <v>217.0</v>
      </c>
      <c r="C831" s="4"/>
      <c r="E831" s="4" t="str">
        <f t="array" ref="E831">XLOOKUP(proper(A831),'Fintech, Regulatory Arbitrage, '!A:A,'Fintech, Regulatory Arbitrage, '!C:C,"")</f>
        <v/>
      </c>
    </row>
    <row r="832">
      <c r="A832" s="1" t="s">
        <v>851</v>
      </c>
      <c r="B832" s="2">
        <v>217.0</v>
      </c>
      <c r="C832" s="4"/>
      <c r="E832" s="4" t="str">
        <f t="array" ref="E832">XLOOKUP(proper(A832),'Fintech, Regulatory Arbitrage, '!A:A,'Fintech, Regulatory Arbitrage, '!C:C,"")</f>
        <v/>
      </c>
    </row>
    <row r="833">
      <c r="A833" s="1" t="s">
        <v>852</v>
      </c>
      <c r="B833" s="2">
        <v>216.0</v>
      </c>
      <c r="C833" s="4"/>
      <c r="E833" s="4" t="str">
        <f t="array" ref="E833">XLOOKUP(proper(A833),'Fintech, Regulatory Arbitrage, '!A:A,'Fintech, Regulatory Arbitrage, '!C:C,"")</f>
        <v/>
      </c>
    </row>
    <row r="834">
      <c r="A834" s="1" t="s">
        <v>853</v>
      </c>
      <c r="B834" s="2">
        <v>216.0</v>
      </c>
      <c r="C834" s="4"/>
      <c r="E834" s="4" t="str">
        <f t="array" ref="E834">XLOOKUP(proper(A834),'Fintech, Regulatory Arbitrage, '!A:A,'Fintech, Regulatory Arbitrage, '!C:C,"")</f>
        <v/>
      </c>
    </row>
    <row r="835">
      <c r="A835" s="1" t="s">
        <v>854</v>
      </c>
      <c r="B835" s="2">
        <v>215.0</v>
      </c>
      <c r="C835" s="4"/>
      <c r="E835" s="4" t="str">
        <f t="array" ref="E835">XLOOKUP(proper(A835),'Fintech, Regulatory Arbitrage, '!A:A,'Fintech, Regulatory Arbitrage, '!C:C,"")</f>
        <v/>
      </c>
    </row>
    <row r="836">
      <c r="A836" s="1" t="s">
        <v>855</v>
      </c>
      <c r="B836" s="2">
        <v>215.0</v>
      </c>
      <c r="C836" s="4"/>
      <c r="E836" s="4" t="str">
        <f t="array" ref="E836">XLOOKUP(proper(A836),'Fintech, Regulatory Arbitrage, '!A:A,'Fintech, Regulatory Arbitrage, '!C:C,"")</f>
        <v/>
      </c>
    </row>
    <row r="837">
      <c r="A837" s="1" t="s">
        <v>856</v>
      </c>
      <c r="B837" s="2">
        <v>215.0</v>
      </c>
      <c r="C837" s="4"/>
      <c r="E837" s="4" t="str">
        <f t="array" ref="E837">XLOOKUP(proper(A837),'Fintech, Regulatory Arbitrage, '!A:A,'Fintech, Regulatory Arbitrage, '!C:C,"")</f>
        <v/>
      </c>
    </row>
    <row r="838">
      <c r="A838" s="1" t="s">
        <v>857</v>
      </c>
      <c r="B838" s="2">
        <v>215.0</v>
      </c>
      <c r="C838" s="4"/>
      <c r="E838" s="4" t="str">
        <f t="array" ref="E838">XLOOKUP(proper(A838),'Fintech, Regulatory Arbitrage, '!A:A,'Fintech, Regulatory Arbitrage, '!C:C,"")</f>
        <v/>
      </c>
    </row>
    <row r="839">
      <c r="A839" s="1" t="s">
        <v>858</v>
      </c>
      <c r="B839" s="2">
        <v>214.0</v>
      </c>
      <c r="C839" s="4"/>
      <c r="E839" s="4" t="str">
        <f t="array" ref="E839">XLOOKUP(proper(A839),'Fintech, Regulatory Arbitrage, '!A:A,'Fintech, Regulatory Arbitrage, '!C:C,"")</f>
        <v/>
      </c>
    </row>
    <row r="840">
      <c r="A840" s="1" t="s">
        <v>859</v>
      </c>
      <c r="B840" s="2">
        <v>213.0</v>
      </c>
      <c r="C840" s="4"/>
      <c r="E840" s="4" t="str">
        <f t="array" ref="E840">XLOOKUP(proper(A840),'Fintech, Regulatory Arbitrage, '!A:A,'Fintech, Regulatory Arbitrage, '!C:C,"")</f>
        <v/>
      </c>
    </row>
    <row r="841">
      <c r="A841" s="1" t="s">
        <v>860</v>
      </c>
      <c r="B841" s="2">
        <v>213.0</v>
      </c>
      <c r="C841" s="4"/>
      <c r="E841" s="4" t="str">
        <f t="array" ref="E841">XLOOKUP(proper(A841),'Fintech, Regulatory Arbitrage, '!A:A,'Fintech, Regulatory Arbitrage, '!C:C,"")</f>
        <v/>
      </c>
    </row>
    <row r="842">
      <c r="A842" s="1" t="s">
        <v>861</v>
      </c>
      <c r="B842" s="2">
        <v>212.0</v>
      </c>
      <c r="C842" s="4"/>
      <c r="E842" s="4" t="str">
        <f t="array" ref="E842">XLOOKUP(proper(A842),'Fintech, Regulatory Arbitrage, '!A:A,'Fintech, Regulatory Arbitrage, '!C:C,"")</f>
        <v/>
      </c>
    </row>
    <row r="843">
      <c r="A843" s="1" t="s">
        <v>862</v>
      </c>
      <c r="B843" s="2">
        <v>211.0</v>
      </c>
      <c r="C843" s="4"/>
      <c r="E843" s="4" t="str">
        <f t="array" ref="E843">XLOOKUP(proper(A843),'Fintech, Regulatory Arbitrage, '!A:A,'Fintech, Regulatory Arbitrage, '!C:C,"")</f>
        <v/>
      </c>
    </row>
    <row r="844">
      <c r="A844" s="1" t="s">
        <v>863</v>
      </c>
      <c r="B844" s="2">
        <v>211.0</v>
      </c>
      <c r="C844" s="4"/>
      <c r="E844" s="4" t="str">
        <f t="array" ref="E844">XLOOKUP(proper(A844),'Fintech, Regulatory Arbitrage, '!A:A,'Fintech, Regulatory Arbitrage, '!C:C,"")</f>
        <v/>
      </c>
    </row>
    <row r="845">
      <c r="A845" s="1" t="s">
        <v>864</v>
      </c>
      <c r="B845" s="2">
        <v>210.0</v>
      </c>
      <c r="C845" s="4"/>
      <c r="E845" s="4" t="str">
        <f t="array" ref="E845">XLOOKUP(proper(A845),'Fintech, Regulatory Arbitrage, '!A:A,'Fintech, Regulatory Arbitrage, '!C:C,"")</f>
        <v/>
      </c>
    </row>
    <row r="846">
      <c r="A846" s="1" t="s">
        <v>865</v>
      </c>
      <c r="B846" s="2">
        <v>210.0</v>
      </c>
      <c r="C846" s="4"/>
      <c r="E846" s="4" t="str">
        <f t="array" ref="E846">XLOOKUP(proper(A846),'Fintech, Regulatory Arbitrage, '!A:A,'Fintech, Regulatory Arbitrage, '!C:C,"")</f>
        <v/>
      </c>
    </row>
    <row r="847">
      <c r="A847" s="1" t="s">
        <v>866</v>
      </c>
      <c r="B847" s="2">
        <v>210.0</v>
      </c>
      <c r="C847" s="4"/>
      <c r="E847" s="4" t="str">
        <f t="array" ref="E847">XLOOKUP(proper(A847),'Fintech, Regulatory Arbitrage, '!A:A,'Fintech, Regulatory Arbitrage, '!C:C,"")</f>
        <v/>
      </c>
    </row>
    <row r="848">
      <c r="A848" s="1" t="s">
        <v>867</v>
      </c>
      <c r="B848" s="2">
        <v>210.0</v>
      </c>
      <c r="C848" s="4"/>
      <c r="E848" s="4" t="str">
        <f t="array" ref="E848">XLOOKUP(proper(A848),'Fintech, Regulatory Arbitrage, '!A:A,'Fintech, Regulatory Arbitrage, '!C:C,"")</f>
        <v/>
      </c>
    </row>
    <row r="849">
      <c r="A849" s="1" t="s">
        <v>868</v>
      </c>
      <c r="B849" s="2">
        <v>210.0</v>
      </c>
      <c r="C849" s="4"/>
      <c r="E849" s="4" t="str">
        <f t="array" ref="E849">XLOOKUP(proper(A849),'Fintech, Regulatory Arbitrage, '!A:A,'Fintech, Regulatory Arbitrage, '!C:C,"")</f>
        <v/>
      </c>
    </row>
    <row r="850">
      <c r="A850" s="1" t="s">
        <v>869</v>
      </c>
      <c r="B850" s="2">
        <v>210.0</v>
      </c>
      <c r="C850" s="4"/>
      <c r="E850" s="4" t="str">
        <f t="array" ref="E850">XLOOKUP(proper(A850),'Fintech, Regulatory Arbitrage, '!A:A,'Fintech, Regulatory Arbitrage, '!C:C,"")</f>
        <v/>
      </c>
    </row>
    <row r="851">
      <c r="A851" s="1" t="s">
        <v>870</v>
      </c>
      <c r="B851" s="2">
        <v>210.0</v>
      </c>
      <c r="C851" s="4"/>
      <c r="E851" s="4" t="str">
        <f t="array" ref="E851">XLOOKUP(proper(A851),'Fintech, Regulatory Arbitrage, '!A:A,'Fintech, Regulatory Arbitrage, '!C:C,"")</f>
        <v/>
      </c>
    </row>
    <row r="852">
      <c r="A852" s="1" t="s">
        <v>871</v>
      </c>
      <c r="B852" s="2">
        <v>209.0</v>
      </c>
      <c r="C852" s="4"/>
      <c r="E852" s="4" t="str">
        <f t="array" ref="E852">XLOOKUP(proper(A852),'Fintech, Regulatory Arbitrage, '!A:A,'Fintech, Regulatory Arbitrage, '!C:C,"")</f>
        <v/>
      </c>
    </row>
    <row r="853">
      <c r="A853" s="1" t="s">
        <v>872</v>
      </c>
      <c r="B853" s="2">
        <v>209.0</v>
      </c>
      <c r="C853" s="4"/>
      <c r="E853" s="4" t="str">
        <f t="array" ref="E853">XLOOKUP(proper(A853),'Fintech, Regulatory Arbitrage, '!A:A,'Fintech, Regulatory Arbitrage, '!C:C,"")</f>
        <v/>
      </c>
    </row>
    <row r="854">
      <c r="A854" s="1" t="s">
        <v>873</v>
      </c>
      <c r="B854" s="2">
        <v>209.0</v>
      </c>
      <c r="C854" s="4"/>
      <c r="E854" s="4" t="str">
        <f t="array" ref="E854">XLOOKUP(proper(A854),'Fintech, Regulatory Arbitrage, '!A:A,'Fintech, Regulatory Arbitrage, '!C:C,"")</f>
        <v/>
      </c>
    </row>
    <row r="855">
      <c r="A855" s="1" t="s">
        <v>874</v>
      </c>
      <c r="B855" s="2">
        <v>209.0</v>
      </c>
      <c r="C855" s="4"/>
      <c r="E855" s="4" t="str">
        <f t="array" ref="E855">XLOOKUP(proper(A855),'Fintech, Regulatory Arbitrage, '!A:A,'Fintech, Regulatory Arbitrage, '!C:C,"")</f>
        <v/>
      </c>
    </row>
    <row r="856">
      <c r="A856" s="1" t="s">
        <v>875</v>
      </c>
      <c r="B856" s="2">
        <v>208.0</v>
      </c>
      <c r="C856" s="4"/>
      <c r="E856" s="4" t="str">
        <f t="array" ref="E856">XLOOKUP(proper(A856),'Fintech, Regulatory Arbitrage, '!A:A,'Fintech, Regulatory Arbitrage, '!C:C,"")</f>
        <v/>
      </c>
    </row>
    <row r="857">
      <c r="A857" s="1" t="s">
        <v>876</v>
      </c>
      <c r="B857" s="2">
        <v>207.0</v>
      </c>
      <c r="C857" s="4"/>
      <c r="E857" s="4" t="str">
        <f t="array" ref="E857">XLOOKUP(proper(A857),'Fintech, Regulatory Arbitrage, '!A:A,'Fintech, Regulatory Arbitrage, '!C:C,"")</f>
        <v/>
      </c>
    </row>
    <row r="858">
      <c r="A858" s="1" t="s">
        <v>877</v>
      </c>
      <c r="B858" s="2">
        <v>207.0</v>
      </c>
      <c r="C858" s="4"/>
      <c r="E858" s="4" t="str">
        <f t="array" ref="E858">XLOOKUP(proper(A858),'Fintech, Regulatory Arbitrage, '!A:A,'Fintech, Regulatory Arbitrage, '!C:C,"")</f>
        <v/>
      </c>
    </row>
    <row r="859">
      <c r="A859" s="1" t="s">
        <v>878</v>
      </c>
      <c r="B859" s="2">
        <v>206.0</v>
      </c>
      <c r="C859" s="4"/>
      <c r="E859" s="4" t="str">
        <f t="array" ref="E859">XLOOKUP(proper(A859),'Fintech, Regulatory Arbitrage, '!A:A,'Fintech, Regulatory Arbitrage, '!C:C,"")</f>
        <v/>
      </c>
    </row>
    <row r="860">
      <c r="A860" s="1" t="s">
        <v>879</v>
      </c>
      <c r="B860" s="2">
        <v>206.0</v>
      </c>
      <c r="C860" s="4"/>
      <c r="E860" s="4" t="str">
        <f t="array" ref="E860">XLOOKUP(proper(A860),'Fintech, Regulatory Arbitrage, '!A:A,'Fintech, Regulatory Arbitrage, '!C:C,"")</f>
        <v/>
      </c>
    </row>
    <row r="861">
      <c r="A861" s="1" t="s">
        <v>880</v>
      </c>
      <c r="B861" s="2">
        <v>206.0</v>
      </c>
      <c r="C861" s="4"/>
      <c r="E861" s="4" t="str">
        <f t="array" ref="E861">XLOOKUP(proper(A861),'Fintech, Regulatory Arbitrage, '!A:A,'Fintech, Regulatory Arbitrage, '!C:C,"")</f>
        <v/>
      </c>
    </row>
    <row r="862">
      <c r="A862" s="1" t="s">
        <v>881</v>
      </c>
      <c r="B862" s="2">
        <v>206.0</v>
      </c>
      <c r="C862" s="4"/>
      <c r="E862" s="4" t="str">
        <f t="array" ref="E862">XLOOKUP(proper(A862),'Fintech, Regulatory Arbitrage, '!A:A,'Fintech, Regulatory Arbitrage, '!C:C,"")</f>
        <v/>
      </c>
    </row>
    <row r="863">
      <c r="A863" s="1" t="s">
        <v>882</v>
      </c>
      <c r="B863" s="2">
        <v>206.0</v>
      </c>
      <c r="C863" s="4"/>
      <c r="E863" s="4" t="str">
        <f t="array" ref="E863">XLOOKUP(proper(A863),'Fintech, Regulatory Arbitrage, '!A:A,'Fintech, Regulatory Arbitrage, '!C:C,"")</f>
        <v/>
      </c>
    </row>
    <row r="864">
      <c r="A864" s="1" t="s">
        <v>883</v>
      </c>
      <c r="B864" s="2">
        <v>206.0</v>
      </c>
      <c r="C864" s="4"/>
      <c r="E864" s="4" t="str">
        <f t="array" ref="E864">XLOOKUP(proper(A864),'Fintech, Regulatory Arbitrage, '!A:A,'Fintech, Regulatory Arbitrage, '!C:C,"")</f>
        <v/>
      </c>
    </row>
    <row r="865">
      <c r="A865" s="1" t="s">
        <v>884</v>
      </c>
      <c r="B865" s="2">
        <v>205.0</v>
      </c>
      <c r="C865" s="4"/>
      <c r="E865" s="4" t="str">
        <f t="array" ref="E865">XLOOKUP(proper(A865),'Fintech, Regulatory Arbitrage, '!A:A,'Fintech, Regulatory Arbitrage, '!C:C,"")</f>
        <v/>
      </c>
    </row>
    <row r="866">
      <c r="A866" s="1" t="s">
        <v>885</v>
      </c>
      <c r="B866" s="2">
        <v>204.0</v>
      </c>
      <c r="C866" s="4"/>
      <c r="E866" s="4" t="str">
        <f t="array" ref="E866">XLOOKUP(proper(A866),'Fintech, Regulatory Arbitrage, '!A:A,'Fintech, Regulatory Arbitrage, '!C:C,"")</f>
        <v/>
      </c>
    </row>
    <row r="867">
      <c r="A867" s="1" t="s">
        <v>886</v>
      </c>
      <c r="B867" s="2">
        <v>204.0</v>
      </c>
      <c r="C867" s="4"/>
      <c r="E867" s="4" t="str">
        <f t="array" ref="E867">XLOOKUP(proper(A867),'Fintech, Regulatory Arbitrage, '!A:A,'Fintech, Regulatory Arbitrage, '!C:C,"")</f>
        <v/>
      </c>
    </row>
    <row r="868">
      <c r="A868" s="1" t="s">
        <v>887</v>
      </c>
      <c r="B868" s="2">
        <v>204.0</v>
      </c>
      <c r="C868" s="4"/>
      <c r="E868" s="4" t="str">
        <f t="array" ref="E868">XLOOKUP(proper(A868),'Fintech, Regulatory Arbitrage, '!A:A,'Fintech, Regulatory Arbitrage, '!C:C,"")</f>
        <v/>
      </c>
    </row>
    <row r="869">
      <c r="A869" s="1" t="s">
        <v>888</v>
      </c>
      <c r="B869" s="2">
        <v>203.0</v>
      </c>
      <c r="C869" s="4"/>
      <c r="E869" s="4" t="str">
        <f t="array" ref="E869">XLOOKUP(proper(A869),'Fintech, Regulatory Arbitrage, '!A:A,'Fintech, Regulatory Arbitrage, '!C:C,"")</f>
        <v/>
      </c>
    </row>
    <row r="870">
      <c r="A870" s="1" t="s">
        <v>889</v>
      </c>
      <c r="B870" s="2">
        <v>203.0</v>
      </c>
      <c r="C870" s="4"/>
      <c r="E870" s="4" t="str">
        <f t="array" ref="E870">XLOOKUP(proper(A870),'Fintech, Regulatory Arbitrage, '!A:A,'Fintech, Regulatory Arbitrage, '!C:C,"")</f>
        <v/>
      </c>
    </row>
    <row r="871">
      <c r="A871" s="1" t="s">
        <v>890</v>
      </c>
      <c r="B871" s="2">
        <v>203.0</v>
      </c>
      <c r="C871" s="4"/>
      <c r="E871" s="4" t="str">
        <f t="array" ref="E871">XLOOKUP(proper(A871),'Fintech, Regulatory Arbitrage, '!A:A,'Fintech, Regulatory Arbitrage, '!C:C,"")</f>
        <v/>
      </c>
    </row>
    <row r="872">
      <c r="A872" s="1" t="s">
        <v>891</v>
      </c>
      <c r="B872" s="2">
        <v>203.0</v>
      </c>
      <c r="C872" s="4"/>
      <c r="E872" s="4" t="str">
        <f t="array" ref="E872">XLOOKUP(proper(A872),'Fintech, Regulatory Arbitrage, '!A:A,'Fintech, Regulatory Arbitrage, '!C:C,"")</f>
        <v/>
      </c>
    </row>
    <row r="873">
      <c r="A873" s="1" t="s">
        <v>892</v>
      </c>
      <c r="B873" s="2">
        <v>202.0</v>
      </c>
      <c r="C873" s="4"/>
      <c r="E873" s="4" t="str">
        <f t="array" ref="E873">XLOOKUP(proper(A873),'Fintech, Regulatory Arbitrage, '!A:A,'Fintech, Regulatory Arbitrage, '!C:C,"")</f>
        <v/>
      </c>
    </row>
    <row r="874">
      <c r="A874" s="1" t="s">
        <v>893</v>
      </c>
      <c r="B874" s="2">
        <v>202.0</v>
      </c>
      <c r="C874" s="4"/>
      <c r="E874" s="4" t="str">
        <f t="array" ref="E874">XLOOKUP(proper(A874),'Fintech, Regulatory Arbitrage, '!A:A,'Fintech, Regulatory Arbitrage, '!C:C,"")</f>
        <v/>
      </c>
    </row>
    <row r="875">
      <c r="A875" s="1" t="s">
        <v>894</v>
      </c>
      <c r="B875" s="2">
        <v>202.0</v>
      </c>
      <c r="C875" s="4"/>
      <c r="E875" s="4" t="str">
        <f t="array" ref="E875">XLOOKUP(proper(A875),'Fintech, Regulatory Arbitrage, '!A:A,'Fintech, Regulatory Arbitrage, '!C:C,"")</f>
        <v/>
      </c>
    </row>
    <row r="876">
      <c r="A876" s="1" t="s">
        <v>895</v>
      </c>
      <c r="B876" s="2">
        <v>202.0</v>
      </c>
      <c r="C876" s="4"/>
      <c r="E876" s="4" t="str">
        <f t="array" ref="E876">XLOOKUP(proper(A876),'Fintech, Regulatory Arbitrage, '!A:A,'Fintech, Regulatory Arbitrage, '!C:C,"")</f>
        <v/>
      </c>
    </row>
    <row r="877">
      <c r="A877" s="1" t="s">
        <v>896</v>
      </c>
      <c r="B877" s="2">
        <v>202.0</v>
      </c>
      <c r="C877" s="4"/>
      <c r="E877" s="4" t="str">
        <f t="array" ref="E877">XLOOKUP(proper(A877),'Fintech, Regulatory Arbitrage, '!A:A,'Fintech, Regulatory Arbitrage, '!C:C,"")</f>
        <v/>
      </c>
    </row>
    <row r="878">
      <c r="A878" s="1" t="s">
        <v>897</v>
      </c>
      <c r="B878" s="2">
        <v>201.0</v>
      </c>
      <c r="C878" s="4"/>
      <c r="E878" s="4" t="str">
        <f t="array" ref="E878">XLOOKUP(proper(A878),'Fintech, Regulatory Arbitrage, '!A:A,'Fintech, Regulatory Arbitrage, '!C:C,"")</f>
        <v/>
      </c>
    </row>
    <row r="879">
      <c r="A879" s="1" t="s">
        <v>898</v>
      </c>
      <c r="B879" s="2">
        <v>201.0</v>
      </c>
      <c r="C879" s="4"/>
      <c r="E879" s="4" t="str">
        <f t="array" ref="E879">XLOOKUP(proper(A879),'Fintech, Regulatory Arbitrage, '!A:A,'Fintech, Regulatory Arbitrage, '!C:C,"")</f>
        <v/>
      </c>
    </row>
    <row r="880">
      <c r="A880" s="1" t="s">
        <v>899</v>
      </c>
      <c r="B880" s="2">
        <v>200.0</v>
      </c>
      <c r="C880" s="4"/>
      <c r="E880" s="4" t="str">
        <f t="array" ref="E880">XLOOKUP(proper(A880),'Fintech, Regulatory Arbitrage, '!A:A,'Fintech, Regulatory Arbitrage, '!C:C,"")</f>
        <v/>
      </c>
    </row>
    <row r="881">
      <c r="A881" s="1" t="s">
        <v>900</v>
      </c>
      <c r="B881" s="2">
        <v>200.0</v>
      </c>
      <c r="C881" s="4"/>
      <c r="E881" s="4" t="str">
        <f t="array" ref="E881">XLOOKUP(proper(A881),'Fintech, Regulatory Arbitrage, '!A:A,'Fintech, Regulatory Arbitrage, '!C:C,"")</f>
        <v/>
      </c>
    </row>
    <row r="882">
      <c r="A882" s="1" t="s">
        <v>901</v>
      </c>
      <c r="B882" s="2">
        <v>200.0</v>
      </c>
      <c r="C882" s="4"/>
      <c r="E882" s="4" t="str">
        <f t="array" ref="E882">XLOOKUP(proper(A882),'Fintech, Regulatory Arbitrage, '!A:A,'Fintech, Regulatory Arbitrage, '!C:C,"")</f>
        <v/>
      </c>
    </row>
    <row r="883">
      <c r="A883" s="1" t="s">
        <v>902</v>
      </c>
      <c r="B883" s="2">
        <v>198.0</v>
      </c>
      <c r="C883" s="4"/>
      <c r="E883" s="4" t="str">
        <f t="array" ref="E883">XLOOKUP(proper(A883),'Fintech, Regulatory Arbitrage, '!A:A,'Fintech, Regulatory Arbitrage, '!C:C,"")</f>
        <v/>
      </c>
    </row>
    <row r="884">
      <c r="A884" s="1" t="s">
        <v>903</v>
      </c>
      <c r="B884" s="2">
        <v>198.0</v>
      </c>
      <c r="C884" s="4"/>
      <c r="E884" s="4" t="str">
        <f t="array" ref="E884">XLOOKUP(proper(A884),'Fintech, Regulatory Arbitrage, '!A:A,'Fintech, Regulatory Arbitrage, '!C:C,"")</f>
        <v/>
      </c>
    </row>
    <row r="885">
      <c r="A885" s="1" t="s">
        <v>904</v>
      </c>
      <c r="B885" s="2">
        <v>198.0</v>
      </c>
      <c r="C885" s="4"/>
      <c r="E885" s="4" t="str">
        <f t="array" ref="E885">XLOOKUP(proper(A885),'Fintech, Regulatory Arbitrage, '!A:A,'Fintech, Regulatory Arbitrage, '!C:C,"")</f>
        <v/>
      </c>
    </row>
    <row r="886">
      <c r="A886" s="1" t="s">
        <v>905</v>
      </c>
      <c r="B886" s="2">
        <v>198.0</v>
      </c>
      <c r="C886" s="4"/>
      <c r="E886" s="4" t="str">
        <f t="array" ref="E886">XLOOKUP(proper(A886),'Fintech, Regulatory Arbitrage, '!A:A,'Fintech, Regulatory Arbitrage, '!C:C,"")</f>
        <v/>
      </c>
    </row>
    <row r="887">
      <c r="A887" s="1" t="s">
        <v>906</v>
      </c>
      <c r="B887" s="2">
        <v>198.0</v>
      </c>
      <c r="C887" s="4"/>
      <c r="E887" s="4" t="str">
        <f t="array" ref="E887">XLOOKUP(proper(A887),'Fintech, Regulatory Arbitrage, '!A:A,'Fintech, Regulatory Arbitrage, '!C:C,"")</f>
        <v/>
      </c>
    </row>
    <row r="888">
      <c r="A888" s="1" t="s">
        <v>907</v>
      </c>
      <c r="B888" s="2">
        <v>198.0</v>
      </c>
      <c r="C888" s="4"/>
      <c r="E888" s="4" t="str">
        <f t="array" ref="E888">XLOOKUP(proper(A888),'Fintech, Regulatory Arbitrage, '!A:A,'Fintech, Regulatory Arbitrage, '!C:C,"")</f>
        <v/>
      </c>
    </row>
    <row r="889">
      <c r="A889" s="1" t="s">
        <v>908</v>
      </c>
      <c r="B889" s="2">
        <v>198.0</v>
      </c>
      <c r="C889" s="4"/>
      <c r="E889" s="4" t="str">
        <f t="array" ref="E889">XLOOKUP(proper(A889),'Fintech, Regulatory Arbitrage, '!A:A,'Fintech, Regulatory Arbitrage, '!C:C,"")</f>
        <v/>
      </c>
    </row>
    <row r="890">
      <c r="A890" s="1" t="s">
        <v>909</v>
      </c>
      <c r="B890" s="2">
        <v>197.0</v>
      </c>
      <c r="C890" s="4"/>
      <c r="E890" s="4" t="str">
        <f t="array" ref="E890">XLOOKUP(proper(A890),'Fintech, Regulatory Arbitrage, '!A:A,'Fintech, Regulatory Arbitrage, '!C:C,"")</f>
        <v/>
      </c>
    </row>
    <row r="891">
      <c r="A891" s="1" t="s">
        <v>910</v>
      </c>
      <c r="B891" s="2">
        <v>197.0</v>
      </c>
      <c r="C891" s="4"/>
      <c r="E891" s="4" t="str">
        <f t="array" ref="E891">XLOOKUP(proper(A891),'Fintech, Regulatory Arbitrage, '!A:A,'Fintech, Regulatory Arbitrage, '!C:C,"")</f>
        <v/>
      </c>
    </row>
    <row r="892">
      <c r="A892" s="1" t="s">
        <v>911</v>
      </c>
      <c r="B892" s="2">
        <v>197.0</v>
      </c>
      <c r="C892" s="4"/>
      <c r="E892" s="4" t="str">
        <f t="array" ref="E892">XLOOKUP(proper(A892),'Fintech, Regulatory Arbitrage, '!A:A,'Fintech, Regulatory Arbitrage, '!C:C,"")</f>
        <v/>
      </c>
    </row>
    <row r="893">
      <c r="A893" s="1" t="s">
        <v>912</v>
      </c>
      <c r="B893" s="2">
        <v>197.0</v>
      </c>
      <c r="C893" s="4"/>
      <c r="E893" s="4" t="str">
        <f t="array" ref="E893">XLOOKUP(proper(A893),'Fintech, Regulatory Arbitrage, '!A:A,'Fintech, Regulatory Arbitrage, '!C:C,"")</f>
        <v/>
      </c>
    </row>
    <row r="894">
      <c r="A894" s="1" t="s">
        <v>913</v>
      </c>
      <c r="B894" s="2">
        <v>197.0</v>
      </c>
      <c r="C894" s="4"/>
      <c r="E894" s="4" t="str">
        <f t="array" ref="E894">XLOOKUP(proper(A894),'Fintech, Regulatory Arbitrage, '!A:A,'Fintech, Regulatory Arbitrage, '!C:C,"")</f>
        <v/>
      </c>
    </row>
    <row r="895">
      <c r="A895" s="1" t="s">
        <v>914</v>
      </c>
      <c r="B895" s="2">
        <v>197.0</v>
      </c>
      <c r="C895" s="4"/>
      <c r="E895" s="4" t="str">
        <f t="array" ref="E895">XLOOKUP(proper(A895),'Fintech, Regulatory Arbitrage, '!A:A,'Fintech, Regulatory Arbitrage, '!C:C,"")</f>
        <v/>
      </c>
    </row>
    <row r="896">
      <c r="A896" s="1" t="s">
        <v>915</v>
      </c>
      <c r="B896" s="2">
        <v>196.0</v>
      </c>
      <c r="C896" s="4"/>
      <c r="E896" s="4" t="str">
        <f t="array" ref="E896">XLOOKUP(proper(A896),'Fintech, Regulatory Arbitrage, '!A:A,'Fintech, Regulatory Arbitrage, '!C:C,"")</f>
        <v/>
      </c>
    </row>
    <row r="897">
      <c r="A897" s="1" t="s">
        <v>916</v>
      </c>
      <c r="B897" s="2">
        <v>196.0</v>
      </c>
      <c r="C897" s="4"/>
      <c r="E897" s="4" t="str">
        <f t="array" ref="E897">XLOOKUP(proper(A897),'Fintech, Regulatory Arbitrage, '!A:A,'Fintech, Regulatory Arbitrage, '!C:C,"")</f>
        <v/>
      </c>
    </row>
    <row r="898">
      <c r="A898" s="1" t="s">
        <v>917</v>
      </c>
      <c r="B898" s="2">
        <v>196.0</v>
      </c>
      <c r="C898" s="4"/>
      <c r="E898" s="4" t="str">
        <f t="array" ref="E898">XLOOKUP(proper(A898),'Fintech, Regulatory Arbitrage, '!A:A,'Fintech, Regulatory Arbitrage, '!C:C,"")</f>
        <v/>
      </c>
    </row>
    <row r="899">
      <c r="A899" s="1" t="s">
        <v>918</v>
      </c>
      <c r="B899" s="2">
        <v>196.0</v>
      </c>
      <c r="C899" s="4"/>
      <c r="E899" s="4" t="str">
        <f t="array" ref="E899">XLOOKUP(proper(A899),'Fintech, Regulatory Arbitrage, '!A:A,'Fintech, Regulatory Arbitrage, '!C:C,"")</f>
        <v/>
      </c>
    </row>
    <row r="900">
      <c r="A900" s="1" t="s">
        <v>919</v>
      </c>
      <c r="B900" s="2">
        <v>195.0</v>
      </c>
      <c r="C900" s="4"/>
      <c r="E900" s="4" t="str">
        <f t="array" ref="E900">XLOOKUP(proper(A900),'Fintech, Regulatory Arbitrage, '!A:A,'Fintech, Regulatory Arbitrage, '!C:C,"")</f>
        <v/>
      </c>
    </row>
    <row r="901">
      <c r="A901" s="1" t="s">
        <v>920</v>
      </c>
      <c r="B901" s="2">
        <v>195.0</v>
      </c>
      <c r="C901" s="4"/>
      <c r="E901" s="4" t="str">
        <f t="array" ref="E901">XLOOKUP(proper(A901),'Fintech, Regulatory Arbitrage, '!A:A,'Fintech, Regulatory Arbitrage, '!C:C,"")</f>
        <v/>
      </c>
    </row>
    <row r="902">
      <c r="A902" s="1" t="s">
        <v>921</v>
      </c>
      <c r="B902" s="2">
        <v>195.0</v>
      </c>
      <c r="C902" s="4"/>
      <c r="E902" s="4" t="str">
        <f t="array" ref="E902">XLOOKUP(proper(A902),'Fintech, Regulatory Arbitrage, '!A:A,'Fintech, Regulatory Arbitrage, '!C:C,"")</f>
        <v/>
      </c>
    </row>
    <row r="903">
      <c r="A903" s="1" t="s">
        <v>922</v>
      </c>
      <c r="B903" s="2">
        <v>194.0</v>
      </c>
      <c r="C903" s="4"/>
      <c r="E903" s="4" t="str">
        <f t="array" ref="E903">XLOOKUP(proper(A903),'Fintech, Regulatory Arbitrage, '!A:A,'Fintech, Regulatory Arbitrage, '!C:C,"")</f>
        <v/>
      </c>
    </row>
    <row r="904">
      <c r="A904" s="1" t="s">
        <v>923</v>
      </c>
      <c r="B904" s="2">
        <v>194.0</v>
      </c>
      <c r="C904" s="4"/>
      <c r="E904" s="4" t="str">
        <f t="array" ref="E904">XLOOKUP(proper(A904),'Fintech, Regulatory Arbitrage, '!A:A,'Fintech, Regulatory Arbitrage, '!C:C,"")</f>
        <v/>
      </c>
    </row>
    <row r="905">
      <c r="A905" s="1" t="s">
        <v>924</v>
      </c>
      <c r="B905" s="2">
        <v>194.0</v>
      </c>
      <c r="C905" s="4"/>
      <c r="E905" s="4" t="str">
        <f t="array" ref="E905">XLOOKUP(proper(A905),'Fintech, Regulatory Arbitrage, '!A:A,'Fintech, Regulatory Arbitrage, '!C:C,"")</f>
        <v/>
      </c>
    </row>
    <row r="906">
      <c r="A906" s="1" t="s">
        <v>925</v>
      </c>
      <c r="B906" s="2">
        <v>194.0</v>
      </c>
      <c r="C906" s="4"/>
      <c r="E906" s="4" t="str">
        <f t="array" ref="E906">XLOOKUP(proper(A906),'Fintech, Regulatory Arbitrage, '!A:A,'Fintech, Regulatory Arbitrage, '!C:C,"")</f>
        <v/>
      </c>
    </row>
    <row r="907">
      <c r="A907" s="1" t="s">
        <v>926</v>
      </c>
      <c r="B907" s="2">
        <v>193.0</v>
      </c>
      <c r="C907" s="4"/>
      <c r="E907" s="4" t="str">
        <f t="array" ref="E907">XLOOKUP(proper(A907),'Fintech, Regulatory Arbitrage, '!A:A,'Fintech, Regulatory Arbitrage, '!C:C,"")</f>
        <v/>
      </c>
    </row>
    <row r="908">
      <c r="A908" s="1" t="s">
        <v>927</v>
      </c>
      <c r="B908" s="2">
        <v>193.0</v>
      </c>
      <c r="C908" s="4"/>
      <c r="E908" s="4" t="str">
        <f t="array" ref="E908">XLOOKUP(proper(A908),'Fintech, Regulatory Arbitrage, '!A:A,'Fintech, Regulatory Arbitrage, '!C:C,"")</f>
        <v/>
      </c>
    </row>
    <row r="909">
      <c r="A909" s="1" t="s">
        <v>928</v>
      </c>
      <c r="B909" s="2">
        <v>192.0</v>
      </c>
      <c r="C909" s="4"/>
      <c r="E909" s="4" t="str">
        <f t="array" ref="E909">XLOOKUP(proper(A909),'Fintech, Regulatory Arbitrage, '!A:A,'Fintech, Regulatory Arbitrage, '!C:C,"")</f>
        <v/>
      </c>
    </row>
    <row r="910">
      <c r="A910" s="1" t="s">
        <v>929</v>
      </c>
      <c r="B910" s="2">
        <v>192.0</v>
      </c>
      <c r="C910" s="4"/>
      <c r="E910" s="4" t="str">
        <f t="array" ref="E910">XLOOKUP(proper(A910),'Fintech, Regulatory Arbitrage, '!A:A,'Fintech, Regulatory Arbitrage, '!C:C,"")</f>
        <v/>
      </c>
    </row>
    <row r="911">
      <c r="A911" s="1" t="s">
        <v>930</v>
      </c>
      <c r="B911" s="2">
        <v>191.0</v>
      </c>
      <c r="C911" s="4"/>
      <c r="E911" s="4" t="str">
        <f t="array" ref="E911">XLOOKUP(proper(A911),'Fintech, Regulatory Arbitrage, '!A:A,'Fintech, Regulatory Arbitrage, '!C:C,"")</f>
        <v/>
      </c>
    </row>
    <row r="912">
      <c r="A912" s="1" t="s">
        <v>931</v>
      </c>
      <c r="B912" s="2">
        <v>191.0</v>
      </c>
      <c r="C912" s="4"/>
      <c r="E912" s="4" t="str">
        <f t="array" ref="E912">XLOOKUP(proper(A912),'Fintech, Regulatory Arbitrage, '!A:A,'Fintech, Regulatory Arbitrage, '!C:C,"")</f>
        <v/>
      </c>
    </row>
    <row r="913">
      <c r="A913" s="1" t="s">
        <v>932</v>
      </c>
      <c r="B913" s="2">
        <v>191.0</v>
      </c>
      <c r="C913" s="4"/>
      <c r="E913" s="4" t="str">
        <f t="array" ref="E913">XLOOKUP(proper(A913),'Fintech, Regulatory Arbitrage, '!A:A,'Fintech, Regulatory Arbitrage, '!C:C,"")</f>
        <v/>
      </c>
    </row>
    <row r="914">
      <c r="A914" s="1" t="s">
        <v>933</v>
      </c>
      <c r="B914" s="2">
        <v>191.0</v>
      </c>
      <c r="C914" s="4"/>
      <c r="E914" s="4" t="str">
        <f t="array" ref="E914">XLOOKUP(proper(A914),'Fintech, Regulatory Arbitrage, '!A:A,'Fintech, Regulatory Arbitrage, '!C:C,"")</f>
        <v/>
      </c>
    </row>
    <row r="915">
      <c r="A915" s="1" t="s">
        <v>934</v>
      </c>
      <c r="B915" s="2">
        <v>191.0</v>
      </c>
      <c r="C915" s="4"/>
      <c r="E915" s="4" t="str">
        <f t="array" ref="E915">XLOOKUP(proper(A915),'Fintech, Regulatory Arbitrage, '!A:A,'Fintech, Regulatory Arbitrage, '!C:C,"")</f>
        <v/>
      </c>
    </row>
    <row r="916">
      <c r="A916" s="1" t="s">
        <v>935</v>
      </c>
      <c r="B916" s="2">
        <v>189.0</v>
      </c>
      <c r="C916" s="4"/>
      <c r="E916" s="4" t="str">
        <f t="array" ref="E916">XLOOKUP(proper(A916),'Fintech, Regulatory Arbitrage, '!A:A,'Fintech, Regulatory Arbitrage, '!C:C,"")</f>
        <v/>
      </c>
    </row>
    <row r="917">
      <c r="A917" s="1" t="s">
        <v>936</v>
      </c>
      <c r="B917" s="2">
        <v>189.0</v>
      </c>
      <c r="C917" s="4"/>
      <c r="E917" s="4" t="str">
        <f t="array" ref="E917">XLOOKUP(proper(A917),'Fintech, Regulatory Arbitrage, '!A:A,'Fintech, Regulatory Arbitrage, '!C:C,"")</f>
        <v/>
      </c>
    </row>
    <row r="918">
      <c r="A918" s="1" t="s">
        <v>937</v>
      </c>
      <c r="B918" s="2">
        <v>189.0</v>
      </c>
      <c r="C918" s="4"/>
      <c r="E918" s="4" t="str">
        <f t="array" ref="E918">XLOOKUP(proper(A918),'Fintech, Regulatory Arbitrage, '!A:A,'Fintech, Regulatory Arbitrage, '!C:C,"")</f>
        <v/>
      </c>
    </row>
    <row r="919">
      <c r="A919" s="1" t="s">
        <v>938</v>
      </c>
      <c r="B919" s="2">
        <v>188.0</v>
      </c>
      <c r="C919" s="4"/>
      <c r="E919" s="4" t="str">
        <f t="array" ref="E919">XLOOKUP(proper(A919),'Fintech, Regulatory Arbitrage, '!A:A,'Fintech, Regulatory Arbitrage, '!C:C,"")</f>
        <v/>
      </c>
    </row>
    <row r="920">
      <c r="A920" s="1" t="s">
        <v>939</v>
      </c>
      <c r="B920" s="2">
        <v>188.0</v>
      </c>
      <c r="C920" s="4"/>
      <c r="E920" s="4" t="str">
        <f t="array" ref="E920">XLOOKUP(proper(A920),'Fintech, Regulatory Arbitrage, '!A:A,'Fintech, Regulatory Arbitrage, '!C:C,"")</f>
        <v/>
      </c>
    </row>
    <row r="921">
      <c r="A921" s="1" t="s">
        <v>940</v>
      </c>
      <c r="B921" s="2">
        <v>188.0</v>
      </c>
      <c r="C921" s="4"/>
      <c r="E921" s="4" t="str">
        <f t="array" ref="E921">XLOOKUP(proper(A921),'Fintech, Regulatory Arbitrage, '!A:A,'Fintech, Regulatory Arbitrage, '!C:C,"")</f>
        <v/>
      </c>
    </row>
    <row r="922">
      <c r="A922" s="1" t="s">
        <v>941</v>
      </c>
      <c r="B922" s="2">
        <v>188.0</v>
      </c>
      <c r="C922" s="4"/>
      <c r="E922" s="4" t="str">
        <f t="array" ref="E922">XLOOKUP(proper(A922),'Fintech, Regulatory Arbitrage, '!A:A,'Fintech, Regulatory Arbitrage, '!C:C,"")</f>
        <v/>
      </c>
    </row>
    <row r="923">
      <c r="A923" s="1" t="s">
        <v>942</v>
      </c>
      <c r="B923" s="2">
        <v>187.0</v>
      </c>
      <c r="C923" s="4"/>
      <c r="E923" s="4" t="str">
        <f t="array" ref="E923">XLOOKUP(proper(A923),'Fintech, Regulatory Arbitrage, '!A:A,'Fintech, Regulatory Arbitrage, '!C:C,"")</f>
        <v/>
      </c>
    </row>
    <row r="924">
      <c r="A924" s="1" t="s">
        <v>943</v>
      </c>
      <c r="B924" s="2">
        <v>187.0</v>
      </c>
      <c r="C924" s="4"/>
      <c r="E924" s="4" t="str">
        <f t="array" ref="E924">XLOOKUP(proper(A924),'Fintech, Regulatory Arbitrage, '!A:A,'Fintech, Regulatory Arbitrage, '!C:C,"")</f>
        <v/>
      </c>
    </row>
    <row r="925">
      <c r="A925" s="1" t="s">
        <v>944</v>
      </c>
      <c r="B925" s="2">
        <v>187.0</v>
      </c>
      <c r="C925" s="4"/>
      <c r="E925" s="4" t="str">
        <f t="array" ref="E925">XLOOKUP(proper(A925),'Fintech, Regulatory Arbitrage, '!A:A,'Fintech, Regulatory Arbitrage, '!C:C,"")</f>
        <v/>
      </c>
    </row>
    <row r="926">
      <c r="A926" s="1" t="s">
        <v>945</v>
      </c>
      <c r="B926" s="2">
        <v>187.0</v>
      </c>
      <c r="C926" s="4"/>
      <c r="E926" s="4" t="str">
        <f t="array" ref="E926">XLOOKUP(proper(A926),'Fintech, Regulatory Arbitrage, '!A:A,'Fintech, Regulatory Arbitrage, '!C:C,"")</f>
        <v/>
      </c>
    </row>
    <row r="927">
      <c r="A927" s="1" t="s">
        <v>946</v>
      </c>
      <c r="B927" s="2">
        <v>187.0</v>
      </c>
      <c r="C927" s="4"/>
      <c r="E927" s="4" t="str">
        <f t="array" ref="E927">XLOOKUP(proper(A927),'Fintech, Regulatory Arbitrage, '!A:A,'Fintech, Regulatory Arbitrage, '!C:C,"")</f>
        <v/>
      </c>
    </row>
    <row r="928">
      <c r="A928" s="1" t="s">
        <v>947</v>
      </c>
      <c r="B928" s="2">
        <v>187.0</v>
      </c>
      <c r="C928" s="4"/>
      <c r="E928" s="4" t="str">
        <f t="array" ref="E928">XLOOKUP(proper(A928),'Fintech, Regulatory Arbitrage, '!A:A,'Fintech, Regulatory Arbitrage, '!C:C,"")</f>
        <v/>
      </c>
    </row>
    <row r="929">
      <c r="A929" s="1" t="s">
        <v>948</v>
      </c>
      <c r="B929" s="2">
        <v>185.0</v>
      </c>
      <c r="C929" s="4"/>
      <c r="E929" s="4" t="str">
        <f t="array" ref="E929">XLOOKUP(proper(A929),'Fintech, Regulatory Arbitrage, '!A:A,'Fintech, Regulatory Arbitrage, '!C:C,"")</f>
        <v/>
      </c>
    </row>
    <row r="930">
      <c r="A930" s="1" t="s">
        <v>949</v>
      </c>
      <c r="B930" s="2">
        <v>185.0</v>
      </c>
      <c r="C930" s="4"/>
      <c r="E930" s="4" t="str">
        <f t="array" ref="E930">XLOOKUP(proper(A930),'Fintech, Regulatory Arbitrage, '!A:A,'Fintech, Regulatory Arbitrage, '!C:C,"")</f>
        <v/>
      </c>
    </row>
    <row r="931">
      <c r="A931" s="1" t="s">
        <v>950</v>
      </c>
      <c r="B931" s="2">
        <v>185.0</v>
      </c>
      <c r="C931" s="4"/>
      <c r="E931" s="4" t="str">
        <f t="array" ref="E931">XLOOKUP(proper(A931),'Fintech, Regulatory Arbitrage, '!A:A,'Fintech, Regulatory Arbitrage, '!C:C,"")</f>
        <v/>
      </c>
    </row>
    <row r="932">
      <c r="A932" s="1" t="s">
        <v>951</v>
      </c>
      <c r="B932" s="2">
        <v>185.0</v>
      </c>
      <c r="C932" s="4"/>
      <c r="E932" s="4" t="str">
        <f t="array" ref="E932">XLOOKUP(proper(A932),'Fintech, Regulatory Arbitrage, '!A:A,'Fintech, Regulatory Arbitrage, '!C:C,"")</f>
        <v/>
      </c>
    </row>
    <row r="933">
      <c r="A933" s="1" t="s">
        <v>952</v>
      </c>
      <c r="B933" s="2">
        <v>185.0</v>
      </c>
      <c r="C933" s="4"/>
      <c r="E933" s="4" t="str">
        <f t="array" ref="E933">XLOOKUP(proper(A933),'Fintech, Regulatory Arbitrage, '!A:A,'Fintech, Regulatory Arbitrage, '!C:C,"")</f>
        <v/>
      </c>
    </row>
    <row r="934">
      <c r="A934" s="1" t="s">
        <v>953</v>
      </c>
      <c r="B934" s="2">
        <v>183.0</v>
      </c>
      <c r="C934" s="4"/>
      <c r="E934" s="4" t="str">
        <f t="array" ref="E934">XLOOKUP(proper(A934),'Fintech, Regulatory Arbitrage, '!A:A,'Fintech, Regulatory Arbitrage, '!C:C,"")</f>
        <v/>
      </c>
    </row>
    <row r="935">
      <c r="A935" s="1" t="s">
        <v>954</v>
      </c>
      <c r="B935" s="2">
        <v>183.0</v>
      </c>
      <c r="C935" s="4"/>
      <c r="E935" s="4" t="str">
        <f t="array" ref="E935">XLOOKUP(proper(A935),'Fintech, Regulatory Arbitrage, '!A:A,'Fintech, Regulatory Arbitrage, '!C:C,"")</f>
        <v/>
      </c>
    </row>
    <row r="936">
      <c r="A936" s="1" t="s">
        <v>955</v>
      </c>
      <c r="B936" s="2">
        <v>183.0</v>
      </c>
      <c r="C936" s="4"/>
      <c r="E936" s="4" t="str">
        <f t="array" ref="E936">XLOOKUP(proper(A936),'Fintech, Regulatory Arbitrage, '!A:A,'Fintech, Regulatory Arbitrage, '!C:C,"")</f>
        <v/>
      </c>
    </row>
    <row r="937">
      <c r="A937" s="1" t="s">
        <v>956</v>
      </c>
      <c r="B937" s="2">
        <v>183.0</v>
      </c>
      <c r="C937" s="4"/>
      <c r="E937" s="4" t="str">
        <f t="array" ref="E937">XLOOKUP(proper(A937),'Fintech, Regulatory Arbitrage, '!A:A,'Fintech, Regulatory Arbitrage, '!C:C,"")</f>
        <v/>
      </c>
    </row>
    <row r="938">
      <c r="A938" s="1" t="s">
        <v>957</v>
      </c>
      <c r="B938" s="2">
        <v>183.0</v>
      </c>
      <c r="C938" s="4"/>
      <c r="E938" s="4" t="str">
        <f t="array" ref="E938">XLOOKUP(proper(A938),'Fintech, Regulatory Arbitrage, '!A:A,'Fintech, Regulatory Arbitrage, '!C:C,"")</f>
        <v/>
      </c>
    </row>
    <row r="939">
      <c r="A939" s="1" t="s">
        <v>958</v>
      </c>
      <c r="B939" s="2">
        <v>182.0</v>
      </c>
      <c r="C939" s="4"/>
      <c r="E939" s="4" t="str">
        <f t="array" ref="E939">XLOOKUP(proper(A939),'Fintech, Regulatory Arbitrage, '!A:A,'Fintech, Regulatory Arbitrage, '!C:C,"")</f>
        <v/>
      </c>
    </row>
    <row r="940">
      <c r="A940" s="1" t="s">
        <v>959</v>
      </c>
      <c r="B940" s="2">
        <v>182.0</v>
      </c>
      <c r="C940" s="4"/>
      <c r="E940" s="4" t="str">
        <f t="array" ref="E940">XLOOKUP(proper(A940),'Fintech, Regulatory Arbitrage, '!A:A,'Fintech, Regulatory Arbitrage, '!C:C,"")</f>
        <v/>
      </c>
    </row>
    <row r="941">
      <c r="A941" s="1" t="s">
        <v>960</v>
      </c>
      <c r="B941" s="2">
        <v>182.0</v>
      </c>
      <c r="C941" s="4"/>
      <c r="E941" s="4" t="str">
        <f t="array" ref="E941">XLOOKUP(proper(A941),'Fintech, Regulatory Arbitrage, '!A:A,'Fintech, Regulatory Arbitrage, '!C:C,"")</f>
        <v/>
      </c>
    </row>
    <row r="942">
      <c r="A942" s="1" t="s">
        <v>961</v>
      </c>
      <c r="B942" s="2">
        <v>181.0</v>
      </c>
      <c r="C942" s="4"/>
      <c r="E942" s="4" t="str">
        <f t="array" ref="E942">XLOOKUP(proper(A942),'Fintech, Regulatory Arbitrage, '!A:A,'Fintech, Regulatory Arbitrage, '!C:C,"")</f>
        <v/>
      </c>
    </row>
    <row r="943">
      <c r="A943" s="1" t="s">
        <v>962</v>
      </c>
      <c r="B943" s="2">
        <v>181.0</v>
      </c>
      <c r="C943" s="4"/>
      <c r="E943" s="4" t="str">
        <f t="array" ref="E943">XLOOKUP(proper(A943),'Fintech, Regulatory Arbitrage, '!A:A,'Fintech, Regulatory Arbitrage, '!C:C,"")</f>
        <v/>
      </c>
    </row>
    <row r="944">
      <c r="A944" s="1" t="s">
        <v>963</v>
      </c>
      <c r="B944" s="2">
        <v>181.0</v>
      </c>
      <c r="C944" s="4"/>
      <c r="E944" s="4" t="str">
        <f t="array" ref="E944">XLOOKUP(proper(A944),'Fintech, Regulatory Arbitrage, '!A:A,'Fintech, Regulatory Arbitrage, '!C:C,"")</f>
        <v/>
      </c>
    </row>
    <row r="945">
      <c r="A945" s="1" t="s">
        <v>964</v>
      </c>
      <c r="B945" s="2">
        <v>181.0</v>
      </c>
      <c r="C945" s="4"/>
      <c r="E945" s="4" t="str">
        <f t="array" ref="E945">XLOOKUP(proper(A945),'Fintech, Regulatory Arbitrage, '!A:A,'Fintech, Regulatory Arbitrage, '!C:C,"")</f>
        <v/>
      </c>
    </row>
    <row r="946">
      <c r="A946" s="1" t="s">
        <v>965</v>
      </c>
      <c r="B946" s="2">
        <v>181.0</v>
      </c>
      <c r="C946" s="4"/>
      <c r="E946" s="4" t="str">
        <f t="array" ref="E946">XLOOKUP(proper(A946),'Fintech, Regulatory Arbitrage, '!A:A,'Fintech, Regulatory Arbitrage, '!C:C,"")</f>
        <v/>
      </c>
    </row>
    <row r="947">
      <c r="A947" s="1" t="s">
        <v>966</v>
      </c>
      <c r="B947" s="2">
        <v>181.0</v>
      </c>
      <c r="C947" s="4"/>
      <c r="E947" s="4" t="str">
        <f t="array" ref="E947">XLOOKUP(proper(A947),'Fintech, Regulatory Arbitrage, '!A:A,'Fintech, Regulatory Arbitrage, '!C:C,"")</f>
        <v/>
      </c>
    </row>
    <row r="948">
      <c r="A948" s="1" t="s">
        <v>967</v>
      </c>
      <c r="B948" s="2">
        <v>180.0</v>
      </c>
      <c r="C948" s="4"/>
      <c r="E948" s="4" t="str">
        <f t="array" ref="E948">XLOOKUP(proper(A948),'Fintech, Regulatory Arbitrage, '!A:A,'Fintech, Regulatory Arbitrage, '!C:C,"")</f>
        <v/>
      </c>
    </row>
    <row r="949">
      <c r="A949" s="1" t="s">
        <v>968</v>
      </c>
      <c r="B949" s="2">
        <v>180.0</v>
      </c>
      <c r="C949" s="4"/>
      <c r="E949" s="4" t="str">
        <f t="array" ref="E949">XLOOKUP(proper(A949),'Fintech, Regulatory Arbitrage, '!A:A,'Fintech, Regulatory Arbitrage, '!C:C,"")</f>
        <v/>
      </c>
    </row>
    <row r="950">
      <c r="A950" s="1" t="s">
        <v>969</v>
      </c>
      <c r="B950" s="2">
        <v>180.0</v>
      </c>
      <c r="C950" s="4"/>
      <c r="E950" s="4" t="str">
        <f t="array" ref="E950">XLOOKUP(proper(A950),'Fintech, Regulatory Arbitrage, '!A:A,'Fintech, Regulatory Arbitrage, '!C:C,"")</f>
        <v/>
      </c>
    </row>
    <row r="951">
      <c r="A951" s="1" t="s">
        <v>970</v>
      </c>
      <c r="B951" s="2">
        <v>179.0</v>
      </c>
      <c r="C951" s="4"/>
      <c r="E951" s="4" t="str">
        <f t="array" ref="E951">XLOOKUP(proper(A951),'Fintech, Regulatory Arbitrage, '!A:A,'Fintech, Regulatory Arbitrage, '!C:C,"")</f>
        <v/>
      </c>
    </row>
    <row r="952">
      <c r="A952" s="1" t="s">
        <v>971</v>
      </c>
      <c r="B952" s="2">
        <v>179.0</v>
      </c>
      <c r="C952" s="4"/>
      <c r="E952" s="4" t="str">
        <f t="array" ref="E952">XLOOKUP(proper(A952),'Fintech, Regulatory Arbitrage, '!A:A,'Fintech, Regulatory Arbitrage, '!C:C,"")</f>
        <v/>
      </c>
    </row>
    <row r="953">
      <c r="A953" s="1" t="s">
        <v>972</v>
      </c>
      <c r="B953" s="2">
        <v>179.0</v>
      </c>
      <c r="C953" s="4"/>
      <c r="E953" s="4" t="str">
        <f t="array" ref="E953">XLOOKUP(proper(A953),'Fintech, Regulatory Arbitrage, '!A:A,'Fintech, Regulatory Arbitrage, '!C:C,"")</f>
        <v/>
      </c>
    </row>
    <row r="954">
      <c r="A954" s="1" t="s">
        <v>973</v>
      </c>
      <c r="B954" s="2">
        <v>179.0</v>
      </c>
      <c r="C954" s="4"/>
      <c r="E954" s="4" t="str">
        <f t="array" ref="E954">XLOOKUP(proper(A954),'Fintech, Regulatory Arbitrage, '!A:A,'Fintech, Regulatory Arbitrage, '!C:C,"")</f>
        <v/>
      </c>
    </row>
    <row r="955">
      <c r="A955" s="1" t="s">
        <v>974</v>
      </c>
      <c r="B955" s="2">
        <v>178.0</v>
      </c>
      <c r="C955" s="4"/>
      <c r="E955" s="4" t="str">
        <f t="array" ref="E955">XLOOKUP(proper(A955),'Fintech, Regulatory Arbitrage, '!A:A,'Fintech, Regulatory Arbitrage, '!C:C,"")</f>
        <v/>
      </c>
    </row>
    <row r="956">
      <c r="A956" s="1" t="s">
        <v>975</v>
      </c>
      <c r="B956" s="2">
        <v>178.0</v>
      </c>
      <c r="C956" s="4"/>
      <c r="E956" s="4" t="str">
        <f t="array" ref="E956">XLOOKUP(proper(A956),'Fintech, Regulatory Arbitrage, '!A:A,'Fintech, Regulatory Arbitrage, '!C:C,"")</f>
        <v/>
      </c>
    </row>
    <row r="957">
      <c r="A957" s="1" t="s">
        <v>976</v>
      </c>
      <c r="B957" s="2">
        <v>178.0</v>
      </c>
      <c r="C957" s="4"/>
      <c r="E957" s="4" t="str">
        <f t="array" ref="E957">XLOOKUP(proper(A957),'Fintech, Regulatory Arbitrage, '!A:A,'Fintech, Regulatory Arbitrage, '!C:C,"")</f>
        <v/>
      </c>
    </row>
    <row r="958">
      <c r="A958" s="1" t="s">
        <v>977</v>
      </c>
      <c r="B958" s="2">
        <v>178.0</v>
      </c>
      <c r="C958" s="4"/>
      <c r="E958" s="4" t="str">
        <f t="array" ref="E958">XLOOKUP(proper(A958),'Fintech, Regulatory Arbitrage, '!A:A,'Fintech, Regulatory Arbitrage, '!C:C,"")</f>
        <v/>
      </c>
    </row>
    <row r="959">
      <c r="A959" s="1" t="s">
        <v>978</v>
      </c>
      <c r="B959" s="2">
        <v>177.0</v>
      </c>
      <c r="C959" s="4"/>
      <c r="E959" s="4" t="str">
        <f t="array" ref="E959">XLOOKUP(proper(A959),'Fintech, Regulatory Arbitrage, '!A:A,'Fintech, Regulatory Arbitrage, '!C:C,"")</f>
        <v/>
      </c>
    </row>
    <row r="960">
      <c r="A960" s="1" t="s">
        <v>979</v>
      </c>
      <c r="B960" s="2">
        <v>176.0</v>
      </c>
      <c r="C960" s="4"/>
      <c r="E960" s="4" t="str">
        <f t="array" ref="E960">XLOOKUP(proper(A960),'Fintech, Regulatory Arbitrage, '!A:A,'Fintech, Regulatory Arbitrage, '!C:C,"")</f>
        <v/>
      </c>
    </row>
    <row r="961">
      <c r="A961" s="1" t="s">
        <v>980</v>
      </c>
      <c r="B961" s="2">
        <v>176.0</v>
      </c>
      <c r="C961" s="4"/>
      <c r="E961" s="4" t="str">
        <f t="array" ref="E961">XLOOKUP(proper(A961),'Fintech, Regulatory Arbitrage, '!A:A,'Fintech, Regulatory Arbitrage, '!C:C,"")</f>
        <v/>
      </c>
    </row>
    <row r="962">
      <c r="A962" s="1" t="s">
        <v>981</v>
      </c>
      <c r="B962" s="2">
        <v>176.0</v>
      </c>
      <c r="C962" s="4"/>
      <c r="E962" s="4" t="str">
        <f t="array" ref="E962">XLOOKUP(proper(A962),'Fintech, Regulatory Arbitrage, '!A:A,'Fintech, Regulatory Arbitrage, '!C:C,"")</f>
        <v/>
      </c>
    </row>
    <row r="963">
      <c r="A963" s="1" t="s">
        <v>982</v>
      </c>
      <c r="B963" s="2">
        <v>175.0</v>
      </c>
      <c r="C963" s="4"/>
      <c r="E963" s="4" t="str">
        <f t="array" ref="E963">XLOOKUP(proper(A963),'Fintech, Regulatory Arbitrage, '!A:A,'Fintech, Regulatory Arbitrage, '!C:C,"")</f>
        <v/>
      </c>
    </row>
    <row r="964">
      <c r="A964" s="1" t="s">
        <v>983</v>
      </c>
      <c r="B964" s="2">
        <v>175.0</v>
      </c>
      <c r="C964" s="4"/>
      <c r="E964" s="4" t="str">
        <f t="array" ref="E964">XLOOKUP(proper(A964),'Fintech, Regulatory Arbitrage, '!A:A,'Fintech, Regulatory Arbitrage, '!C:C,"")</f>
        <v/>
      </c>
    </row>
    <row r="965">
      <c r="A965" s="1" t="s">
        <v>984</v>
      </c>
      <c r="B965" s="2">
        <v>175.0</v>
      </c>
      <c r="C965" s="4"/>
      <c r="E965" s="4" t="str">
        <f t="array" ref="E965">XLOOKUP(proper(A965),'Fintech, Regulatory Arbitrage, '!A:A,'Fintech, Regulatory Arbitrage, '!C:C,"")</f>
        <v/>
      </c>
    </row>
    <row r="966">
      <c r="A966" s="1" t="s">
        <v>985</v>
      </c>
      <c r="B966" s="2">
        <v>175.0</v>
      </c>
      <c r="C966" s="4"/>
      <c r="E966" s="4" t="str">
        <f t="array" ref="E966">XLOOKUP(proper(A966),'Fintech, Regulatory Arbitrage, '!A:A,'Fintech, Regulatory Arbitrage, '!C:C,"")</f>
        <v/>
      </c>
    </row>
    <row r="967">
      <c r="A967" s="1" t="s">
        <v>986</v>
      </c>
      <c r="B967" s="2">
        <v>175.0</v>
      </c>
      <c r="C967" s="4"/>
      <c r="E967" s="4" t="str">
        <f t="array" ref="E967">XLOOKUP(proper(A967),'Fintech, Regulatory Arbitrage, '!A:A,'Fintech, Regulatory Arbitrage, '!C:C,"")</f>
        <v/>
      </c>
    </row>
    <row r="968">
      <c r="A968" s="1" t="s">
        <v>987</v>
      </c>
      <c r="B968" s="2">
        <v>174.0</v>
      </c>
      <c r="C968" s="4"/>
      <c r="E968" s="4" t="str">
        <f t="array" ref="E968">XLOOKUP(proper(A968),'Fintech, Regulatory Arbitrage, '!A:A,'Fintech, Regulatory Arbitrage, '!C:C,"")</f>
        <v/>
      </c>
    </row>
    <row r="969">
      <c r="A969" s="1" t="s">
        <v>988</v>
      </c>
      <c r="B969" s="2">
        <v>174.0</v>
      </c>
      <c r="C969" s="4"/>
      <c r="E969" s="4" t="str">
        <f t="array" ref="E969">XLOOKUP(proper(A969),'Fintech, Regulatory Arbitrage, '!A:A,'Fintech, Regulatory Arbitrage, '!C:C,"")</f>
        <v/>
      </c>
    </row>
    <row r="970">
      <c r="A970" s="1" t="s">
        <v>989</v>
      </c>
      <c r="B970" s="2">
        <v>173.0</v>
      </c>
      <c r="C970" s="4"/>
      <c r="E970" s="4" t="str">
        <f t="array" ref="E970">XLOOKUP(proper(A970),'Fintech, Regulatory Arbitrage, '!A:A,'Fintech, Regulatory Arbitrage, '!C:C,"")</f>
        <v/>
      </c>
    </row>
    <row r="971">
      <c r="A971" s="1" t="s">
        <v>990</v>
      </c>
      <c r="B971" s="2">
        <v>173.0</v>
      </c>
      <c r="C971" s="4"/>
      <c r="E971" s="4" t="str">
        <f t="array" ref="E971">XLOOKUP(proper(A971),'Fintech, Regulatory Arbitrage, '!A:A,'Fintech, Regulatory Arbitrage, '!C:C,"")</f>
        <v/>
      </c>
    </row>
    <row r="972">
      <c r="A972" s="1" t="s">
        <v>991</v>
      </c>
      <c r="B972" s="2">
        <v>173.0</v>
      </c>
      <c r="C972" s="4"/>
      <c r="E972" s="4" t="str">
        <f t="array" ref="E972">XLOOKUP(proper(A972),'Fintech, Regulatory Arbitrage, '!A:A,'Fintech, Regulatory Arbitrage, '!C:C,"")</f>
        <v/>
      </c>
    </row>
    <row r="973">
      <c r="A973" s="1" t="s">
        <v>992</v>
      </c>
      <c r="B973" s="2">
        <v>173.0</v>
      </c>
      <c r="C973" s="4"/>
      <c r="E973" s="4" t="str">
        <f t="array" ref="E973">XLOOKUP(proper(A973),'Fintech, Regulatory Arbitrage, '!A:A,'Fintech, Regulatory Arbitrage, '!C:C,"")</f>
        <v/>
      </c>
    </row>
    <row r="974">
      <c r="A974" s="1" t="s">
        <v>993</v>
      </c>
      <c r="B974" s="2">
        <v>172.0</v>
      </c>
      <c r="C974" s="4"/>
      <c r="E974" s="4" t="str">
        <f t="array" ref="E974">XLOOKUP(proper(A974),'Fintech, Regulatory Arbitrage, '!A:A,'Fintech, Regulatory Arbitrage, '!C:C,"")</f>
        <v/>
      </c>
    </row>
    <row r="975">
      <c r="A975" s="1" t="s">
        <v>994</v>
      </c>
      <c r="B975" s="2">
        <v>172.0</v>
      </c>
      <c r="C975" s="4"/>
      <c r="E975" s="4" t="str">
        <f t="array" ref="E975">XLOOKUP(proper(A975),'Fintech, Regulatory Arbitrage, '!A:A,'Fintech, Regulatory Arbitrage, '!C:C,"")</f>
        <v/>
      </c>
    </row>
    <row r="976">
      <c r="A976" s="1" t="s">
        <v>995</v>
      </c>
      <c r="B976" s="2">
        <v>171.0</v>
      </c>
      <c r="C976" s="4"/>
      <c r="E976" s="4" t="str">
        <f t="array" ref="E976">XLOOKUP(proper(A976),'Fintech, Regulatory Arbitrage, '!A:A,'Fintech, Regulatory Arbitrage, '!C:C,"")</f>
        <v/>
      </c>
    </row>
    <row r="977">
      <c r="A977" s="1" t="s">
        <v>996</v>
      </c>
      <c r="B977" s="2">
        <v>171.0</v>
      </c>
      <c r="C977" s="4"/>
      <c r="E977" s="4" t="str">
        <f t="array" ref="E977">XLOOKUP(proper(A977),'Fintech, Regulatory Arbitrage, '!A:A,'Fintech, Regulatory Arbitrage, '!C:C,"")</f>
        <v/>
      </c>
    </row>
    <row r="978">
      <c r="A978" s="1" t="s">
        <v>997</v>
      </c>
      <c r="B978" s="2">
        <v>170.0</v>
      </c>
      <c r="C978" s="4"/>
      <c r="E978" s="4" t="str">
        <f t="array" ref="E978">XLOOKUP(proper(A978),'Fintech, Regulatory Arbitrage, '!A:A,'Fintech, Regulatory Arbitrage, '!C:C,"")</f>
        <v/>
      </c>
    </row>
    <row r="979">
      <c r="A979" s="1" t="s">
        <v>998</v>
      </c>
      <c r="B979" s="2">
        <v>170.0</v>
      </c>
      <c r="C979" s="4"/>
      <c r="E979" s="4" t="str">
        <f t="array" ref="E979">XLOOKUP(proper(A979),'Fintech, Regulatory Arbitrage, '!A:A,'Fintech, Regulatory Arbitrage, '!C:C,"")</f>
        <v/>
      </c>
    </row>
    <row r="980">
      <c r="A980" s="1" t="s">
        <v>999</v>
      </c>
      <c r="B980" s="2">
        <v>170.0</v>
      </c>
      <c r="C980" s="4"/>
      <c r="E980" s="4" t="str">
        <f t="array" ref="E980">XLOOKUP(proper(A980),'Fintech, Regulatory Arbitrage, '!A:A,'Fintech, Regulatory Arbitrage, '!C:C,"")</f>
        <v/>
      </c>
    </row>
    <row r="981">
      <c r="A981" s="1" t="s">
        <v>1000</v>
      </c>
      <c r="B981" s="2">
        <v>170.0</v>
      </c>
      <c r="C981" s="3" t="s">
        <v>12</v>
      </c>
      <c r="E981" s="4" t="str">
        <f t="array" ref="E981">XLOOKUP(proper(A981),'Fintech, Regulatory Arbitrage, '!A:A,'Fintech, Regulatory Arbitrage, '!C:C,"")</f>
        <v/>
      </c>
    </row>
    <row r="982">
      <c r="A982" s="1" t="s">
        <v>1001</v>
      </c>
      <c r="B982" s="2">
        <v>169.0</v>
      </c>
      <c r="C982" s="4"/>
      <c r="E982" s="4" t="str">
        <f t="array" ref="E982">XLOOKUP(proper(A982),'Fintech, Regulatory Arbitrage, '!A:A,'Fintech, Regulatory Arbitrage, '!C:C,"")</f>
        <v/>
      </c>
    </row>
    <row r="983">
      <c r="A983" s="1" t="s">
        <v>1002</v>
      </c>
      <c r="B983" s="2">
        <v>169.0</v>
      </c>
      <c r="C983" s="4"/>
      <c r="E983" s="4" t="str">
        <f t="array" ref="E983">XLOOKUP(proper(A983),'Fintech, Regulatory Arbitrage, '!A:A,'Fintech, Regulatory Arbitrage, '!C:C,"")</f>
        <v/>
      </c>
    </row>
    <row r="984">
      <c r="A984" s="1" t="s">
        <v>1003</v>
      </c>
      <c r="B984" s="2">
        <v>169.0</v>
      </c>
      <c r="C984" s="4"/>
      <c r="E984" s="4" t="str">
        <f t="array" ref="E984">XLOOKUP(proper(A984),'Fintech, Regulatory Arbitrage, '!A:A,'Fintech, Regulatory Arbitrage, '!C:C,"")</f>
        <v/>
      </c>
    </row>
    <row r="985">
      <c r="A985" s="1" t="s">
        <v>1004</v>
      </c>
      <c r="B985" s="2">
        <v>168.0</v>
      </c>
      <c r="C985" s="4"/>
      <c r="E985" s="4" t="str">
        <f t="array" ref="E985">XLOOKUP(proper(A985),'Fintech, Regulatory Arbitrage, '!A:A,'Fintech, Regulatory Arbitrage, '!C:C,"")</f>
        <v/>
      </c>
    </row>
    <row r="986">
      <c r="A986" s="1" t="s">
        <v>1005</v>
      </c>
      <c r="B986" s="2">
        <v>168.0</v>
      </c>
      <c r="C986" s="4"/>
      <c r="E986" s="4" t="str">
        <f t="array" ref="E986">XLOOKUP(proper(A986),'Fintech, Regulatory Arbitrage, '!A:A,'Fintech, Regulatory Arbitrage, '!C:C,"")</f>
        <v/>
      </c>
    </row>
    <row r="987">
      <c r="A987" s="1" t="s">
        <v>1006</v>
      </c>
      <c r="B987" s="2">
        <v>168.0</v>
      </c>
      <c r="C987" s="4"/>
      <c r="E987" s="4" t="str">
        <f t="array" ref="E987">XLOOKUP(proper(A987),'Fintech, Regulatory Arbitrage, '!A:A,'Fintech, Regulatory Arbitrage, '!C:C,"")</f>
        <v/>
      </c>
    </row>
    <row r="988">
      <c r="A988" s="1" t="s">
        <v>1007</v>
      </c>
      <c r="B988" s="2">
        <v>168.0</v>
      </c>
      <c r="C988" s="4"/>
      <c r="E988" s="4" t="str">
        <f t="array" ref="E988">XLOOKUP(proper(A988),'Fintech, Regulatory Arbitrage, '!A:A,'Fintech, Regulatory Arbitrage, '!C:C,"")</f>
        <v/>
      </c>
    </row>
    <row r="989">
      <c r="A989" s="1" t="s">
        <v>1008</v>
      </c>
      <c r="B989" s="2">
        <v>167.0</v>
      </c>
      <c r="C989" s="4"/>
      <c r="E989" s="4" t="str">
        <f t="array" ref="E989">XLOOKUP(proper(A989),'Fintech, Regulatory Arbitrage, '!A:A,'Fintech, Regulatory Arbitrage, '!C:C,"")</f>
        <v/>
      </c>
    </row>
    <row r="990">
      <c r="A990" s="1" t="s">
        <v>1009</v>
      </c>
      <c r="B990" s="2">
        <v>167.0</v>
      </c>
      <c r="C990" s="4"/>
      <c r="E990" s="4" t="str">
        <f t="array" ref="E990">XLOOKUP(proper(A990),'Fintech, Regulatory Arbitrage, '!A:A,'Fintech, Regulatory Arbitrage, '!C:C,"")</f>
        <v/>
      </c>
    </row>
    <row r="991">
      <c r="A991" s="1" t="s">
        <v>1010</v>
      </c>
      <c r="B991" s="2">
        <v>167.0</v>
      </c>
      <c r="C991" s="4"/>
      <c r="E991" s="4" t="str">
        <f t="array" ref="E991">XLOOKUP(proper(A991),'Fintech, Regulatory Arbitrage, '!A:A,'Fintech, Regulatory Arbitrage, '!C:C,"")</f>
        <v/>
      </c>
    </row>
    <row r="992">
      <c r="A992" s="1" t="s">
        <v>1011</v>
      </c>
      <c r="B992" s="2">
        <v>166.0</v>
      </c>
      <c r="C992" s="4"/>
      <c r="E992" s="4" t="str">
        <f t="array" ref="E992">XLOOKUP(proper(A992),'Fintech, Regulatory Arbitrage, '!A:A,'Fintech, Regulatory Arbitrage, '!C:C,"")</f>
        <v/>
      </c>
    </row>
    <row r="993">
      <c r="A993" s="1" t="s">
        <v>1012</v>
      </c>
      <c r="B993" s="2">
        <v>166.0</v>
      </c>
      <c r="C993" s="4"/>
      <c r="E993" s="4" t="str">
        <f t="array" ref="E993">XLOOKUP(proper(A993),'Fintech, Regulatory Arbitrage, '!A:A,'Fintech, Regulatory Arbitrage, '!C:C,"")</f>
        <v/>
      </c>
    </row>
    <row r="994">
      <c r="A994" s="1" t="s">
        <v>1013</v>
      </c>
      <c r="B994" s="2">
        <v>165.0</v>
      </c>
      <c r="C994" s="4"/>
      <c r="E994" s="4" t="str">
        <f t="array" ref="E994">XLOOKUP(proper(A994),'Fintech, Regulatory Arbitrage, '!A:A,'Fintech, Regulatory Arbitrage, '!C:C,"")</f>
        <v/>
      </c>
    </row>
    <row r="995">
      <c r="A995" s="1" t="s">
        <v>1014</v>
      </c>
      <c r="B995" s="2">
        <v>165.0</v>
      </c>
      <c r="C995" s="4"/>
      <c r="E995" s="4" t="str">
        <f t="array" ref="E995">XLOOKUP(proper(A995),'Fintech, Regulatory Arbitrage, '!A:A,'Fintech, Regulatory Arbitrage, '!C:C,"")</f>
        <v/>
      </c>
    </row>
    <row r="996">
      <c r="A996" s="1" t="s">
        <v>1015</v>
      </c>
      <c r="B996" s="2">
        <v>165.0</v>
      </c>
      <c r="C996" s="4"/>
      <c r="E996" s="4" t="str">
        <f t="array" ref="E996">XLOOKUP(proper(A996),'Fintech, Regulatory Arbitrage, '!A:A,'Fintech, Regulatory Arbitrage, '!C:C,"")</f>
        <v/>
      </c>
    </row>
    <row r="997">
      <c r="A997" s="1" t="s">
        <v>1016</v>
      </c>
      <c r="B997" s="2">
        <v>165.0</v>
      </c>
      <c r="C997" s="4"/>
      <c r="E997" s="4" t="str">
        <f t="array" ref="E997">XLOOKUP(proper(A997),'Fintech, Regulatory Arbitrage, '!A:A,'Fintech, Regulatory Arbitrage, '!C:C,"")</f>
        <v/>
      </c>
    </row>
    <row r="998">
      <c r="A998" s="1" t="s">
        <v>1017</v>
      </c>
      <c r="B998" s="2">
        <v>165.0</v>
      </c>
      <c r="C998" s="4"/>
      <c r="E998" s="4" t="str">
        <f t="array" ref="E998">XLOOKUP(proper(A998),'Fintech, Regulatory Arbitrage, '!A:A,'Fintech, Regulatory Arbitrage, '!C:C,"")</f>
        <v/>
      </c>
    </row>
    <row r="999">
      <c r="A999" s="1" t="s">
        <v>1018</v>
      </c>
      <c r="B999" s="2">
        <v>165.0</v>
      </c>
      <c r="C999" s="4"/>
      <c r="E999" s="4" t="str">
        <f t="array" ref="E999">XLOOKUP(proper(A999),'Fintech, Regulatory Arbitrage, '!A:A,'Fintech, Regulatory Arbitrage, '!C:C,"")</f>
        <v/>
      </c>
    </row>
    <row r="1000">
      <c r="A1000" s="1" t="s">
        <v>1019</v>
      </c>
      <c r="B1000" s="2">
        <v>165.0</v>
      </c>
      <c r="C1000" s="4"/>
      <c r="E1000" s="4" t="str">
        <f t="array" ref="E1000">XLOOKUP(proper(A1000),'Fintech, Regulatory Arbitrage, '!A:A,'Fintech, Regulatory Arbitrage, '!C:C,"")</f>
        <v/>
      </c>
    </row>
    <row r="1001">
      <c r="A1001" s="1" t="s">
        <v>1020</v>
      </c>
      <c r="B1001" s="2">
        <v>165.0</v>
      </c>
      <c r="C1001" s="4"/>
      <c r="E1001" s="4" t="str">
        <f t="array" ref="E1001">XLOOKUP(proper(A1001),'Fintech, Regulatory Arbitrage, '!A:A,'Fintech, Regulatory Arbitrage, '!C:C,"")</f>
        <v/>
      </c>
    </row>
    <row r="1002">
      <c r="A1002" s="1" t="s">
        <v>1021</v>
      </c>
      <c r="B1002" s="2">
        <v>164.0</v>
      </c>
      <c r="C1002" s="4"/>
      <c r="E1002" s="4" t="str">
        <f t="array" ref="E1002">XLOOKUP(proper(A1002),'Fintech, Regulatory Arbitrage, '!A:A,'Fintech, Regulatory Arbitrage, '!C:C,"")</f>
        <v/>
      </c>
    </row>
    <row r="1003">
      <c r="A1003" s="1" t="s">
        <v>1022</v>
      </c>
      <c r="B1003" s="2">
        <v>164.0</v>
      </c>
      <c r="C1003" s="4"/>
      <c r="E1003" s="4" t="str">
        <f t="array" ref="E1003">XLOOKUP(proper(A1003),'Fintech, Regulatory Arbitrage, '!A:A,'Fintech, Regulatory Arbitrage, '!C:C,"")</f>
        <v/>
      </c>
    </row>
    <row r="1004">
      <c r="A1004" s="1" t="s">
        <v>1023</v>
      </c>
      <c r="B1004" s="2">
        <v>164.0</v>
      </c>
      <c r="C1004" s="4"/>
      <c r="E1004" s="4" t="str">
        <f t="array" ref="E1004">XLOOKUP(proper(A1004),'Fintech, Regulatory Arbitrage, '!A:A,'Fintech, Regulatory Arbitrage, '!C:C,"")</f>
        <v/>
      </c>
    </row>
    <row r="1005">
      <c r="A1005" s="1" t="s">
        <v>1024</v>
      </c>
      <c r="B1005" s="2">
        <v>163.0</v>
      </c>
      <c r="C1005" s="4"/>
      <c r="E1005" s="4" t="str">
        <f t="array" ref="E1005">XLOOKUP(proper(A1005),'Fintech, Regulatory Arbitrage, '!A:A,'Fintech, Regulatory Arbitrage, '!C:C,"")</f>
        <v/>
      </c>
    </row>
    <row r="1006">
      <c r="A1006" s="1" t="s">
        <v>1025</v>
      </c>
      <c r="B1006" s="2">
        <v>163.0</v>
      </c>
      <c r="C1006" s="4"/>
      <c r="E1006" s="4" t="str">
        <f t="array" ref="E1006">XLOOKUP(proper(A1006),'Fintech, Regulatory Arbitrage, '!A:A,'Fintech, Regulatory Arbitrage, '!C:C,"")</f>
        <v/>
      </c>
    </row>
    <row r="1007">
      <c r="A1007" s="1" t="s">
        <v>1026</v>
      </c>
      <c r="B1007" s="2">
        <v>162.0</v>
      </c>
      <c r="C1007" s="4"/>
      <c r="E1007" s="4" t="str">
        <f t="array" ref="E1007">XLOOKUP(proper(A1007),'Fintech, Regulatory Arbitrage, '!A:A,'Fintech, Regulatory Arbitrage, '!C:C,"")</f>
        <v/>
      </c>
    </row>
    <row r="1008">
      <c r="A1008" s="1" t="s">
        <v>1027</v>
      </c>
      <c r="B1008" s="2">
        <v>162.0</v>
      </c>
      <c r="C1008" s="4"/>
      <c r="E1008" s="4" t="str">
        <f t="array" ref="E1008">XLOOKUP(proper(A1008),'Fintech, Regulatory Arbitrage, '!A:A,'Fintech, Regulatory Arbitrage, '!C:C,"")</f>
        <v/>
      </c>
    </row>
    <row r="1009">
      <c r="A1009" s="1" t="s">
        <v>1028</v>
      </c>
      <c r="B1009" s="2">
        <v>162.0</v>
      </c>
      <c r="C1009" s="4"/>
      <c r="E1009" s="4" t="str">
        <f t="array" ref="E1009">XLOOKUP(proper(A1009),'Fintech, Regulatory Arbitrage, '!A:A,'Fintech, Regulatory Arbitrage, '!C:C,"")</f>
        <v/>
      </c>
    </row>
    <row r="1010">
      <c r="A1010" s="1" t="s">
        <v>1029</v>
      </c>
      <c r="B1010" s="2">
        <v>162.0</v>
      </c>
      <c r="C1010" s="4"/>
      <c r="E1010" s="4" t="str">
        <f t="array" ref="E1010">XLOOKUP(proper(A1010),'Fintech, Regulatory Arbitrage, '!A:A,'Fintech, Regulatory Arbitrage, '!C:C,"")</f>
        <v/>
      </c>
    </row>
    <row r="1011">
      <c r="A1011" s="1" t="s">
        <v>1030</v>
      </c>
      <c r="B1011" s="2">
        <v>161.0</v>
      </c>
      <c r="C1011" s="4"/>
      <c r="E1011" s="4" t="str">
        <f t="array" ref="E1011">XLOOKUP(proper(A1011),'Fintech, Regulatory Arbitrage, '!A:A,'Fintech, Regulatory Arbitrage, '!C:C,"")</f>
        <v/>
      </c>
    </row>
    <row r="1012">
      <c r="A1012" s="1" t="s">
        <v>1031</v>
      </c>
      <c r="B1012" s="2">
        <v>161.0</v>
      </c>
      <c r="C1012" s="4"/>
      <c r="E1012" s="4" t="str">
        <f t="array" ref="E1012">XLOOKUP(proper(A1012),'Fintech, Regulatory Arbitrage, '!A:A,'Fintech, Regulatory Arbitrage, '!C:C,"")</f>
        <v/>
      </c>
    </row>
    <row r="1013">
      <c r="A1013" s="1" t="s">
        <v>1032</v>
      </c>
      <c r="B1013" s="2">
        <v>160.0</v>
      </c>
      <c r="C1013" s="4"/>
      <c r="E1013" s="4" t="str">
        <f t="array" ref="E1013">XLOOKUP(proper(A1013),'Fintech, Regulatory Arbitrage, '!A:A,'Fintech, Regulatory Arbitrage, '!C:C,"")</f>
        <v/>
      </c>
    </row>
    <row r="1014">
      <c r="A1014" s="1" t="s">
        <v>1033</v>
      </c>
      <c r="B1014" s="2">
        <v>160.0</v>
      </c>
      <c r="C1014" s="4"/>
      <c r="E1014" s="4" t="str">
        <f t="array" ref="E1014">XLOOKUP(proper(A1014),'Fintech, Regulatory Arbitrage, '!A:A,'Fintech, Regulatory Arbitrage, '!C:C,"")</f>
        <v/>
      </c>
    </row>
    <row r="1015">
      <c r="A1015" s="1" t="s">
        <v>1034</v>
      </c>
      <c r="B1015" s="2">
        <v>160.0</v>
      </c>
      <c r="C1015" s="4"/>
      <c r="E1015" s="4" t="str">
        <f t="array" ref="E1015">XLOOKUP(proper(A1015),'Fintech, Regulatory Arbitrage, '!A:A,'Fintech, Regulatory Arbitrage, '!C:C,"")</f>
        <v/>
      </c>
    </row>
    <row r="1016">
      <c r="A1016" s="1" t="s">
        <v>1035</v>
      </c>
      <c r="B1016" s="2">
        <v>160.0</v>
      </c>
      <c r="C1016" s="3" t="s">
        <v>12</v>
      </c>
      <c r="E1016" s="4" t="str">
        <f t="array" ref="E1016">XLOOKUP(A1016,'Fintech, Regulatory Arbitrage, '!A:A,'Fintech, Regulatory Arbitrage, '!C:C,"")</f>
        <v/>
      </c>
    </row>
    <row r="1017">
      <c r="A1017" s="1" t="s">
        <v>1036</v>
      </c>
      <c r="B1017" s="2">
        <v>159.0</v>
      </c>
      <c r="C1017" s="4"/>
      <c r="E1017" s="4" t="str">
        <f t="array" ref="E1017">XLOOKUP(A1017,'Fintech, Regulatory Arbitrage, '!A:A,'Fintech, Regulatory Arbitrage, '!C:C,"")</f>
        <v/>
      </c>
    </row>
    <row r="1018">
      <c r="A1018" s="1" t="s">
        <v>1037</v>
      </c>
      <c r="B1018" s="2">
        <v>159.0</v>
      </c>
      <c r="C1018" s="4"/>
      <c r="E1018" s="4" t="str">
        <f t="array" ref="E1018">XLOOKUP(A1018,'Fintech, Regulatory Arbitrage, '!A:A,'Fintech, Regulatory Arbitrage, '!C:C,"")</f>
        <v/>
      </c>
    </row>
    <row r="1019">
      <c r="A1019" s="1" t="s">
        <v>1038</v>
      </c>
      <c r="B1019" s="2">
        <v>159.0</v>
      </c>
      <c r="C1019" s="4"/>
      <c r="E1019" s="4" t="str">
        <f t="array" ref="E1019">XLOOKUP(A1019,'Fintech, Regulatory Arbitrage, '!A:A,'Fintech, Regulatory Arbitrage, '!C:C,"")</f>
        <v/>
      </c>
    </row>
    <row r="1020">
      <c r="A1020" s="1" t="s">
        <v>1039</v>
      </c>
      <c r="B1020" s="2">
        <v>159.0</v>
      </c>
      <c r="C1020" s="4"/>
      <c r="E1020" s="4" t="str">
        <f t="array" ref="E1020">XLOOKUP(A1020,'Fintech, Regulatory Arbitrage, '!A:A,'Fintech, Regulatory Arbitrage, '!C:C,"")</f>
        <v/>
      </c>
    </row>
    <row r="1021">
      <c r="A1021" s="1" t="s">
        <v>1040</v>
      </c>
      <c r="B1021" s="2">
        <v>158.0</v>
      </c>
      <c r="C1021" s="4"/>
      <c r="E1021" s="4" t="str">
        <f t="array" ref="E1021">XLOOKUP(A1021,'Fintech, Regulatory Arbitrage, '!A:A,'Fintech, Regulatory Arbitrage, '!C:C,"")</f>
        <v/>
      </c>
    </row>
    <row r="1022">
      <c r="A1022" s="1" t="s">
        <v>1041</v>
      </c>
      <c r="B1022" s="2">
        <v>158.0</v>
      </c>
      <c r="C1022" s="4"/>
      <c r="E1022" s="4" t="str">
        <f t="array" ref="E1022">XLOOKUP(A1022,'Fintech, Regulatory Arbitrage, '!A:A,'Fintech, Regulatory Arbitrage, '!C:C,"")</f>
        <v/>
      </c>
    </row>
    <row r="1023">
      <c r="A1023" s="1" t="s">
        <v>1042</v>
      </c>
      <c r="B1023" s="2">
        <v>158.0</v>
      </c>
      <c r="C1023" s="4"/>
      <c r="E1023" s="4" t="str">
        <f t="array" ref="E1023">XLOOKUP(A1023,'Fintech, Regulatory Arbitrage, '!A:A,'Fintech, Regulatory Arbitrage, '!C:C,"")</f>
        <v/>
      </c>
    </row>
    <row r="1024">
      <c r="A1024" s="1" t="s">
        <v>1043</v>
      </c>
      <c r="B1024" s="2">
        <v>158.0</v>
      </c>
      <c r="C1024" s="4"/>
      <c r="E1024" s="4" t="str">
        <f t="array" ref="E1024">XLOOKUP(A1024,'Fintech, Regulatory Arbitrage, '!A:A,'Fintech, Regulatory Arbitrage, '!C:C,"")</f>
        <v/>
      </c>
    </row>
    <row r="1025">
      <c r="A1025" s="1" t="s">
        <v>1044</v>
      </c>
      <c r="B1025" s="2">
        <v>158.0</v>
      </c>
      <c r="C1025" s="4"/>
      <c r="E1025" s="4" t="str">
        <f t="array" ref="E1025">XLOOKUP(A1025,'Fintech, Regulatory Arbitrage, '!A:A,'Fintech, Regulatory Arbitrage, '!C:C,"")</f>
        <v/>
      </c>
    </row>
    <row r="1026">
      <c r="A1026" s="1" t="s">
        <v>1045</v>
      </c>
      <c r="B1026" s="2">
        <v>158.0</v>
      </c>
      <c r="C1026" s="4"/>
      <c r="E1026" s="4" t="str">
        <f t="array" ref="E1026">XLOOKUP(A1026,'Fintech, Regulatory Arbitrage, '!A:A,'Fintech, Regulatory Arbitrage, '!C:C,"")</f>
        <v/>
      </c>
    </row>
    <row r="1027">
      <c r="A1027" s="1" t="s">
        <v>1046</v>
      </c>
      <c r="B1027" s="2">
        <v>158.0</v>
      </c>
      <c r="C1027" s="4"/>
      <c r="E1027" s="4" t="str">
        <f t="array" ref="E1027">XLOOKUP(A1027,'Fintech, Regulatory Arbitrage, '!A:A,'Fintech, Regulatory Arbitrage, '!C:C,"")</f>
        <v/>
      </c>
    </row>
    <row r="1028">
      <c r="A1028" s="1" t="s">
        <v>1047</v>
      </c>
      <c r="B1028" s="2">
        <v>157.0</v>
      </c>
      <c r="C1028" s="4"/>
      <c r="E1028" s="4" t="str">
        <f t="array" ref="E1028">XLOOKUP(A1028,'Fintech, Regulatory Arbitrage, '!A:A,'Fintech, Regulatory Arbitrage, '!C:C,"")</f>
        <v/>
      </c>
    </row>
    <row r="1029">
      <c r="A1029" s="1" t="s">
        <v>1048</v>
      </c>
      <c r="B1029" s="2">
        <v>157.0</v>
      </c>
      <c r="C1029" s="4"/>
      <c r="E1029" s="4" t="str">
        <f t="array" ref="E1029">XLOOKUP(A1029,'Fintech, Regulatory Arbitrage, '!A:A,'Fintech, Regulatory Arbitrage, '!C:C,"")</f>
        <v/>
      </c>
    </row>
    <row r="1030">
      <c r="A1030" s="1" t="s">
        <v>1049</v>
      </c>
      <c r="B1030" s="2">
        <v>157.0</v>
      </c>
      <c r="C1030" s="4"/>
      <c r="E1030" s="4" t="str">
        <f t="array" ref="E1030">XLOOKUP(A1030,'Fintech, Regulatory Arbitrage, '!A:A,'Fintech, Regulatory Arbitrage, '!C:C,"")</f>
        <v/>
      </c>
    </row>
    <row r="1031">
      <c r="A1031" s="1" t="s">
        <v>1050</v>
      </c>
      <c r="B1031" s="2">
        <v>157.0</v>
      </c>
      <c r="C1031" s="4"/>
      <c r="E1031" s="4" t="str">
        <f t="array" ref="E1031">XLOOKUP(A1031,'Fintech, Regulatory Arbitrage, '!A:A,'Fintech, Regulatory Arbitrage, '!C:C,"")</f>
        <v/>
      </c>
    </row>
    <row r="1032">
      <c r="A1032" s="1" t="s">
        <v>1051</v>
      </c>
      <c r="B1032" s="2">
        <v>157.0</v>
      </c>
      <c r="C1032" s="4"/>
      <c r="E1032" s="4" t="str">
        <f t="array" ref="E1032">XLOOKUP(A1032,'Fintech, Regulatory Arbitrage, '!A:A,'Fintech, Regulatory Arbitrage, '!C:C,"")</f>
        <v/>
      </c>
    </row>
    <row r="1033">
      <c r="A1033" s="1" t="s">
        <v>1052</v>
      </c>
      <c r="B1033" s="2">
        <v>156.0</v>
      </c>
      <c r="C1033" s="4"/>
      <c r="E1033" s="4" t="str">
        <f t="array" ref="E1033">XLOOKUP(A1033,'Fintech, Regulatory Arbitrage, '!A:A,'Fintech, Regulatory Arbitrage, '!C:C,"")</f>
        <v/>
      </c>
    </row>
    <row r="1034">
      <c r="A1034" s="1" t="s">
        <v>1053</v>
      </c>
      <c r="B1034" s="2">
        <v>156.0</v>
      </c>
      <c r="C1034" s="4"/>
      <c r="E1034" s="4" t="str">
        <f t="array" ref="E1034">XLOOKUP(A1034,'Fintech, Regulatory Arbitrage, '!A:A,'Fintech, Regulatory Arbitrage, '!C:C,"")</f>
        <v/>
      </c>
    </row>
    <row r="1035">
      <c r="A1035" s="1" t="s">
        <v>1054</v>
      </c>
      <c r="B1035" s="2">
        <v>155.0</v>
      </c>
      <c r="C1035" s="4"/>
      <c r="E1035" s="4" t="str">
        <f t="array" ref="E1035">XLOOKUP(A1035,'Fintech, Regulatory Arbitrage, '!A:A,'Fintech, Regulatory Arbitrage, '!C:C,"")</f>
        <v/>
      </c>
    </row>
    <row r="1036">
      <c r="A1036" s="1" t="s">
        <v>1055</v>
      </c>
      <c r="B1036" s="2">
        <v>155.0</v>
      </c>
      <c r="C1036" s="4"/>
      <c r="E1036" s="4" t="str">
        <f t="array" ref="E1036">XLOOKUP(A1036,'Fintech, Regulatory Arbitrage, '!A:A,'Fintech, Regulatory Arbitrage, '!C:C,"")</f>
        <v/>
      </c>
    </row>
    <row r="1037">
      <c r="A1037" s="1" t="s">
        <v>1056</v>
      </c>
      <c r="B1037" s="2">
        <v>155.0</v>
      </c>
      <c r="C1037" s="4"/>
      <c r="E1037" s="4" t="str">
        <f t="array" ref="E1037">XLOOKUP(A1037,'Fintech, Regulatory Arbitrage, '!A:A,'Fintech, Regulatory Arbitrage, '!C:C,"")</f>
        <v/>
      </c>
    </row>
    <row r="1038">
      <c r="A1038" s="1" t="s">
        <v>1057</v>
      </c>
      <c r="B1038" s="2">
        <v>155.0</v>
      </c>
      <c r="C1038" s="4"/>
      <c r="E1038" s="4" t="str">
        <f t="array" ref="E1038">XLOOKUP(A1038,'Fintech, Regulatory Arbitrage, '!A:A,'Fintech, Regulatory Arbitrage, '!C:C,"")</f>
        <v/>
      </c>
    </row>
    <row r="1039">
      <c r="A1039" s="1" t="s">
        <v>1058</v>
      </c>
      <c r="B1039" s="2">
        <v>155.0</v>
      </c>
      <c r="C1039" s="4"/>
      <c r="E1039" s="4" t="str">
        <f t="array" ref="E1039">XLOOKUP(A1039,'Fintech, Regulatory Arbitrage, '!A:A,'Fintech, Regulatory Arbitrage, '!C:C,"")</f>
        <v/>
      </c>
    </row>
    <row r="1040">
      <c r="A1040" s="1" t="s">
        <v>1059</v>
      </c>
      <c r="B1040" s="2">
        <v>155.0</v>
      </c>
      <c r="C1040" s="4"/>
      <c r="E1040" s="4" t="str">
        <f t="array" ref="E1040">XLOOKUP(A1040,'Fintech, Regulatory Arbitrage, '!A:A,'Fintech, Regulatory Arbitrage, '!C:C,"")</f>
        <v/>
      </c>
    </row>
    <row r="1041">
      <c r="A1041" s="1" t="s">
        <v>1060</v>
      </c>
      <c r="B1041" s="2">
        <v>155.0</v>
      </c>
      <c r="C1041" s="4"/>
      <c r="E1041" s="4" t="str">
        <f t="array" ref="E1041">XLOOKUP(A1041,'Fintech, Regulatory Arbitrage, '!A:A,'Fintech, Regulatory Arbitrage, '!C:C,"")</f>
        <v/>
      </c>
    </row>
    <row r="1042">
      <c r="A1042" s="1" t="s">
        <v>1061</v>
      </c>
      <c r="B1042" s="2">
        <v>154.0</v>
      </c>
      <c r="C1042" s="4"/>
      <c r="E1042" s="4" t="str">
        <f t="array" ref="E1042">XLOOKUP(A1042,'Fintech, Regulatory Arbitrage, '!A:A,'Fintech, Regulatory Arbitrage, '!C:C,"")</f>
        <v/>
      </c>
    </row>
    <row r="1043">
      <c r="A1043" s="1" t="s">
        <v>1062</v>
      </c>
      <c r="B1043" s="2">
        <v>154.0</v>
      </c>
      <c r="C1043" s="4"/>
      <c r="E1043" s="4" t="str">
        <f t="array" ref="E1043">XLOOKUP(A1043,'Fintech, Regulatory Arbitrage, '!A:A,'Fintech, Regulatory Arbitrage, '!C:C,"")</f>
        <v/>
      </c>
    </row>
    <row r="1044">
      <c r="A1044" s="1" t="s">
        <v>1063</v>
      </c>
      <c r="B1044" s="2">
        <v>154.0</v>
      </c>
      <c r="C1044" s="4"/>
      <c r="E1044" s="4" t="str">
        <f t="array" ref="E1044">XLOOKUP(A1044,'Fintech, Regulatory Arbitrage, '!A:A,'Fintech, Regulatory Arbitrage, '!C:C,"")</f>
        <v/>
      </c>
    </row>
    <row r="1045">
      <c r="A1045" s="1" t="s">
        <v>1064</v>
      </c>
      <c r="B1045" s="2">
        <v>154.0</v>
      </c>
      <c r="C1045" s="4"/>
      <c r="E1045" s="4" t="str">
        <f t="array" ref="E1045">XLOOKUP(A1045,'Fintech, Regulatory Arbitrage, '!A:A,'Fintech, Regulatory Arbitrage, '!C:C,"")</f>
        <v/>
      </c>
    </row>
    <row r="1046">
      <c r="A1046" s="1" t="s">
        <v>1065</v>
      </c>
      <c r="B1046" s="2">
        <v>153.0</v>
      </c>
      <c r="C1046" s="4"/>
      <c r="E1046" s="4" t="str">
        <f t="array" ref="E1046">XLOOKUP(A1046,'Fintech, Regulatory Arbitrage, '!A:A,'Fintech, Regulatory Arbitrage, '!C:C,"")</f>
        <v/>
      </c>
    </row>
    <row r="1047">
      <c r="A1047" s="1" t="s">
        <v>1066</v>
      </c>
      <c r="B1047" s="2">
        <v>152.0</v>
      </c>
      <c r="C1047" s="4"/>
      <c r="E1047" s="4" t="str">
        <f t="array" ref="E1047">XLOOKUP(A1047,'Fintech, Regulatory Arbitrage, '!A:A,'Fintech, Regulatory Arbitrage, '!C:C,"")</f>
        <v/>
      </c>
    </row>
    <row r="1048">
      <c r="A1048" s="1" t="s">
        <v>1067</v>
      </c>
      <c r="B1048" s="2">
        <v>152.0</v>
      </c>
      <c r="C1048" s="4"/>
      <c r="E1048" s="4" t="str">
        <f t="array" ref="E1048">XLOOKUP(A1048,'Fintech, Regulatory Arbitrage, '!A:A,'Fintech, Regulatory Arbitrage, '!C:C,"")</f>
        <v/>
      </c>
    </row>
    <row r="1049">
      <c r="A1049" s="1" t="s">
        <v>1068</v>
      </c>
      <c r="B1049" s="2">
        <v>151.0</v>
      </c>
      <c r="C1049" s="4"/>
      <c r="E1049" s="4" t="str">
        <f t="array" ref="E1049">XLOOKUP(A1049,'Fintech, Regulatory Arbitrage, '!A:A,'Fintech, Regulatory Arbitrage, '!C:C,"")</f>
        <v/>
      </c>
    </row>
    <row r="1050">
      <c r="A1050" s="1" t="s">
        <v>1069</v>
      </c>
      <c r="B1050" s="2">
        <v>151.0</v>
      </c>
      <c r="C1050" s="4"/>
      <c r="E1050" s="4" t="str">
        <f t="array" ref="E1050">XLOOKUP(A1050,'Fintech, Regulatory Arbitrage, '!A:A,'Fintech, Regulatory Arbitrage, '!C:C,"")</f>
        <v/>
      </c>
    </row>
    <row r="1051">
      <c r="A1051" s="1" t="s">
        <v>1070</v>
      </c>
      <c r="B1051" s="2">
        <v>151.0</v>
      </c>
      <c r="C1051" s="4"/>
      <c r="E1051" s="4" t="str">
        <f t="array" ref="E1051">XLOOKUP(A1051,'Fintech, Regulatory Arbitrage, '!A:A,'Fintech, Regulatory Arbitrage, '!C:C,"")</f>
        <v/>
      </c>
    </row>
    <row r="1052">
      <c r="A1052" s="1" t="s">
        <v>1071</v>
      </c>
      <c r="B1052" s="2">
        <v>151.0</v>
      </c>
      <c r="C1052" s="4"/>
      <c r="E1052" s="4" t="str">
        <f t="array" ref="E1052">XLOOKUP(A1052,'Fintech, Regulatory Arbitrage, '!A:A,'Fintech, Regulatory Arbitrage, '!C:C,"")</f>
        <v/>
      </c>
    </row>
    <row r="1053">
      <c r="A1053" s="1" t="s">
        <v>1072</v>
      </c>
      <c r="B1053" s="2">
        <v>151.0</v>
      </c>
      <c r="C1053" s="4"/>
      <c r="E1053" s="4" t="str">
        <f t="array" ref="E1053">XLOOKUP(A1053,'Fintech, Regulatory Arbitrage, '!A:A,'Fintech, Regulatory Arbitrage, '!C:C,"")</f>
        <v/>
      </c>
    </row>
    <row r="1054">
      <c r="A1054" s="1" t="s">
        <v>1073</v>
      </c>
      <c r="B1054" s="2">
        <v>151.0</v>
      </c>
      <c r="C1054" s="4"/>
      <c r="E1054" s="4" t="str">
        <f t="array" ref="E1054">XLOOKUP(A1054,'Fintech, Regulatory Arbitrage, '!A:A,'Fintech, Regulatory Arbitrage, '!C:C,"")</f>
        <v/>
      </c>
    </row>
    <row r="1055">
      <c r="A1055" s="1" t="s">
        <v>1074</v>
      </c>
      <c r="B1055" s="2">
        <v>150.0</v>
      </c>
      <c r="C1055" s="4"/>
      <c r="E1055" s="4" t="str">
        <f t="array" ref="E1055">XLOOKUP(A1055,'Fintech, Regulatory Arbitrage, '!A:A,'Fintech, Regulatory Arbitrage, '!C:C,"")</f>
        <v/>
      </c>
    </row>
    <row r="1056">
      <c r="A1056" s="1" t="s">
        <v>1075</v>
      </c>
      <c r="B1056" s="2">
        <v>149.0</v>
      </c>
      <c r="C1056" s="4"/>
      <c r="E1056" s="4" t="str">
        <f t="array" ref="E1056">XLOOKUP(A1056,'Fintech, Regulatory Arbitrage, '!A:A,'Fintech, Regulatory Arbitrage, '!C:C,"")</f>
        <v/>
      </c>
    </row>
    <row r="1057">
      <c r="A1057" s="1" t="s">
        <v>1076</v>
      </c>
      <c r="B1057" s="2">
        <v>149.0</v>
      </c>
      <c r="C1057" s="4"/>
      <c r="E1057" s="4" t="str">
        <f t="array" ref="E1057">XLOOKUP(A1057,'Fintech, Regulatory Arbitrage, '!A:A,'Fintech, Regulatory Arbitrage, '!C:C,"")</f>
        <v/>
      </c>
    </row>
    <row r="1058">
      <c r="A1058" s="1" t="s">
        <v>1077</v>
      </c>
      <c r="B1058" s="2">
        <v>149.0</v>
      </c>
      <c r="C1058" s="4"/>
      <c r="E1058" s="4" t="str">
        <f t="array" ref="E1058">XLOOKUP(A1058,'Fintech, Regulatory Arbitrage, '!A:A,'Fintech, Regulatory Arbitrage, '!C:C,"")</f>
        <v/>
      </c>
    </row>
    <row r="1059">
      <c r="A1059" s="1" t="s">
        <v>1078</v>
      </c>
      <c r="B1059" s="2">
        <v>149.0</v>
      </c>
      <c r="C1059" s="4"/>
      <c r="E1059" s="4" t="str">
        <f t="array" ref="E1059">XLOOKUP(A1059,'Fintech, Regulatory Arbitrage, '!A:A,'Fintech, Regulatory Arbitrage, '!C:C,"")</f>
        <v/>
      </c>
    </row>
    <row r="1060">
      <c r="A1060" s="1" t="s">
        <v>1079</v>
      </c>
      <c r="B1060" s="2">
        <v>148.0</v>
      </c>
      <c r="C1060" s="4"/>
      <c r="E1060" s="4" t="str">
        <f t="array" ref="E1060">XLOOKUP(A1060,'Fintech, Regulatory Arbitrage, '!A:A,'Fintech, Regulatory Arbitrage, '!C:C,"")</f>
        <v/>
      </c>
    </row>
    <row r="1061">
      <c r="A1061" s="1" t="s">
        <v>1080</v>
      </c>
      <c r="B1061" s="2">
        <v>148.0</v>
      </c>
      <c r="C1061" s="4"/>
      <c r="E1061" s="4" t="str">
        <f t="array" ref="E1061">XLOOKUP(A1061,'Fintech, Regulatory Arbitrage, '!A:A,'Fintech, Regulatory Arbitrage, '!C:C,"")</f>
        <v/>
      </c>
    </row>
    <row r="1062">
      <c r="A1062" s="1" t="s">
        <v>1081</v>
      </c>
      <c r="B1062" s="2">
        <v>148.0</v>
      </c>
      <c r="C1062" s="4"/>
      <c r="E1062" s="4" t="str">
        <f t="array" ref="E1062">XLOOKUP(A1062,'Fintech, Regulatory Arbitrage, '!A:A,'Fintech, Regulatory Arbitrage, '!C:C,"")</f>
        <v/>
      </c>
    </row>
    <row r="1063">
      <c r="A1063" s="1" t="s">
        <v>1082</v>
      </c>
      <c r="B1063" s="2">
        <v>147.0</v>
      </c>
      <c r="C1063" s="4"/>
      <c r="E1063" s="4" t="str">
        <f t="array" ref="E1063">XLOOKUP(A1063,'Fintech, Regulatory Arbitrage, '!A:A,'Fintech, Regulatory Arbitrage, '!C:C,"")</f>
        <v/>
      </c>
    </row>
    <row r="1064">
      <c r="A1064" s="1" t="s">
        <v>1083</v>
      </c>
      <c r="B1064" s="2">
        <v>147.0</v>
      </c>
      <c r="C1064" s="4"/>
      <c r="E1064" s="4" t="str">
        <f t="array" ref="E1064">XLOOKUP(A1064,'Fintech, Regulatory Arbitrage, '!A:A,'Fintech, Regulatory Arbitrage, '!C:C,"")</f>
        <v/>
      </c>
    </row>
    <row r="1065">
      <c r="A1065" s="1" t="s">
        <v>1084</v>
      </c>
      <c r="B1065" s="2">
        <v>147.0</v>
      </c>
      <c r="C1065" s="4"/>
      <c r="E1065" s="4" t="str">
        <f t="array" ref="E1065">XLOOKUP(A1065,'Fintech, Regulatory Arbitrage, '!A:A,'Fintech, Regulatory Arbitrage, '!C:C,"")</f>
        <v/>
      </c>
    </row>
    <row r="1066">
      <c r="A1066" s="1" t="s">
        <v>1085</v>
      </c>
      <c r="B1066" s="2">
        <v>147.0</v>
      </c>
      <c r="C1066" s="4"/>
      <c r="E1066" s="4" t="str">
        <f t="array" ref="E1066">XLOOKUP(A1066,'Fintech, Regulatory Arbitrage, '!A:A,'Fintech, Regulatory Arbitrage, '!C:C,"")</f>
        <v/>
      </c>
    </row>
    <row r="1067">
      <c r="A1067" s="1" t="s">
        <v>1086</v>
      </c>
      <c r="B1067" s="2">
        <v>146.0</v>
      </c>
      <c r="C1067" s="4"/>
      <c r="E1067" s="4" t="str">
        <f t="array" ref="E1067">XLOOKUP(A1067,'Fintech, Regulatory Arbitrage, '!A:A,'Fintech, Regulatory Arbitrage, '!C:C,"")</f>
        <v/>
      </c>
    </row>
    <row r="1068">
      <c r="A1068" s="1" t="s">
        <v>1087</v>
      </c>
      <c r="B1068" s="2">
        <v>146.0</v>
      </c>
      <c r="C1068" s="4"/>
      <c r="E1068" s="4" t="str">
        <f t="array" ref="E1068">XLOOKUP(A1068,'Fintech, Regulatory Arbitrage, '!A:A,'Fintech, Regulatory Arbitrage, '!C:C,"")</f>
        <v/>
      </c>
    </row>
    <row r="1069">
      <c r="A1069" s="1" t="s">
        <v>1088</v>
      </c>
      <c r="B1069" s="2">
        <v>146.0</v>
      </c>
      <c r="C1069" s="4"/>
      <c r="E1069" s="4" t="str">
        <f t="array" ref="E1069">XLOOKUP(A1069,'Fintech, Regulatory Arbitrage, '!A:A,'Fintech, Regulatory Arbitrage, '!C:C,"")</f>
        <v/>
      </c>
    </row>
    <row r="1070">
      <c r="A1070" s="1" t="s">
        <v>1089</v>
      </c>
      <c r="B1070" s="2">
        <v>145.0</v>
      </c>
      <c r="C1070" s="4"/>
      <c r="E1070" s="4" t="str">
        <f t="array" ref="E1070">XLOOKUP(A1070,'Fintech, Regulatory Arbitrage, '!A:A,'Fintech, Regulatory Arbitrage, '!C:C,"")</f>
        <v/>
      </c>
    </row>
    <row r="1071">
      <c r="A1071" s="1" t="s">
        <v>1090</v>
      </c>
      <c r="B1071" s="2">
        <v>145.0</v>
      </c>
      <c r="C1071" s="4"/>
      <c r="E1071" s="4" t="str">
        <f t="array" ref="E1071">XLOOKUP(A1071,'Fintech, Regulatory Arbitrage, '!A:A,'Fintech, Regulatory Arbitrage, '!C:C,"")</f>
        <v>Non-Fintech</v>
      </c>
    </row>
    <row r="1072">
      <c r="A1072" s="1" t="s">
        <v>1091</v>
      </c>
      <c r="B1072" s="2">
        <v>145.0</v>
      </c>
      <c r="C1072" s="4"/>
      <c r="E1072" s="4" t="str">
        <f t="array" ref="E1072">XLOOKUP(A1072,'Fintech, Regulatory Arbitrage, '!A:A,'Fintech, Regulatory Arbitrage, '!C:C,"")</f>
        <v/>
      </c>
    </row>
    <row r="1073">
      <c r="A1073" s="1" t="s">
        <v>1092</v>
      </c>
      <c r="B1073" s="2">
        <v>145.0</v>
      </c>
      <c r="C1073" s="4"/>
      <c r="E1073" s="4" t="str">
        <f t="array" ref="E1073">XLOOKUP(A1073,'Fintech, Regulatory Arbitrage, '!A:A,'Fintech, Regulatory Arbitrage, '!C:C,"")</f>
        <v/>
      </c>
    </row>
    <row r="1074">
      <c r="A1074" s="1" t="s">
        <v>1093</v>
      </c>
      <c r="B1074" s="2">
        <v>145.0</v>
      </c>
      <c r="C1074" s="4"/>
      <c r="E1074" s="4" t="str">
        <f t="array" ref="E1074">XLOOKUP(A1074,'Fintech, Regulatory Arbitrage, '!A:A,'Fintech, Regulatory Arbitrage, '!C:C,"")</f>
        <v/>
      </c>
    </row>
    <row r="1075">
      <c r="A1075" s="1" t="s">
        <v>1094</v>
      </c>
      <c r="B1075" s="2">
        <v>145.0</v>
      </c>
      <c r="C1075" s="4"/>
      <c r="E1075" s="4" t="str">
        <f t="array" ref="E1075">XLOOKUP(A1075,'Fintech, Regulatory Arbitrage, '!A:A,'Fintech, Regulatory Arbitrage, '!C:C,"")</f>
        <v/>
      </c>
    </row>
    <row r="1076">
      <c r="A1076" s="1" t="s">
        <v>1095</v>
      </c>
      <c r="B1076" s="2">
        <v>145.0</v>
      </c>
      <c r="C1076" s="4"/>
      <c r="E1076" s="4" t="str">
        <f t="array" ref="E1076">XLOOKUP(A1076,'Fintech, Regulatory Arbitrage, '!A:A,'Fintech, Regulatory Arbitrage, '!C:C,"")</f>
        <v/>
      </c>
    </row>
    <row r="1077">
      <c r="A1077" s="1" t="s">
        <v>1096</v>
      </c>
      <c r="B1077" s="2">
        <v>144.0</v>
      </c>
      <c r="C1077" s="4"/>
      <c r="E1077" s="4" t="str">
        <f t="array" ref="E1077">XLOOKUP(A1077,'Fintech, Regulatory Arbitrage, '!A:A,'Fintech, Regulatory Arbitrage, '!C:C,"")</f>
        <v/>
      </c>
    </row>
    <row r="1078">
      <c r="A1078" s="1" t="s">
        <v>1097</v>
      </c>
      <c r="B1078" s="2">
        <v>144.0</v>
      </c>
      <c r="C1078" s="4"/>
      <c r="E1078" s="4" t="str">
        <f t="array" ref="E1078">XLOOKUP(A1078,'Fintech, Regulatory Arbitrage, '!A:A,'Fintech, Regulatory Arbitrage, '!C:C,"")</f>
        <v/>
      </c>
    </row>
    <row r="1079">
      <c r="A1079" s="1" t="s">
        <v>1098</v>
      </c>
      <c r="B1079" s="2">
        <v>144.0</v>
      </c>
      <c r="C1079" s="4"/>
      <c r="E1079" s="4" t="str">
        <f t="array" ref="E1079">XLOOKUP(A1079,'Fintech, Regulatory Arbitrage, '!A:A,'Fintech, Regulatory Arbitrage, '!C:C,"")</f>
        <v/>
      </c>
    </row>
    <row r="1080">
      <c r="A1080" s="1" t="s">
        <v>1099</v>
      </c>
      <c r="B1080" s="2">
        <v>143.0</v>
      </c>
      <c r="C1080" s="4"/>
      <c r="E1080" s="4" t="str">
        <f t="array" ref="E1080">XLOOKUP(A1080,'Fintech, Regulatory Arbitrage, '!A:A,'Fintech, Regulatory Arbitrage, '!C:C,"")</f>
        <v/>
      </c>
    </row>
    <row r="1081">
      <c r="A1081" s="1" t="s">
        <v>1100</v>
      </c>
      <c r="B1081" s="2">
        <v>143.0</v>
      </c>
      <c r="C1081" s="4"/>
      <c r="E1081" s="4" t="str">
        <f t="array" ref="E1081">XLOOKUP(A1081,'Fintech, Regulatory Arbitrage, '!A:A,'Fintech, Regulatory Arbitrage, '!C:C,"")</f>
        <v/>
      </c>
    </row>
    <row r="1082">
      <c r="A1082" s="1" t="s">
        <v>1101</v>
      </c>
      <c r="B1082" s="2">
        <v>143.0</v>
      </c>
      <c r="C1082" s="4"/>
      <c r="E1082" s="4" t="str">
        <f t="array" ref="E1082">XLOOKUP(A1082,'Fintech, Regulatory Arbitrage, '!A:A,'Fintech, Regulatory Arbitrage, '!C:C,"")</f>
        <v/>
      </c>
    </row>
    <row r="1083">
      <c r="A1083" s="1" t="s">
        <v>1102</v>
      </c>
      <c r="B1083" s="2">
        <v>143.0</v>
      </c>
      <c r="C1083" s="4"/>
      <c r="E1083" s="4" t="str">
        <f t="array" ref="E1083">XLOOKUP(A1083,'Fintech, Regulatory Arbitrage, '!A:A,'Fintech, Regulatory Arbitrage, '!C:C,"")</f>
        <v/>
      </c>
    </row>
    <row r="1084">
      <c r="A1084" s="1" t="s">
        <v>1103</v>
      </c>
      <c r="B1084" s="2">
        <v>142.0</v>
      </c>
      <c r="C1084" s="4"/>
      <c r="E1084" s="4" t="str">
        <f t="array" ref="E1084">XLOOKUP(A1084,'Fintech, Regulatory Arbitrage, '!A:A,'Fintech, Regulatory Arbitrage, '!C:C,"")</f>
        <v/>
      </c>
    </row>
    <row r="1085">
      <c r="A1085" s="1" t="s">
        <v>1104</v>
      </c>
      <c r="B1085" s="2">
        <v>142.0</v>
      </c>
      <c r="C1085" s="4"/>
      <c r="E1085" s="4" t="str">
        <f t="array" ref="E1085">XLOOKUP(A1085,'Fintech, Regulatory Arbitrage, '!A:A,'Fintech, Regulatory Arbitrage, '!C:C,"")</f>
        <v/>
      </c>
    </row>
    <row r="1086">
      <c r="A1086" s="1" t="s">
        <v>1105</v>
      </c>
      <c r="B1086" s="2">
        <v>142.0</v>
      </c>
      <c r="C1086" s="4"/>
      <c r="E1086" s="4" t="str">
        <f t="array" ref="E1086">XLOOKUP(A1086,'Fintech, Regulatory Arbitrage, '!A:A,'Fintech, Regulatory Arbitrage, '!C:C,"")</f>
        <v/>
      </c>
    </row>
    <row r="1087">
      <c r="A1087" s="1" t="s">
        <v>1106</v>
      </c>
      <c r="B1087" s="2">
        <v>141.0</v>
      </c>
      <c r="C1087" s="4"/>
      <c r="E1087" s="4" t="str">
        <f t="array" ref="E1087">XLOOKUP(A1087,'Fintech, Regulatory Arbitrage, '!A:A,'Fintech, Regulatory Arbitrage, '!C:C,"")</f>
        <v/>
      </c>
    </row>
    <row r="1088">
      <c r="A1088" s="1" t="s">
        <v>1107</v>
      </c>
      <c r="B1088" s="2">
        <v>141.0</v>
      </c>
      <c r="C1088" s="4"/>
      <c r="E1088" s="4" t="str">
        <f t="array" ref="E1088">XLOOKUP(A1088,'Fintech, Regulatory Arbitrage, '!A:A,'Fintech, Regulatory Arbitrage, '!C:C,"")</f>
        <v/>
      </c>
    </row>
    <row r="1089">
      <c r="A1089" s="1" t="s">
        <v>1108</v>
      </c>
      <c r="B1089" s="2">
        <v>141.0</v>
      </c>
      <c r="C1089" s="4"/>
      <c r="E1089" s="4" t="str">
        <f t="array" ref="E1089">XLOOKUP(A1089,'Fintech, Regulatory Arbitrage, '!A:A,'Fintech, Regulatory Arbitrage, '!C:C,"")</f>
        <v/>
      </c>
    </row>
    <row r="1090">
      <c r="A1090" s="1" t="s">
        <v>1109</v>
      </c>
      <c r="B1090" s="2">
        <v>140.0</v>
      </c>
      <c r="C1090" s="4"/>
      <c r="E1090" s="4" t="str">
        <f t="array" ref="E1090">XLOOKUP(A1090,'Fintech, Regulatory Arbitrage, '!A:A,'Fintech, Regulatory Arbitrage, '!C:C,"")</f>
        <v/>
      </c>
    </row>
    <row r="1091">
      <c r="A1091" s="1" t="s">
        <v>1110</v>
      </c>
      <c r="B1091" s="2">
        <v>140.0</v>
      </c>
      <c r="C1091" s="4"/>
      <c r="E1091" s="4" t="str">
        <f t="array" ref="E1091">XLOOKUP(A1091,'Fintech, Regulatory Arbitrage, '!A:A,'Fintech, Regulatory Arbitrage, '!C:C,"")</f>
        <v/>
      </c>
    </row>
    <row r="1092">
      <c r="A1092" s="1" t="s">
        <v>1111</v>
      </c>
      <c r="B1092" s="2">
        <v>139.0</v>
      </c>
      <c r="C1092" s="4"/>
      <c r="E1092" s="4" t="str">
        <f t="array" ref="E1092">XLOOKUP(A1092,'Fintech, Regulatory Arbitrage, '!A:A,'Fintech, Regulatory Arbitrage, '!C:C,"")</f>
        <v/>
      </c>
    </row>
    <row r="1093">
      <c r="A1093" s="1" t="s">
        <v>1112</v>
      </c>
      <c r="B1093" s="2">
        <v>139.0</v>
      </c>
      <c r="C1093" s="4"/>
      <c r="E1093" s="4" t="str">
        <f t="array" ref="E1093">XLOOKUP(A1093,'Fintech, Regulatory Arbitrage, '!A:A,'Fintech, Regulatory Arbitrage, '!C:C,"")</f>
        <v/>
      </c>
    </row>
    <row r="1094">
      <c r="A1094" s="1" t="s">
        <v>1113</v>
      </c>
      <c r="B1094" s="2">
        <v>139.0</v>
      </c>
      <c r="C1094" s="4"/>
      <c r="E1094" s="4" t="str">
        <f t="array" ref="E1094">XLOOKUP(A1094,'Fintech, Regulatory Arbitrage, '!A:A,'Fintech, Regulatory Arbitrage, '!C:C,"")</f>
        <v/>
      </c>
    </row>
    <row r="1095">
      <c r="A1095" s="1" t="s">
        <v>1114</v>
      </c>
      <c r="B1095" s="2">
        <v>138.0</v>
      </c>
      <c r="C1095" s="4"/>
      <c r="E1095" s="4" t="str">
        <f t="array" ref="E1095">XLOOKUP(A1095,'Fintech, Regulatory Arbitrage, '!A:A,'Fintech, Regulatory Arbitrage, '!C:C,"")</f>
        <v/>
      </c>
    </row>
    <row r="1096">
      <c r="A1096" s="1" t="s">
        <v>1115</v>
      </c>
      <c r="B1096" s="2">
        <v>138.0</v>
      </c>
      <c r="C1096" s="4"/>
      <c r="E1096" s="4" t="str">
        <f t="array" ref="E1096">XLOOKUP(A1096,'Fintech, Regulatory Arbitrage, '!A:A,'Fintech, Regulatory Arbitrage, '!C:C,"")</f>
        <v/>
      </c>
    </row>
    <row r="1097">
      <c r="A1097" s="1" t="s">
        <v>1116</v>
      </c>
      <c r="B1097" s="2">
        <v>137.0</v>
      </c>
      <c r="C1097" s="4"/>
      <c r="E1097" s="4" t="str">
        <f t="array" ref="E1097">XLOOKUP(A1097,'Fintech, Regulatory Arbitrage, '!A:A,'Fintech, Regulatory Arbitrage, '!C:C,"")</f>
        <v/>
      </c>
    </row>
    <row r="1098">
      <c r="A1098" s="1" t="s">
        <v>1117</v>
      </c>
      <c r="B1098" s="2">
        <v>137.0</v>
      </c>
      <c r="C1098" s="4"/>
      <c r="E1098" s="4" t="str">
        <f t="array" ref="E1098">XLOOKUP(A1098,'Fintech, Regulatory Arbitrage, '!A:A,'Fintech, Regulatory Arbitrage, '!C:C,"")</f>
        <v/>
      </c>
    </row>
    <row r="1099">
      <c r="A1099" s="1" t="s">
        <v>1118</v>
      </c>
      <c r="B1099" s="2">
        <v>136.0</v>
      </c>
      <c r="C1099" s="4"/>
      <c r="E1099" s="4" t="str">
        <f t="array" ref="E1099">XLOOKUP(A1099,'Fintech, Regulatory Arbitrage, '!A:A,'Fintech, Regulatory Arbitrage, '!C:C,"")</f>
        <v/>
      </c>
    </row>
    <row r="1100">
      <c r="A1100" s="1" t="s">
        <v>1119</v>
      </c>
      <c r="B1100" s="2">
        <v>136.0</v>
      </c>
      <c r="C1100" s="4"/>
      <c r="E1100" s="4" t="str">
        <f t="array" ref="E1100">XLOOKUP(A1100,'Fintech, Regulatory Arbitrage, '!A:A,'Fintech, Regulatory Arbitrage, '!C:C,"")</f>
        <v/>
      </c>
    </row>
    <row r="1101">
      <c r="A1101" s="1" t="s">
        <v>1120</v>
      </c>
      <c r="B1101" s="2">
        <v>136.0</v>
      </c>
      <c r="C1101" s="4"/>
      <c r="E1101" s="4" t="str">
        <f t="array" ref="E1101">XLOOKUP(A1101,'Fintech, Regulatory Arbitrage, '!A:A,'Fintech, Regulatory Arbitrage, '!C:C,"")</f>
        <v/>
      </c>
    </row>
    <row r="1102">
      <c r="A1102" s="1" t="s">
        <v>1121</v>
      </c>
      <c r="B1102" s="2">
        <v>136.0</v>
      </c>
      <c r="C1102" s="4"/>
      <c r="E1102" s="4" t="str">
        <f t="array" ref="E1102">XLOOKUP(A1102,'Fintech, Regulatory Arbitrage, '!A:A,'Fintech, Regulatory Arbitrage, '!C:C,"")</f>
        <v/>
      </c>
    </row>
    <row r="1103">
      <c r="A1103" s="1" t="s">
        <v>1122</v>
      </c>
      <c r="B1103" s="2">
        <v>136.0</v>
      </c>
      <c r="C1103" s="4"/>
      <c r="E1103" s="4" t="str">
        <f t="array" ref="E1103">XLOOKUP(A1103,'Fintech, Regulatory Arbitrage, '!A:A,'Fintech, Regulatory Arbitrage, '!C:C,"")</f>
        <v/>
      </c>
    </row>
    <row r="1104">
      <c r="A1104" s="1" t="s">
        <v>1123</v>
      </c>
      <c r="B1104" s="2">
        <v>136.0</v>
      </c>
      <c r="C1104" s="4"/>
      <c r="E1104" s="4" t="str">
        <f t="array" ref="E1104">XLOOKUP(A1104,'Fintech, Regulatory Arbitrage, '!A:A,'Fintech, Regulatory Arbitrage, '!C:C,"")</f>
        <v/>
      </c>
    </row>
    <row r="1105">
      <c r="A1105" s="1" t="s">
        <v>1124</v>
      </c>
      <c r="B1105" s="2">
        <v>136.0</v>
      </c>
      <c r="C1105" s="3" t="s">
        <v>12</v>
      </c>
      <c r="E1105" s="4" t="str">
        <f t="array" ref="E1105">XLOOKUP(A1105,'Fintech, Regulatory Arbitrage, '!A:A,'Fintech, Regulatory Arbitrage, '!C:C,"")</f>
        <v>Non-Fintech</v>
      </c>
    </row>
    <row r="1106">
      <c r="A1106" s="1" t="s">
        <v>1125</v>
      </c>
      <c r="B1106" s="2">
        <v>135.0</v>
      </c>
      <c r="C1106" s="4"/>
      <c r="E1106" s="4" t="str">
        <f t="array" ref="E1106">XLOOKUP(A1106,'Fintech, Regulatory Arbitrage, '!A:A,'Fintech, Regulatory Arbitrage, '!C:C,"")</f>
        <v/>
      </c>
    </row>
    <row r="1107">
      <c r="A1107" s="1" t="s">
        <v>1126</v>
      </c>
      <c r="B1107" s="2">
        <v>135.0</v>
      </c>
      <c r="C1107" s="4"/>
      <c r="E1107" s="4" t="str">
        <f t="array" ref="E1107">XLOOKUP(A1107,'Fintech, Regulatory Arbitrage, '!A:A,'Fintech, Regulatory Arbitrage, '!C:C,"")</f>
        <v/>
      </c>
    </row>
    <row r="1108">
      <c r="A1108" s="1" t="s">
        <v>1127</v>
      </c>
      <c r="B1108" s="2">
        <v>135.0</v>
      </c>
      <c r="C1108" s="4"/>
      <c r="E1108" s="4" t="str">
        <f t="array" ref="E1108">XLOOKUP(A1108,'Fintech, Regulatory Arbitrage, '!A:A,'Fintech, Regulatory Arbitrage, '!C:C,"")</f>
        <v/>
      </c>
    </row>
    <row r="1109">
      <c r="A1109" s="1" t="s">
        <v>1128</v>
      </c>
      <c r="B1109" s="2">
        <v>134.0</v>
      </c>
      <c r="C1109" s="4"/>
      <c r="E1109" s="4" t="str">
        <f t="array" ref="E1109">XLOOKUP(A1109,'Fintech, Regulatory Arbitrage, '!A:A,'Fintech, Regulatory Arbitrage, '!C:C,"")</f>
        <v/>
      </c>
    </row>
    <row r="1110">
      <c r="A1110" s="1" t="s">
        <v>1129</v>
      </c>
      <c r="B1110" s="2">
        <v>134.0</v>
      </c>
      <c r="C1110" s="4"/>
      <c r="E1110" s="4" t="str">
        <f t="array" ref="E1110">XLOOKUP(A1110,'Fintech, Regulatory Arbitrage, '!A:A,'Fintech, Regulatory Arbitrage, '!C:C,"")</f>
        <v/>
      </c>
    </row>
    <row r="1111">
      <c r="A1111" s="1" t="s">
        <v>1130</v>
      </c>
      <c r="B1111" s="2">
        <v>134.0</v>
      </c>
      <c r="C1111" s="4"/>
      <c r="E1111" s="4" t="str">
        <f t="array" ref="E1111">XLOOKUP(A1111,'Fintech, Regulatory Arbitrage, '!A:A,'Fintech, Regulatory Arbitrage, '!C:C,"")</f>
        <v/>
      </c>
    </row>
    <row r="1112">
      <c r="A1112" s="1" t="s">
        <v>1131</v>
      </c>
      <c r="B1112" s="2">
        <v>134.0</v>
      </c>
      <c r="C1112" s="4"/>
      <c r="E1112" s="4" t="str">
        <f t="array" ref="E1112">XLOOKUP(A1112,'Fintech, Regulatory Arbitrage, '!A:A,'Fintech, Regulatory Arbitrage, '!C:C,"")</f>
        <v/>
      </c>
    </row>
    <row r="1113">
      <c r="A1113" s="1" t="s">
        <v>1132</v>
      </c>
      <c r="B1113" s="2">
        <v>133.0</v>
      </c>
      <c r="C1113" s="4"/>
      <c r="E1113" s="4" t="str">
        <f t="array" ref="E1113">XLOOKUP(A1113,'Fintech, Regulatory Arbitrage, '!A:A,'Fintech, Regulatory Arbitrage, '!C:C,"")</f>
        <v/>
      </c>
    </row>
    <row r="1114">
      <c r="A1114" s="1" t="s">
        <v>1133</v>
      </c>
      <c r="B1114" s="2">
        <v>133.0</v>
      </c>
      <c r="C1114" s="4"/>
      <c r="E1114" s="4" t="str">
        <f t="array" ref="E1114">XLOOKUP(A1114,'Fintech, Regulatory Arbitrage, '!A:A,'Fintech, Regulatory Arbitrage, '!C:C,"")</f>
        <v/>
      </c>
    </row>
    <row r="1115">
      <c r="A1115" s="1" t="s">
        <v>1134</v>
      </c>
      <c r="B1115" s="2">
        <v>133.0</v>
      </c>
      <c r="C1115" s="4"/>
      <c r="E1115" s="4" t="str">
        <f t="array" ref="E1115">XLOOKUP(A1115,'Fintech, Regulatory Arbitrage, '!A:A,'Fintech, Regulatory Arbitrage, '!C:C,"")</f>
        <v/>
      </c>
    </row>
    <row r="1116">
      <c r="A1116" s="1" t="s">
        <v>1135</v>
      </c>
      <c r="B1116" s="2">
        <v>133.0</v>
      </c>
      <c r="C1116" s="4"/>
      <c r="E1116" s="4" t="str">
        <f t="array" ref="E1116">XLOOKUP(A1116,'Fintech, Regulatory Arbitrage, '!A:A,'Fintech, Regulatory Arbitrage, '!C:C,"")</f>
        <v/>
      </c>
    </row>
    <row r="1117">
      <c r="A1117" s="1" t="s">
        <v>1136</v>
      </c>
      <c r="B1117" s="2">
        <v>133.0</v>
      </c>
      <c r="C1117" s="4"/>
      <c r="E1117" s="4" t="str">
        <f t="array" ref="E1117">XLOOKUP(A1117,'Fintech, Regulatory Arbitrage, '!A:A,'Fintech, Regulatory Arbitrage, '!C:C,"")</f>
        <v/>
      </c>
    </row>
    <row r="1118">
      <c r="A1118" s="1" t="s">
        <v>1137</v>
      </c>
      <c r="B1118" s="2">
        <v>133.0</v>
      </c>
      <c r="C1118" s="4"/>
      <c r="E1118" s="4" t="str">
        <f t="array" ref="E1118">XLOOKUP(A1118,'Fintech, Regulatory Arbitrage, '!A:A,'Fintech, Regulatory Arbitrage, '!C:C,"")</f>
        <v/>
      </c>
    </row>
    <row r="1119">
      <c r="A1119" s="1" t="s">
        <v>1138</v>
      </c>
      <c r="B1119" s="2">
        <v>133.0</v>
      </c>
      <c r="C1119" s="4"/>
      <c r="E1119" s="4" t="str">
        <f t="array" ref="E1119">XLOOKUP(A1119,'Fintech, Regulatory Arbitrage, '!A:A,'Fintech, Regulatory Arbitrage, '!C:C,"")</f>
        <v/>
      </c>
    </row>
    <row r="1120">
      <c r="A1120" s="1" t="s">
        <v>1139</v>
      </c>
      <c r="B1120" s="2">
        <v>133.0</v>
      </c>
      <c r="C1120" s="4"/>
      <c r="E1120" s="4" t="str">
        <f t="array" ref="E1120">XLOOKUP(A1120,'Fintech, Regulatory Arbitrage, '!A:A,'Fintech, Regulatory Arbitrage, '!C:C,"")</f>
        <v/>
      </c>
    </row>
    <row r="1121">
      <c r="A1121" s="1" t="s">
        <v>1140</v>
      </c>
      <c r="B1121" s="2">
        <v>132.0</v>
      </c>
      <c r="C1121" s="4"/>
      <c r="E1121" s="4" t="str">
        <f t="array" ref="E1121">XLOOKUP(A1121,'Fintech, Regulatory Arbitrage, '!A:A,'Fintech, Regulatory Arbitrage, '!C:C,"")</f>
        <v/>
      </c>
    </row>
    <row r="1122">
      <c r="A1122" s="1" t="s">
        <v>1141</v>
      </c>
      <c r="B1122" s="2">
        <v>132.0</v>
      </c>
      <c r="C1122" s="4"/>
      <c r="E1122" s="4" t="str">
        <f t="array" ref="E1122">XLOOKUP(A1122,'Fintech, Regulatory Arbitrage, '!A:A,'Fintech, Regulatory Arbitrage, '!C:C,"")</f>
        <v/>
      </c>
    </row>
    <row r="1123">
      <c r="A1123" s="1" t="s">
        <v>1142</v>
      </c>
      <c r="B1123" s="2">
        <v>132.0</v>
      </c>
      <c r="C1123" s="4"/>
      <c r="E1123" s="4" t="str">
        <f t="array" ref="E1123">XLOOKUP(A1123,'Fintech, Regulatory Arbitrage, '!A:A,'Fintech, Regulatory Arbitrage, '!C:C,"")</f>
        <v/>
      </c>
    </row>
    <row r="1124">
      <c r="A1124" s="1" t="s">
        <v>1143</v>
      </c>
      <c r="B1124" s="2">
        <v>132.0</v>
      </c>
      <c r="C1124" s="4"/>
      <c r="E1124" s="4" t="str">
        <f t="array" ref="E1124">XLOOKUP(A1124,'Fintech, Regulatory Arbitrage, '!A:A,'Fintech, Regulatory Arbitrage, '!C:C,"")</f>
        <v/>
      </c>
    </row>
    <row r="1125">
      <c r="A1125" s="1" t="s">
        <v>1144</v>
      </c>
      <c r="B1125" s="2">
        <v>131.0</v>
      </c>
      <c r="C1125" s="4"/>
      <c r="E1125" s="4" t="str">
        <f t="array" ref="E1125">XLOOKUP(A1125,'Fintech, Regulatory Arbitrage, '!A:A,'Fintech, Regulatory Arbitrage, '!C:C,"")</f>
        <v/>
      </c>
    </row>
    <row r="1126">
      <c r="A1126" s="1" t="s">
        <v>1145</v>
      </c>
      <c r="B1126" s="2">
        <v>131.0</v>
      </c>
      <c r="C1126" s="4"/>
      <c r="E1126" s="4" t="str">
        <f t="array" ref="E1126">XLOOKUP(A1126,'Fintech, Regulatory Arbitrage, '!A:A,'Fintech, Regulatory Arbitrage, '!C:C,"")</f>
        <v/>
      </c>
    </row>
    <row r="1127">
      <c r="A1127" s="1" t="s">
        <v>1146</v>
      </c>
      <c r="B1127" s="2">
        <v>131.0</v>
      </c>
      <c r="C1127" s="4"/>
      <c r="E1127" s="4" t="str">
        <f t="array" ref="E1127">XLOOKUP(A1127,'Fintech, Regulatory Arbitrage, '!A:A,'Fintech, Regulatory Arbitrage, '!C:C,"")</f>
        <v/>
      </c>
    </row>
    <row r="1128">
      <c r="A1128" s="1" t="s">
        <v>1147</v>
      </c>
      <c r="B1128" s="2">
        <v>131.0</v>
      </c>
      <c r="C1128" s="4"/>
      <c r="E1128" s="4" t="str">
        <f t="array" ref="E1128">XLOOKUP(A1128,'Fintech, Regulatory Arbitrage, '!A:A,'Fintech, Regulatory Arbitrage, '!C:C,"")</f>
        <v/>
      </c>
    </row>
    <row r="1129">
      <c r="A1129" s="1" t="s">
        <v>1148</v>
      </c>
      <c r="B1129" s="2">
        <v>131.0</v>
      </c>
      <c r="C1129" s="4"/>
      <c r="E1129" s="4" t="str">
        <f t="array" ref="E1129">XLOOKUP(A1129,'Fintech, Regulatory Arbitrage, '!A:A,'Fintech, Regulatory Arbitrage, '!C:C,"")</f>
        <v/>
      </c>
    </row>
    <row r="1130">
      <c r="A1130" s="1" t="s">
        <v>1149</v>
      </c>
      <c r="B1130" s="2">
        <v>131.0</v>
      </c>
      <c r="C1130" s="4"/>
      <c r="E1130" s="4" t="str">
        <f t="array" ref="E1130">XLOOKUP(A1130,'Fintech, Regulatory Arbitrage, '!A:A,'Fintech, Regulatory Arbitrage, '!C:C,"")</f>
        <v/>
      </c>
    </row>
    <row r="1131">
      <c r="A1131" s="1" t="s">
        <v>1150</v>
      </c>
      <c r="B1131" s="2">
        <v>130.0</v>
      </c>
      <c r="C1131" s="4"/>
      <c r="E1131" s="4" t="str">
        <f t="array" ref="E1131">XLOOKUP(A1131,'Fintech, Regulatory Arbitrage, '!A:A,'Fintech, Regulatory Arbitrage, '!C:C,"")</f>
        <v/>
      </c>
    </row>
    <row r="1132">
      <c r="A1132" s="1" t="s">
        <v>1151</v>
      </c>
      <c r="B1132" s="2">
        <v>130.0</v>
      </c>
      <c r="C1132" s="4"/>
      <c r="E1132" s="4" t="str">
        <f t="array" ref="E1132">XLOOKUP(A1132,'Fintech, Regulatory Arbitrage, '!A:A,'Fintech, Regulatory Arbitrage, '!C:C,"")</f>
        <v/>
      </c>
    </row>
    <row r="1133">
      <c r="A1133" s="1" t="s">
        <v>1152</v>
      </c>
      <c r="B1133" s="2">
        <v>130.0</v>
      </c>
      <c r="C1133" s="4"/>
      <c r="E1133" s="4" t="str">
        <f t="array" ref="E1133">XLOOKUP(A1133,'Fintech, Regulatory Arbitrage, '!A:A,'Fintech, Regulatory Arbitrage, '!C:C,"")</f>
        <v/>
      </c>
    </row>
    <row r="1134">
      <c r="A1134" s="1" t="s">
        <v>1153</v>
      </c>
      <c r="B1134" s="2">
        <v>130.0</v>
      </c>
      <c r="C1134" s="4"/>
      <c r="E1134" s="4" t="str">
        <f t="array" ref="E1134">XLOOKUP(A1134,'Fintech, Regulatory Arbitrage, '!A:A,'Fintech, Regulatory Arbitrage, '!C:C,"")</f>
        <v/>
      </c>
    </row>
    <row r="1135">
      <c r="A1135" s="1" t="s">
        <v>1154</v>
      </c>
      <c r="B1135" s="2">
        <v>130.0</v>
      </c>
      <c r="C1135" s="4"/>
      <c r="E1135" s="4" t="str">
        <f t="array" ref="E1135">XLOOKUP(A1135,'Fintech, Regulatory Arbitrage, '!A:A,'Fintech, Regulatory Arbitrage, '!C:C,"")</f>
        <v/>
      </c>
    </row>
    <row r="1136">
      <c r="A1136" s="1" t="s">
        <v>1155</v>
      </c>
      <c r="B1136" s="2">
        <v>129.0</v>
      </c>
      <c r="C1136" s="4"/>
      <c r="E1136" s="4" t="str">
        <f t="array" ref="E1136">XLOOKUP(A1136,'Fintech, Regulatory Arbitrage, '!A:A,'Fintech, Regulatory Arbitrage, '!C:C,"")</f>
        <v/>
      </c>
    </row>
    <row r="1137">
      <c r="A1137" s="1" t="s">
        <v>1156</v>
      </c>
      <c r="B1137" s="2">
        <v>129.0</v>
      </c>
      <c r="C1137" s="4"/>
      <c r="E1137" s="4" t="str">
        <f t="array" ref="E1137">XLOOKUP(A1137,'Fintech, Regulatory Arbitrage, '!A:A,'Fintech, Regulatory Arbitrage, '!C:C,"")</f>
        <v/>
      </c>
    </row>
    <row r="1138">
      <c r="A1138" s="1" t="s">
        <v>1157</v>
      </c>
      <c r="B1138" s="2">
        <v>129.0</v>
      </c>
      <c r="C1138" s="4"/>
      <c r="E1138" s="4" t="str">
        <f t="array" ref="E1138">XLOOKUP(A1138,'Fintech, Regulatory Arbitrage, '!A:A,'Fintech, Regulatory Arbitrage, '!C:C,"")</f>
        <v/>
      </c>
    </row>
    <row r="1139">
      <c r="A1139" s="1" t="s">
        <v>1158</v>
      </c>
      <c r="B1139" s="2">
        <v>129.0</v>
      </c>
      <c r="C1139" s="4"/>
      <c r="E1139" s="4" t="str">
        <f t="array" ref="E1139">XLOOKUP(A1139,'Fintech, Regulatory Arbitrage, '!A:A,'Fintech, Regulatory Arbitrage, '!C:C,"")</f>
        <v/>
      </c>
    </row>
    <row r="1140">
      <c r="A1140" s="1" t="s">
        <v>1159</v>
      </c>
      <c r="B1140" s="2">
        <v>128.0</v>
      </c>
      <c r="C1140" s="4"/>
      <c r="E1140" s="4" t="str">
        <f t="array" ref="E1140">XLOOKUP(A1140,'Fintech, Regulatory Arbitrage, '!A:A,'Fintech, Regulatory Arbitrage, '!C:C,"")</f>
        <v/>
      </c>
    </row>
    <row r="1141">
      <c r="A1141" s="1" t="s">
        <v>1160</v>
      </c>
      <c r="B1141" s="2">
        <v>128.0</v>
      </c>
      <c r="C1141" s="4"/>
      <c r="E1141" s="4" t="str">
        <f t="array" ref="E1141">XLOOKUP(A1141,'Fintech, Regulatory Arbitrage, '!A:A,'Fintech, Regulatory Arbitrage, '!C:C,"")</f>
        <v/>
      </c>
    </row>
    <row r="1142">
      <c r="A1142" s="1" t="s">
        <v>1161</v>
      </c>
      <c r="B1142" s="2">
        <v>128.0</v>
      </c>
      <c r="C1142" s="4"/>
      <c r="E1142" s="4" t="str">
        <f t="array" ref="E1142">XLOOKUP(A1142,'Fintech, Regulatory Arbitrage, '!A:A,'Fintech, Regulatory Arbitrage, '!C:C,"")</f>
        <v/>
      </c>
    </row>
    <row r="1143">
      <c r="A1143" s="1" t="s">
        <v>1162</v>
      </c>
      <c r="B1143" s="2">
        <v>127.0</v>
      </c>
      <c r="C1143" s="4"/>
      <c r="E1143" s="4" t="str">
        <f t="array" ref="E1143">XLOOKUP(A1143,'Fintech, Regulatory Arbitrage, '!A:A,'Fintech, Regulatory Arbitrage, '!C:C,"")</f>
        <v/>
      </c>
    </row>
    <row r="1144">
      <c r="A1144" s="1" t="s">
        <v>1163</v>
      </c>
      <c r="B1144" s="2">
        <v>127.0</v>
      </c>
      <c r="C1144" s="4"/>
      <c r="E1144" s="4" t="str">
        <f t="array" ref="E1144">XLOOKUP(A1144,'Fintech, Regulatory Arbitrage, '!A:A,'Fintech, Regulatory Arbitrage, '!C:C,"")</f>
        <v/>
      </c>
    </row>
    <row r="1145">
      <c r="A1145" s="1" t="s">
        <v>1164</v>
      </c>
      <c r="B1145" s="2">
        <v>127.0</v>
      </c>
      <c r="C1145" s="4"/>
      <c r="E1145" s="4" t="str">
        <f t="array" ref="E1145">XLOOKUP(A1145,'Fintech, Regulatory Arbitrage, '!A:A,'Fintech, Regulatory Arbitrage, '!C:C,"")</f>
        <v/>
      </c>
    </row>
    <row r="1146">
      <c r="A1146" s="1" t="s">
        <v>1165</v>
      </c>
      <c r="B1146" s="2">
        <v>127.0</v>
      </c>
      <c r="C1146" s="4"/>
      <c r="E1146" s="4" t="str">
        <f t="array" ref="E1146">XLOOKUP(A1146,'Fintech, Regulatory Arbitrage, '!A:A,'Fintech, Regulatory Arbitrage, '!C:C,"")</f>
        <v/>
      </c>
    </row>
    <row r="1147">
      <c r="A1147" s="1" t="s">
        <v>1166</v>
      </c>
      <c r="B1147" s="2">
        <v>126.0</v>
      </c>
      <c r="C1147" s="4"/>
      <c r="E1147" s="4" t="str">
        <f t="array" ref="E1147">XLOOKUP(A1147,'Fintech, Regulatory Arbitrage, '!A:A,'Fintech, Regulatory Arbitrage, '!C:C,"")</f>
        <v/>
      </c>
    </row>
    <row r="1148">
      <c r="A1148" s="1" t="s">
        <v>1167</v>
      </c>
      <c r="B1148" s="2">
        <v>126.0</v>
      </c>
      <c r="C1148" s="4"/>
      <c r="E1148" s="4" t="str">
        <f t="array" ref="E1148">XLOOKUP(A1148,'Fintech, Regulatory Arbitrage, '!A:A,'Fintech, Regulatory Arbitrage, '!C:C,"")</f>
        <v/>
      </c>
    </row>
    <row r="1149">
      <c r="A1149" s="1" t="s">
        <v>1168</v>
      </c>
      <c r="B1149" s="2">
        <v>126.0</v>
      </c>
      <c r="C1149" s="4"/>
      <c r="E1149" s="4" t="str">
        <f t="array" ref="E1149">XLOOKUP(A1149,'Fintech, Regulatory Arbitrage, '!A:A,'Fintech, Regulatory Arbitrage, '!C:C,"")</f>
        <v/>
      </c>
    </row>
    <row r="1150">
      <c r="A1150" s="1" t="s">
        <v>1169</v>
      </c>
      <c r="B1150" s="2">
        <v>126.0</v>
      </c>
      <c r="C1150" s="4"/>
      <c r="E1150" s="4" t="str">
        <f t="array" ref="E1150">XLOOKUP(A1150,'Fintech, Regulatory Arbitrage, '!A:A,'Fintech, Regulatory Arbitrage, '!C:C,"")</f>
        <v/>
      </c>
    </row>
    <row r="1151">
      <c r="A1151" s="1" t="s">
        <v>1170</v>
      </c>
      <c r="B1151" s="2">
        <v>126.0</v>
      </c>
      <c r="C1151" s="4"/>
      <c r="E1151" s="4" t="str">
        <f t="array" ref="E1151">XLOOKUP(A1151,'Fintech, Regulatory Arbitrage, '!A:A,'Fintech, Regulatory Arbitrage, '!C:C,"")</f>
        <v/>
      </c>
    </row>
    <row r="1152">
      <c r="A1152" s="1" t="s">
        <v>1171</v>
      </c>
      <c r="B1152" s="2">
        <v>125.0</v>
      </c>
      <c r="C1152" s="4"/>
      <c r="E1152" s="4" t="str">
        <f t="array" ref="E1152">XLOOKUP(A1152,'Fintech, Regulatory Arbitrage, '!A:A,'Fintech, Regulatory Arbitrage, '!C:C,"")</f>
        <v/>
      </c>
    </row>
    <row r="1153">
      <c r="A1153" s="1" t="s">
        <v>1172</v>
      </c>
      <c r="B1153" s="2">
        <v>125.0</v>
      </c>
      <c r="C1153" s="4"/>
      <c r="E1153" s="4" t="str">
        <f t="array" ref="E1153">XLOOKUP(A1153,'Fintech, Regulatory Arbitrage, '!A:A,'Fintech, Regulatory Arbitrage, '!C:C,"")</f>
        <v/>
      </c>
    </row>
    <row r="1154">
      <c r="A1154" s="1" t="s">
        <v>1173</v>
      </c>
      <c r="B1154" s="2">
        <v>125.0</v>
      </c>
      <c r="C1154" s="4"/>
      <c r="E1154" s="4" t="str">
        <f t="array" ref="E1154">XLOOKUP(A1154,'Fintech, Regulatory Arbitrage, '!A:A,'Fintech, Regulatory Arbitrage, '!C:C,"")</f>
        <v/>
      </c>
    </row>
    <row r="1155">
      <c r="A1155" s="1" t="s">
        <v>1174</v>
      </c>
      <c r="B1155" s="2">
        <v>125.0</v>
      </c>
      <c r="C1155" s="4"/>
      <c r="E1155" s="4" t="str">
        <f t="array" ref="E1155">XLOOKUP(A1155,'Fintech, Regulatory Arbitrage, '!A:A,'Fintech, Regulatory Arbitrage, '!C:C,"")</f>
        <v/>
      </c>
    </row>
    <row r="1156">
      <c r="A1156" s="1" t="s">
        <v>1175</v>
      </c>
      <c r="B1156" s="2">
        <v>125.0</v>
      </c>
      <c r="C1156" s="4"/>
      <c r="E1156" s="4" t="str">
        <f t="array" ref="E1156">XLOOKUP(A1156,'Fintech, Regulatory Arbitrage, '!A:A,'Fintech, Regulatory Arbitrage, '!C:C,"")</f>
        <v/>
      </c>
    </row>
    <row r="1157">
      <c r="A1157" s="1" t="s">
        <v>1176</v>
      </c>
      <c r="B1157" s="2">
        <v>125.0</v>
      </c>
      <c r="C1157" s="4"/>
      <c r="E1157" s="4" t="str">
        <f t="array" ref="E1157">XLOOKUP(A1157,'Fintech, Regulatory Arbitrage, '!A:A,'Fintech, Regulatory Arbitrage, '!C:C,"")</f>
        <v/>
      </c>
    </row>
    <row r="1158">
      <c r="A1158" s="1" t="s">
        <v>1177</v>
      </c>
      <c r="B1158" s="2">
        <v>125.0</v>
      </c>
      <c r="C1158" s="4"/>
      <c r="E1158" s="4" t="str">
        <f t="array" ref="E1158">XLOOKUP(A1158,'Fintech, Regulatory Arbitrage, '!A:A,'Fintech, Regulatory Arbitrage, '!C:C,"")</f>
        <v/>
      </c>
    </row>
    <row r="1159">
      <c r="A1159" s="1" t="s">
        <v>1178</v>
      </c>
      <c r="B1159" s="2">
        <v>125.0</v>
      </c>
      <c r="C1159" s="4"/>
      <c r="E1159" s="4" t="str">
        <f t="array" ref="E1159">XLOOKUP(A1159,'Fintech, Regulatory Arbitrage, '!A:A,'Fintech, Regulatory Arbitrage, '!C:C,"")</f>
        <v/>
      </c>
    </row>
    <row r="1160">
      <c r="A1160" s="1" t="s">
        <v>1179</v>
      </c>
      <c r="B1160" s="2">
        <v>125.0</v>
      </c>
      <c r="C1160" s="4"/>
      <c r="E1160" s="4" t="str">
        <f t="array" ref="E1160">XLOOKUP(A1160,'Fintech, Regulatory Arbitrage, '!A:A,'Fintech, Regulatory Arbitrage, '!C:C,"")</f>
        <v/>
      </c>
    </row>
    <row r="1161">
      <c r="A1161" s="1" t="s">
        <v>1180</v>
      </c>
      <c r="B1161" s="2">
        <v>125.0</v>
      </c>
      <c r="C1161" s="4"/>
      <c r="E1161" s="4" t="str">
        <f t="array" ref="E1161">XLOOKUP(A1161,'Fintech, Regulatory Arbitrage, '!A:A,'Fintech, Regulatory Arbitrage, '!C:C,"")</f>
        <v/>
      </c>
    </row>
    <row r="1162">
      <c r="A1162" s="1" t="s">
        <v>1181</v>
      </c>
      <c r="B1162" s="2">
        <v>124.0</v>
      </c>
      <c r="C1162" s="4"/>
      <c r="E1162" s="4" t="str">
        <f t="array" ref="E1162">XLOOKUP(A1162,'Fintech, Regulatory Arbitrage, '!A:A,'Fintech, Regulatory Arbitrage, '!C:C,"")</f>
        <v/>
      </c>
    </row>
    <row r="1163">
      <c r="A1163" s="1" t="s">
        <v>1182</v>
      </c>
      <c r="B1163" s="2">
        <v>124.0</v>
      </c>
      <c r="C1163" s="4"/>
      <c r="E1163" s="4" t="str">
        <f t="array" ref="E1163">XLOOKUP(A1163,'Fintech, Regulatory Arbitrage, '!A:A,'Fintech, Regulatory Arbitrage, '!C:C,"")</f>
        <v/>
      </c>
    </row>
    <row r="1164">
      <c r="A1164" s="1" t="s">
        <v>1183</v>
      </c>
      <c r="B1164" s="2">
        <v>124.0</v>
      </c>
      <c r="C1164" s="4"/>
      <c r="E1164" s="4" t="str">
        <f t="array" ref="E1164">XLOOKUP(A1164,'Fintech, Regulatory Arbitrage, '!A:A,'Fintech, Regulatory Arbitrage, '!C:C,"")</f>
        <v/>
      </c>
    </row>
    <row r="1165">
      <c r="A1165" s="1" t="s">
        <v>1184</v>
      </c>
      <c r="B1165" s="2">
        <v>124.0</v>
      </c>
      <c r="C1165" s="4"/>
      <c r="E1165" s="4" t="str">
        <f t="array" ref="E1165">XLOOKUP(A1165,'Fintech, Regulatory Arbitrage, '!A:A,'Fintech, Regulatory Arbitrage, '!C:C,"")</f>
        <v/>
      </c>
    </row>
    <row r="1166">
      <c r="A1166" s="1" t="s">
        <v>1185</v>
      </c>
      <c r="B1166" s="2">
        <v>123.0</v>
      </c>
      <c r="C1166" s="4"/>
      <c r="E1166" s="4" t="str">
        <f t="array" ref="E1166">XLOOKUP(A1166,'Fintech, Regulatory Arbitrage, '!A:A,'Fintech, Regulatory Arbitrage, '!C:C,"")</f>
        <v/>
      </c>
    </row>
    <row r="1167">
      <c r="A1167" s="1" t="s">
        <v>1186</v>
      </c>
      <c r="B1167" s="2">
        <v>123.0</v>
      </c>
      <c r="C1167" s="4"/>
      <c r="E1167" s="4" t="str">
        <f t="array" ref="E1167">XLOOKUP(A1167,'Fintech, Regulatory Arbitrage, '!A:A,'Fintech, Regulatory Arbitrage, '!C:C,"")</f>
        <v/>
      </c>
    </row>
    <row r="1168">
      <c r="A1168" s="1" t="s">
        <v>1187</v>
      </c>
      <c r="B1168" s="2">
        <v>122.0</v>
      </c>
      <c r="C1168" s="4"/>
      <c r="E1168" s="4" t="str">
        <f t="array" ref="E1168">XLOOKUP(A1168,'Fintech, Regulatory Arbitrage, '!A:A,'Fintech, Regulatory Arbitrage, '!C:C,"")</f>
        <v/>
      </c>
    </row>
    <row r="1169">
      <c r="A1169" s="1" t="s">
        <v>1188</v>
      </c>
      <c r="B1169" s="2">
        <v>122.0</v>
      </c>
      <c r="C1169" s="4"/>
      <c r="E1169" s="4" t="str">
        <f t="array" ref="E1169">XLOOKUP(A1169,'Fintech, Regulatory Arbitrage, '!A:A,'Fintech, Regulatory Arbitrage, '!C:C,"")</f>
        <v/>
      </c>
    </row>
    <row r="1170">
      <c r="A1170" s="1" t="s">
        <v>1189</v>
      </c>
      <c r="B1170" s="2">
        <v>122.0</v>
      </c>
      <c r="C1170" s="4"/>
      <c r="E1170" s="4" t="str">
        <f t="array" ref="E1170">XLOOKUP(A1170,'Fintech, Regulatory Arbitrage, '!A:A,'Fintech, Regulatory Arbitrage, '!C:C,"")</f>
        <v/>
      </c>
    </row>
    <row r="1171">
      <c r="A1171" s="1" t="s">
        <v>1190</v>
      </c>
      <c r="B1171" s="2">
        <v>122.0</v>
      </c>
      <c r="C1171" s="4"/>
      <c r="E1171" s="4" t="str">
        <f t="array" ref="E1171">XLOOKUP(A1171,'Fintech, Regulatory Arbitrage, '!A:A,'Fintech, Regulatory Arbitrage, '!C:C,"")</f>
        <v/>
      </c>
    </row>
    <row r="1172">
      <c r="A1172" s="1" t="s">
        <v>1191</v>
      </c>
      <c r="B1172" s="2">
        <v>121.0</v>
      </c>
      <c r="C1172" s="4"/>
      <c r="E1172" s="4" t="str">
        <f t="array" ref="E1172">XLOOKUP(A1172,'Fintech, Regulatory Arbitrage, '!A:A,'Fintech, Regulatory Arbitrage, '!C:C,"")</f>
        <v/>
      </c>
    </row>
    <row r="1173">
      <c r="A1173" s="1" t="s">
        <v>1192</v>
      </c>
      <c r="B1173" s="2">
        <v>121.0</v>
      </c>
      <c r="C1173" s="4"/>
      <c r="E1173" s="4" t="str">
        <f t="array" ref="E1173">XLOOKUP(A1173,'Fintech, Regulatory Arbitrage, '!A:A,'Fintech, Regulatory Arbitrage, '!C:C,"")</f>
        <v/>
      </c>
    </row>
    <row r="1174">
      <c r="A1174" s="1" t="s">
        <v>1193</v>
      </c>
      <c r="B1174" s="2">
        <v>120.0</v>
      </c>
      <c r="C1174" s="4"/>
      <c r="E1174" s="4" t="str">
        <f t="array" ref="E1174">XLOOKUP(A1174,'Fintech, Regulatory Arbitrage, '!A:A,'Fintech, Regulatory Arbitrage, '!C:C,"")</f>
        <v/>
      </c>
    </row>
    <row r="1175">
      <c r="A1175" s="1" t="s">
        <v>1194</v>
      </c>
      <c r="B1175" s="2">
        <v>120.0</v>
      </c>
      <c r="C1175" s="4"/>
      <c r="E1175" s="4" t="str">
        <f t="array" ref="E1175">XLOOKUP(A1175,'Fintech, Regulatory Arbitrage, '!A:A,'Fintech, Regulatory Arbitrage, '!C:C,"")</f>
        <v/>
      </c>
    </row>
    <row r="1176">
      <c r="A1176" s="1" t="s">
        <v>1195</v>
      </c>
      <c r="B1176" s="2">
        <v>120.0</v>
      </c>
      <c r="C1176" s="4"/>
      <c r="E1176" s="4" t="str">
        <f t="array" ref="E1176">XLOOKUP(A1176,'Fintech, Regulatory Arbitrage, '!A:A,'Fintech, Regulatory Arbitrage, '!C:C,"")</f>
        <v/>
      </c>
    </row>
    <row r="1177">
      <c r="A1177" s="1" t="s">
        <v>1196</v>
      </c>
      <c r="B1177" s="2">
        <v>120.0</v>
      </c>
      <c r="C1177" s="4"/>
      <c r="E1177" s="4" t="str">
        <f t="array" ref="E1177">XLOOKUP(A1177,'Fintech, Regulatory Arbitrage, '!A:A,'Fintech, Regulatory Arbitrage, '!C:C,"")</f>
        <v/>
      </c>
    </row>
    <row r="1178">
      <c r="A1178" s="1" t="s">
        <v>1197</v>
      </c>
      <c r="B1178" s="2">
        <v>119.0</v>
      </c>
      <c r="C1178" s="4"/>
      <c r="E1178" s="4" t="str">
        <f t="array" ref="E1178">XLOOKUP(A1178,'Fintech, Regulatory Arbitrage, '!A:A,'Fintech, Regulatory Arbitrage, '!C:C,"")</f>
        <v/>
      </c>
    </row>
    <row r="1179">
      <c r="A1179" s="1" t="s">
        <v>1198</v>
      </c>
      <c r="B1179" s="2">
        <v>119.0</v>
      </c>
      <c r="C1179" s="4"/>
      <c r="E1179" s="4" t="str">
        <f t="array" ref="E1179">XLOOKUP(A1179,'Fintech, Regulatory Arbitrage, '!A:A,'Fintech, Regulatory Arbitrage, '!C:C,"")</f>
        <v/>
      </c>
    </row>
    <row r="1180">
      <c r="A1180" s="1" t="s">
        <v>1199</v>
      </c>
      <c r="B1180" s="2">
        <v>119.0</v>
      </c>
      <c r="C1180" s="4"/>
      <c r="E1180" s="4" t="str">
        <f t="array" ref="E1180">XLOOKUP(A1180,'Fintech, Regulatory Arbitrage, '!A:A,'Fintech, Regulatory Arbitrage, '!C:C,"")</f>
        <v/>
      </c>
    </row>
    <row r="1181">
      <c r="A1181" s="1" t="s">
        <v>1200</v>
      </c>
      <c r="B1181" s="2">
        <v>119.0</v>
      </c>
      <c r="C1181" s="4"/>
      <c r="E1181" s="4" t="str">
        <f t="array" ref="E1181">XLOOKUP(A1181,'Fintech, Regulatory Arbitrage, '!A:A,'Fintech, Regulatory Arbitrage, '!C:C,"")</f>
        <v/>
      </c>
    </row>
    <row r="1182">
      <c r="A1182" s="1" t="s">
        <v>1201</v>
      </c>
      <c r="B1182" s="2">
        <v>119.0</v>
      </c>
      <c r="C1182" s="4"/>
      <c r="E1182" s="4" t="str">
        <f t="array" ref="E1182">XLOOKUP(A1182,'Fintech, Regulatory Arbitrage, '!A:A,'Fintech, Regulatory Arbitrage, '!C:C,"")</f>
        <v/>
      </c>
    </row>
    <row r="1183">
      <c r="A1183" s="1" t="s">
        <v>1202</v>
      </c>
      <c r="B1183" s="2">
        <v>118.0</v>
      </c>
      <c r="C1183" s="4"/>
      <c r="E1183" s="4" t="str">
        <f t="array" ref="E1183">XLOOKUP(A1183,'Fintech, Regulatory Arbitrage, '!A:A,'Fintech, Regulatory Arbitrage, '!C:C,"")</f>
        <v/>
      </c>
    </row>
    <row r="1184">
      <c r="A1184" s="1" t="s">
        <v>1203</v>
      </c>
      <c r="B1184" s="2">
        <v>118.0</v>
      </c>
      <c r="C1184" s="4"/>
      <c r="E1184" s="4" t="str">
        <f t="array" ref="E1184">XLOOKUP(A1184,'Fintech, Regulatory Arbitrage, '!A:A,'Fintech, Regulatory Arbitrage, '!C:C,"")</f>
        <v/>
      </c>
    </row>
    <row r="1185">
      <c r="A1185" s="1" t="s">
        <v>1204</v>
      </c>
      <c r="B1185" s="2">
        <v>118.0</v>
      </c>
      <c r="C1185" s="4"/>
      <c r="E1185" s="4" t="str">
        <f t="array" ref="E1185">XLOOKUP(A1185,'Fintech, Regulatory Arbitrage, '!A:A,'Fintech, Regulatory Arbitrage, '!C:C,"")</f>
        <v/>
      </c>
    </row>
    <row r="1186">
      <c r="A1186" s="1" t="s">
        <v>1205</v>
      </c>
      <c r="B1186" s="2">
        <v>118.0</v>
      </c>
      <c r="C1186" s="4"/>
      <c r="E1186" s="4" t="str">
        <f t="array" ref="E1186">XLOOKUP(A1186,'Fintech, Regulatory Arbitrage, '!A:A,'Fintech, Regulatory Arbitrage, '!C:C,"")</f>
        <v/>
      </c>
    </row>
    <row r="1187">
      <c r="A1187" s="1" t="s">
        <v>1206</v>
      </c>
      <c r="B1187" s="2">
        <v>118.0</v>
      </c>
      <c r="C1187" s="4"/>
      <c r="E1187" s="4" t="str">
        <f t="array" ref="E1187">XLOOKUP(A1187,'Fintech, Regulatory Arbitrage, '!A:A,'Fintech, Regulatory Arbitrage, '!C:C,"")</f>
        <v/>
      </c>
    </row>
    <row r="1188">
      <c r="A1188" s="1" t="s">
        <v>1207</v>
      </c>
      <c r="B1188" s="2">
        <v>118.0</v>
      </c>
      <c r="C1188" s="4"/>
      <c r="E1188" s="4" t="str">
        <f t="array" ref="E1188">XLOOKUP(A1188,'Fintech, Regulatory Arbitrage, '!A:A,'Fintech, Regulatory Arbitrage, '!C:C,"")</f>
        <v/>
      </c>
    </row>
    <row r="1189">
      <c r="A1189" s="1" t="s">
        <v>1208</v>
      </c>
      <c r="B1189" s="2">
        <v>117.0</v>
      </c>
      <c r="C1189" s="4"/>
      <c r="E1189" s="4" t="str">
        <f t="array" ref="E1189">XLOOKUP(A1189,'Fintech, Regulatory Arbitrage, '!A:A,'Fintech, Regulatory Arbitrage, '!C:C,"")</f>
        <v/>
      </c>
    </row>
    <row r="1190">
      <c r="A1190" s="1" t="s">
        <v>1209</v>
      </c>
      <c r="B1190" s="2">
        <v>117.0</v>
      </c>
      <c r="C1190" s="4"/>
      <c r="E1190" s="4" t="str">
        <f t="array" ref="E1190">XLOOKUP(A1190,'Fintech, Regulatory Arbitrage, '!A:A,'Fintech, Regulatory Arbitrage, '!C:C,"")</f>
        <v/>
      </c>
    </row>
    <row r="1191">
      <c r="A1191" s="1" t="s">
        <v>1210</v>
      </c>
      <c r="B1191" s="2">
        <v>117.0</v>
      </c>
      <c r="C1191" s="4"/>
      <c r="E1191" s="4" t="str">
        <f t="array" ref="E1191">XLOOKUP(A1191,'Fintech, Regulatory Arbitrage, '!A:A,'Fintech, Regulatory Arbitrage, '!C:C,"")</f>
        <v/>
      </c>
    </row>
    <row r="1192">
      <c r="A1192" s="1" t="s">
        <v>1211</v>
      </c>
      <c r="B1192" s="2">
        <v>117.0</v>
      </c>
      <c r="C1192" s="4"/>
      <c r="E1192" s="4" t="str">
        <f t="array" ref="E1192">XLOOKUP(A1192,'Fintech, Regulatory Arbitrage, '!A:A,'Fintech, Regulatory Arbitrage, '!C:C,"")</f>
        <v/>
      </c>
    </row>
    <row r="1193">
      <c r="A1193" s="1" t="s">
        <v>1212</v>
      </c>
      <c r="B1193" s="2">
        <v>117.0</v>
      </c>
      <c r="C1193" s="4"/>
      <c r="E1193" s="4" t="str">
        <f t="array" ref="E1193">XLOOKUP(A1193,'Fintech, Regulatory Arbitrage, '!A:A,'Fintech, Regulatory Arbitrage, '!C:C,"")</f>
        <v/>
      </c>
    </row>
    <row r="1194">
      <c r="A1194" s="1" t="s">
        <v>1213</v>
      </c>
      <c r="B1194" s="2">
        <v>117.0</v>
      </c>
      <c r="C1194" s="4"/>
      <c r="E1194" s="4" t="str">
        <f t="array" ref="E1194">XLOOKUP(A1194,'Fintech, Regulatory Arbitrage, '!A:A,'Fintech, Regulatory Arbitrage, '!C:C,"")</f>
        <v/>
      </c>
    </row>
    <row r="1195">
      <c r="A1195" s="1" t="s">
        <v>1214</v>
      </c>
      <c r="B1195" s="2">
        <v>117.0</v>
      </c>
      <c r="C1195" s="4"/>
      <c r="E1195" s="4" t="str">
        <f t="array" ref="E1195">XLOOKUP(A1195,'Fintech, Regulatory Arbitrage, '!A:A,'Fintech, Regulatory Arbitrage, '!C:C,"")</f>
        <v/>
      </c>
    </row>
    <row r="1196">
      <c r="A1196" s="1" t="s">
        <v>1215</v>
      </c>
      <c r="B1196" s="2">
        <v>117.0</v>
      </c>
      <c r="C1196" s="4"/>
      <c r="E1196" s="4" t="str">
        <f t="array" ref="E1196">XLOOKUP(A1196,'Fintech, Regulatory Arbitrage, '!A:A,'Fintech, Regulatory Arbitrage, '!C:C,"")</f>
        <v/>
      </c>
    </row>
    <row r="1197">
      <c r="A1197" s="1" t="s">
        <v>1216</v>
      </c>
      <c r="B1197" s="2">
        <v>116.0</v>
      </c>
      <c r="C1197" s="4"/>
      <c r="E1197" s="4" t="str">
        <f t="array" ref="E1197">XLOOKUP(A1197,'Fintech, Regulatory Arbitrage, '!A:A,'Fintech, Regulatory Arbitrage, '!C:C,"")</f>
        <v/>
      </c>
    </row>
    <row r="1198">
      <c r="A1198" s="1" t="s">
        <v>1217</v>
      </c>
      <c r="B1198" s="2">
        <v>116.0</v>
      </c>
      <c r="C1198" s="4"/>
      <c r="E1198" s="4" t="str">
        <f t="array" ref="E1198">XLOOKUP(A1198,'Fintech, Regulatory Arbitrage, '!A:A,'Fintech, Regulatory Arbitrage, '!C:C,"")</f>
        <v/>
      </c>
    </row>
    <row r="1199">
      <c r="A1199" s="1" t="s">
        <v>1218</v>
      </c>
      <c r="B1199" s="2">
        <v>116.0</v>
      </c>
      <c r="C1199" s="4"/>
      <c r="E1199" s="4" t="str">
        <f t="array" ref="E1199">XLOOKUP(A1199,'Fintech, Regulatory Arbitrage, '!A:A,'Fintech, Regulatory Arbitrage, '!C:C,"")</f>
        <v/>
      </c>
    </row>
    <row r="1200">
      <c r="A1200" s="1" t="s">
        <v>1219</v>
      </c>
      <c r="B1200" s="2">
        <v>116.0</v>
      </c>
      <c r="C1200" s="4"/>
      <c r="E1200" s="4" t="str">
        <f t="array" ref="E1200">XLOOKUP(A1200,'Fintech, Regulatory Arbitrage, '!A:A,'Fintech, Regulatory Arbitrage, '!C:C,"")</f>
        <v/>
      </c>
    </row>
    <row r="1201">
      <c r="A1201" s="1" t="s">
        <v>1220</v>
      </c>
      <c r="B1201" s="2">
        <v>116.0</v>
      </c>
      <c r="C1201" s="4"/>
      <c r="E1201" s="4" t="str">
        <f t="array" ref="E1201">XLOOKUP(A1201,'Fintech, Regulatory Arbitrage, '!A:A,'Fintech, Regulatory Arbitrage, '!C:C,"")</f>
        <v/>
      </c>
    </row>
    <row r="1202">
      <c r="A1202" s="1" t="s">
        <v>1221</v>
      </c>
      <c r="B1202" s="2">
        <v>116.0</v>
      </c>
      <c r="C1202" s="4"/>
      <c r="E1202" s="4" t="str">
        <f t="array" ref="E1202">XLOOKUP(A1202,'Fintech, Regulatory Arbitrage, '!A:A,'Fintech, Regulatory Arbitrage, '!C:C,"")</f>
        <v/>
      </c>
    </row>
    <row r="1203">
      <c r="A1203" s="1" t="s">
        <v>1222</v>
      </c>
      <c r="B1203" s="2">
        <v>116.0</v>
      </c>
      <c r="C1203" s="4"/>
      <c r="E1203" s="4" t="str">
        <f t="array" ref="E1203">XLOOKUP(A1203,'Fintech, Regulatory Arbitrage, '!A:A,'Fintech, Regulatory Arbitrage, '!C:C,"")</f>
        <v/>
      </c>
    </row>
    <row r="1204">
      <c r="A1204" s="1" t="s">
        <v>1223</v>
      </c>
      <c r="B1204" s="2">
        <v>116.0</v>
      </c>
      <c r="C1204" s="4"/>
      <c r="E1204" s="4" t="str">
        <f t="array" ref="E1204">XLOOKUP(A1204,'Fintech, Regulatory Arbitrage, '!A:A,'Fintech, Regulatory Arbitrage, '!C:C,"")</f>
        <v/>
      </c>
    </row>
    <row r="1205">
      <c r="A1205" s="1" t="s">
        <v>1224</v>
      </c>
      <c r="B1205" s="2">
        <v>115.0</v>
      </c>
      <c r="C1205" s="4"/>
      <c r="E1205" s="4" t="str">
        <f t="array" ref="E1205">XLOOKUP(A1205,'Fintech, Regulatory Arbitrage, '!A:A,'Fintech, Regulatory Arbitrage, '!C:C,"")</f>
        <v/>
      </c>
    </row>
    <row r="1206">
      <c r="A1206" s="1" t="s">
        <v>1225</v>
      </c>
      <c r="B1206" s="2">
        <v>115.0</v>
      </c>
      <c r="C1206" s="4"/>
      <c r="E1206" s="4" t="str">
        <f t="array" ref="E1206">XLOOKUP(A1206,'Fintech, Regulatory Arbitrage, '!A:A,'Fintech, Regulatory Arbitrage, '!C:C,"")</f>
        <v/>
      </c>
    </row>
    <row r="1207">
      <c r="A1207" s="1" t="s">
        <v>1226</v>
      </c>
      <c r="B1207" s="2">
        <v>115.0</v>
      </c>
      <c r="C1207" s="4"/>
      <c r="E1207" s="4" t="str">
        <f t="array" ref="E1207">XLOOKUP(A1207,'Fintech, Regulatory Arbitrage, '!A:A,'Fintech, Regulatory Arbitrage, '!C:C,"")</f>
        <v/>
      </c>
    </row>
    <row r="1208">
      <c r="A1208" s="1" t="s">
        <v>1227</v>
      </c>
      <c r="B1208" s="2">
        <v>115.0</v>
      </c>
      <c r="C1208" s="4"/>
      <c r="E1208" s="4" t="str">
        <f t="array" ref="E1208">XLOOKUP(A1208,'Fintech, Regulatory Arbitrage, '!A:A,'Fintech, Regulatory Arbitrage, '!C:C,"")</f>
        <v/>
      </c>
    </row>
    <row r="1209">
      <c r="A1209" s="1" t="s">
        <v>1228</v>
      </c>
      <c r="B1209" s="2">
        <v>115.0</v>
      </c>
      <c r="C1209" s="4"/>
      <c r="E1209" s="4" t="str">
        <f t="array" ref="E1209">XLOOKUP(A1209,'Fintech, Regulatory Arbitrage, '!A:A,'Fintech, Regulatory Arbitrage, '!C:C,"")</f>
        <v/>
      </c>
    </row>
    <row r="1210">
      <c r="A1210" s="1" t="s">
        <v>1229</v>
      </c>
      <c r="B1210" s="2">
        <v>114.0</v>
      </c>
      <c r="C1210" s="4"/>
      <c r="E1210" s="4" t="str">
        <f t="array" ref="E1210">XLOOKUP(A1210,'Fintech, Regulatory Arbitrage, '!A:A,'Fintech, Regulatory Arbitrage, '!C:C,"")</f>
        <v/>
      </c>
    </row>
    <row r="1211">
      <c r="A1211" s="1" t="s">
        <v>1230</v>
      </c>
      <c r="B1211" s="2">
        <v>114.0</v>
      </c>
      <c r="C1211" s="4"/>
      <c r="E1211" s="4" t="str">
        <f t="array" ref="E1211">XLOOKUP(A1211,'Fintech, Regulatory Arbitrage, '!A:A,'Fintech, Regulatory Arbitrage, '!C:C,"")</f>
        <v/>
      </c>
    </row>
    <row r="1212">
      <c r="A1212" s="1" t="s">
        <v>1231</v>
      </c>
      <c r="B1212" s="2">
        <v>114.0</v>
      </c>
      <c r="C1212" s="4"/>
      <c r="E1212" s="4" t="str">
        <f t="array" ref="E1212">XLOOKUP(A1212,'Fintech, Regulatory Arbitrage, '!A:A,'Fintech, Regulatory Arbitrage, '!C:C,"")</f>
        <v/>
      </c>
    </row>
    <row r="1213">
      <c r="A1213" s="1" t="s">
        <v>1232</v>
      </c>
      <c r="B1213" s="2">
        <v>114.0</v>
      </c>
      <c r="C1213" s="4"/>
      <c r="E1213" s="4" t="str">
        <f t="array" ref="E1213">XLOOKUP(A1213,'Fintech, Regulatory Arbitrage, '!A:A,'Fintech, Regulatory Arbitrage, '!C:C,"")</f>
        <v/>
      </c>
    </row>
    <row r="1214">
      <c r="A1214" s="1" t="s">
        <v>1233</v>
      </c>
      <c r="B1214" s="2">
        <v>114.0</v>
      </c>
      <c r="C1214" s="4"/>
      <c r="E1214" s="4" t="str">
        <f t="array" ref="E1214">XLOOKUP(A1214,'Fintech, Regulatory Arbitrage, '!A:A,'Fintech, Regulatory Arbitrage, '!C:C,"")</f>
        <v/>
      </c>
    </row>
    <row r="1215">
      <c r="A1215" s="1" t="s">
        <v>1234</v>
      </c>
      <c r="B1215" s="2">
        <v>113.0</v>
      </c>
      <c r="C1215" s="4"/>
      <c r="E1215" s="4" t="str">
        <f t="array" ref="E1215">XLOOKUP(A1215,'Fintech, Regulatory Arbitrage, '!A:A,'Fintech, Regulatory Arbitrage, '!C:C,"")</f>
        <v/>
      </c>
    </row>
    <row r="1216">
      <c r="A1216" s="1" t="s">
        <v>1235</v>
      </c>
      <c r="B1216" s="2">
        <v>112.0</v>
      </c>
      <c r="C1216" s="4"/>
      <c r="E1216" s="4" t="str">
        <f t="array" ref="E1216">XLOOKUP(A1216,'Fintech, Regulatory Arbitrage, '!A:A,'Fintech, Regulatory Arbitrage, '!C:C,"")</f>
        <v/>
      </c>
    </row>
    <row r="1217">
      <c r="A1217" s="1" t="s">
        <v>1236</v>
      </c>
      <c r="B1217" s="2">
        <v>112.0</v>
      </c>
      <c r="C1217" s="4"/>
      <c r="E1217" s="4" t="str">
        <f t="array" ref="E1217">XLOOKUP(A1217,'Fintech, Regulatory Arbitrage, '!A:A,'Fintech, Regulatory Arbitrage, '!C:C,"")</f>
        <v/>
      </c>
    </row>
    <row r="1218">
      <c r="A1218" s="1" t="s">
        <v>1237</v>
      </c>
      <c r="B1218" s="2">
        <v>112.0</v>
      </c>
      <c r="C1218" s="4"/>
      <c r="E1218" s="4" t="str">
        <f t="array" ref="E1218">XLOOKUP(A1218,'Fintech, Regulatory Arbitrage, '!A:A,'Fintech, Regulatory Arbitrage, '!C:C,"")</f>
        <v/>
      </c>
    </row>
    <row r="1219">
      <c r="A1219" s="1" t="s">
        <v>1238</v>
      </c>
      <c r="B1219" s="2">
        <v>112.0</v>
      </c>
      <c r="C1219" s="4"/>
      <c r="E1219" s="4" t="str">
        <f t="array" ref="E1219">XLOOKUP(A1219,'Fintech, Regulatory Arbitrage, '!A:A,'Fintech, Regulatory Arbitrage, '!C:C,"")</f>
        <v/>
      </c>
    </row>
    <row r="1220">
      <c r="A1220" s="1" t="s">
        <v>1239</v>
      </c>
      <c r="B1220" s="2">
        <v>111.0</v>
      </c>
      <c r="C1220" s="4"/>
      <c r="E1220" s="4" t="str">
        <f t="array" ref="E1220">XLOOKUP(A1220,'Fintech, Regulatory Arbitrage, '!A:A,'Fintech, Regulatory Arbitrage, '!C:C,"")</f>
        <v/>
      </c>
    </row>
    <row r="1221">
      <c r="A1221" s="1" t="s">
        <v>1240</v>
      </c>
      <c r="B1221" s="2">
        <v>111.0</v>
      </c>
      <c r="C1221" s="4"/>
      <c r="E1221" s="4" t="str">
        <f t="array" ref="E1221">XLOOKUP(A1221,'Fintech, Regulatory Arbitrage, '!A:A,'Fintech, Regulatory Arbitrage, '!C:C,"")</f>
        <v/>
      </c>
    </row>
    <row r="1222">
      <c r="A1222" s="1" t="s">
        <v>1241</v>
      </c>
      <c r="B1222" s="2">
        <v>111.0</v>
      </c>
      <c r="C1222" s="4"/>
      <c r="E1222" s="4" t="str">
        <f t="array" ref="E1222">XLOOKUP(A1222,'Fintech, Regulatory Arbitrage, '!A:A,'Fintech, Regulatory Arbitrage, '!C:C,"")</f>
        <v/>
      </c>
    </row>
    <row r="1223">
      <c r="A1223" s="1" t="s">
        <v>1242</v>
      </c>
      <c r="B1223" s="2">
        <v>111.0</v>
      </c>
      <c r="C1223" s="4"/>
      <c r="E1223" s="4" t="str">
        <f t="array" ref="E1223">XLOOKUP(A1223,'Fintech, Regulatory Arbitrage, '!A:A,'Fintech, Regulatory Arbitrage, '!C:C,"")</f>
        <v/>
      </c>
    </row>
    <row r="1224">
      <c r="A1224" s="1" t="s">
        <v>1243</v>
      </c>
      <c r="B1224" s="2">
        <v>111.0</v>
      </c>
      <c r="C1224" s="4"/>
      <c r="E1224" s="4" t="str">
        <f t="array" ref="E1224">XLOOKUP(A1224,'Fintech, Regulatory Arbitrage, '!A:A,'Fintech, Regulatory Arbitrage, '!C:C,"")</f>
        <v/>
      </c>
    </row>
    <row r="1225">
      <c r="A1225" s="1" t="s">
        <v>1244</v>
      </c>
      <c r="B1225" s="2">
        <v>111.0</v>
      </c>
      <c r="C1225" s="4"/>
      <c r="E1225" s="4" t="str">
        <f t="array" ref="E1225">XLOOKUP(A1225,'Fintech, Regulatory Arbitrage, '!A:A,'Fintech, Regulatory Arbitrage, '!C:C,"")</f>
        <v/>
      </c>
    </row>
    <row r="1226">
      <c r="A1226" s="1" t="s">
        <v>1245</v>
      </c>
      <c r="B1226" s="2">
        <v>111.0</v>
      </c>
      <c r="C1226" s="4"/>
      <c r="E1226" s="4" t="str">
        <f t="array" ref="E1226">XLOOKUP(A1226,'Fintech, Regulatory Arbitrage, '!A:A,'Fintech, Regulatory Arbitrage, '!C:C,"")</f>
        <v/>
      </c>
    </row>
    <row r="1227">
      <c r="A1227" s="1" t="s">
        <v>1246</v>
      </c>
      <c r="B1227" s="2">
        <v>111.0</v>
      </c>
      <c r="C1227" s="4"/>
      <c r="E1227" s="4" t="str">
        <f t="array" ref="E1227">XLOOKUP(A1227,'Fintech, Regulatory Arbitrage, '!A:A,'Fintech, Regulatory Arbitrage, '!C:C,"")</f>
        <v/>
      </c>
    </row>
    <row r="1228">
      <c r="A1228" s="1" t="s">
        <v>1247</v>
      </c>
      <c r="B1228" s="2">
        <v>111.0</v>
      </c>
      <c r="C1228" s="4"/>
      <c r="E1228" s="4" t="str">
        <f t="array" ref="E1228">XLOOKUP(A1228,'Fintech, Regulatory Arbitrage, '!A:A,'Fintech, Regulatory Arbitrage, '!C:C,"")</f>
        <v/>
      </c>
    </row>
    <row r="1229">
      <c r="A1229" s="1" t="s">
        <v>1248</v>
      </c>
      <c r="B1229" s="2">
        <v>111.0</v>
      </c>
      <c r="C1229" s="4"/>
      <c r="E1229" s="4" t="str">
        <f t="array" ref="E1229">XLOOKUP(A1229,'Fintech, Regulatory Arbitrage, '!A:A,'Fintech, Regulatory Arbitrage, '!C:C,"")</f>
        <v/>
      </c>
    </row>
    <row r="1230">
      <c r="A1230" s="1" t="s">
        <v>1249</v>
      </c>
      <c r="B1230" s="2">
        <v>110.0</v>
      </c>
      <c r="C1230" s="4"/>
      <c r="E1230" s="4" t="str">
        <f t="array" ref="E1230">XLOOKUP(A1230,'Fintech, Regulatory Arbitrage, '!A:A,'Fintech, Regulatory Arbitrage, '!C:C,"")</f>
        <v/>
      </c>
    </row>
    <row r="1231">
      <c r="A1231" s="1" t="s">
        <v>1250</v>
      </c>
      <c r="B1231" s="2">
        <v>109.0</v>
      </c>
      <c r="C1231" s="4"/>
      <c r="E1231" s="4" t="str">
        <f t="array" ref="E1231">XLOOKUP(A1231,'Fintech, Regulatory Arbitrage, '!A:A,'Fintech, Regulatory Arbitrage, '!C:C,"")</f>
        <v/>
      </c>
    </row>
    <row r="1232">
      <c r="A1232" s="1" t="s">
        <v>1251</v>
      </c>
      <c r="B1232" s="2">
        <v>109.0</v>
      </c>
      <c r="C1232" s="4"/>
      <c r="E1232" s="4" t="str">
        <f t="array" ref="E1232">XLOOKUP(A1232,'Fintech, Regulatory Arbitrage, '!A:A,'Fintech, Regulatory Arbitrage, '!C:C,"")</f>
        <v/>
      </c>
    </row>
    <row r="1233">
      <c r="A1233" s="1" t="s">
        <v>1252</v>
      </c>
      <c r="B1233" s="2">
        <v>108.0</v>
      </c>
      <c r="C1233" s="4"/>
      <c r="E1233" s="4" t="str">
        <f t="array" ref="E1233">XLOOKUP(A1233,'Fintech, Regulatory Arbitrage, '!A:A,'Fintech, Regulatory Arbitrage, '!C:C,"")</f>
        <v/>
      </c>
    </row>
    <row r="1234">
      <c r="A1234" s="1" t="s">
        <v>1253</v>
      </c>
      <c r="B1234" s="2">
        <v>108.0</v>
      </c>
      <c r="C1234" s="4"/>
      <c r="E1234" s="4" t="str">
        <f t="array" ref="E1234">XLOOKUP(A1234,'Fintech, Regulatory Arbitrage, '!A:A,'Fintech, Regulatory Arbitrage, '!C:C,"")</f>
        <v/>
      </c>
    </row>
    <row r="1235">
      <c r="A1235" s="1" t="s">
        <v>1254</v>
      </c>
      <c r="B1235" s="2">
        <v>108.0</v>
      </c>
      <c r="C1235" s="4"/>
      <c r="E1235" s="4" t="str">
        <f t="array" ref="E1235">XLOOKUP(A1235,'Fintech, Regulatory Arbitrage, '!A:A,'Fintech, Regulatory Arbitrage, '!C:C,"")</f>
        <v/>
      </c>
    </row>
    <row r="1236">
      <c r="A1236" s="1" t="s">
        <v>1255</v>
      </c>
      <c r="B1236" s="2">
        <v>108.0</v>
      </c>
      <c r="C1236" s="4"/>
      <c r="E1236" s="4" t="str">
        <f t="array" ref="E1236">XLOOKUP(A1236,'Fintech, Regulatory Arbitrage, '!A:A,'Fintech, Regulatory Arbitrage, '!C:C,"")</f>
        <v/>
      </c>
    </row>
    <row r="1237">
      <c r="A1237" s="1" t="s">
        <v>1256</v>
      </c>
      <c r="B1237" s="2">
        <v>108.0</v>
      </c>
      <c r="C1237" s="4"/>
      <c r="E1237" s="4" t="str">
        <f t="array" ref="E1237">XLOOKUP(A1237,'Fintech, Regulatory Arbitrage, '!A:A,'Fintech, Regulatory Arbitrage, '!C:C,"")</f>
        <v/>
      </c>
    </row>
    <row r="1238">
      <c r="A1238" s="1" t="s">
        <v>1257</v>
      </c>
      <c r="B1238" s="2">
        <v>107.0</v>
      </c>
      <c r="C1238" s="4"/>
      <c r="E1238" s="4" t="str">
        <f t="array" ref="E1238">XLOOKUP(A1238,'Fintech, Regulatory Arbitrage, '!A:A,'Fintech, Regulatory Arbitrage, '!C:C,"")</f>
        <v/>
      </c>
    </row>
    <row r="1239">
      <c r="A1239" s="1" t="s">
        <v>1258</v>
      </c>
      <c r="B1239" s="2">
        <v>107.0</v>
      </c>
      <c r="C1239" s="4"/>
      <c r="E1239" s="4" t="str">
        <f t="array" ref="E1239">XLOOKUP(A1239,'Fintech, Regulatory Arbitrage, '!A:A,'Fintech, Regulatory Arbitrage, '!C:C,"")</f>
        <v/>
      </c>
    </row>
    <row r="1240">
      <c r="A1240" s="1" t="s">
        <v>1259</v>
      </c>
      <c r="B1240" s="2">
        <v>107.0</v>
      </c>
      <c r="C1240" s="4"/>
      <c r="E1240" s="4" t="str">
        <f t="array" ref="E1240">XLOOKUP(A1240,'Fintech, Regulatory Arbitrage, '!A:A,'Fintech, Regulatory Arbitrage, '!C:C,"")</f>
        <v/>
      </c>
    </row>
    <row r="1241">
      <c r="A1241" s="1" t="s">
        <v>1260</v>
      </c>
      <c r="B1241" s="2">
        <v>107.0</v>
      </c>
      <c r="C1241" s="4"/>
      <c r="E1241" s="4" t="str">
        <f t="array" ref="E1241">XLOOKUP(A1241,'Fintech, Regulatory Arbitrage, '!A:A,'Fintech, Regulatory Arbitrage, '!C:C,"")</f>
        <v/>
      </c>
    </row>
    <row r="1242">
      <c r="A1242" s="1" t="s">
        <v>1261</v>
      </c>
      <c r="B1242" s="2">
        <v>107.0</v>
      </c>
      <c r="C1242" s="4"/>
      <c r="E1242" s="4" t="str">
        <f t="array" ref="E1242">XLOOKUP(A1242,'Fintech, Regulatory Arbitrage, '!A:A,'Fintech, Regulatory Arbitrage, '!C:C,"")</f>
        <v/>
      </c>
    </row>
    <row r="1243">
      <c r="A1243" s="1" t="s">
        <v>1262</v>
      </c>
      <c r="B1243" s="2">
        <v>107.0</v>
      </c>
      <c r="C1243" s="4"/>
      <c r="E1243" s="4" t="str">
        <f t="array" ref="E1243">XLOOKUP(A1243,'Fintech, Regulatory Arbitrage, '!A:A,'Fintech, Regulatory Arbitrage, '!C:C,"")</f>
        <v/>
      </c>
    </row>
    <row r="1244">
      <c r="A1244" s="1" t="s">
        <v>1263</v>
      </c>
      <c r="B1244" s="2">
        <v>107.0</v>
      </c>
      <c r="C1244" s="4"/>
      <c r="E1244" s="4" t="str">
        <f t="array" ref="E1244">XLOOKUP(A1244,'Fintech, Regulatory Arbitrage, '!A:A,'Fintech, Regulatory Arbitrage, '!C:C,"")</f>
        <v/>
      </c>
    </row>
    <row r="1245">
      <c r="A1245" s="1" t="s">
        <v>1264</v>
      </c>
      <c r="B1245" s="2">
        <v>107.0</v>
      </c>
      <c r="C1245" s="4"/>
      <c r="E1245" s="4" t="str">
        <f t="array" ref="E1245">XLOOKUP(A1245,'Fintech, Regulatory Arbitrage, '!A:A,'Fintech, Regulatory Arbitrage, '!C:C,"")</f>
        <v/>
      </c>
    </row>
    <row r="1246">
      <c r="A1246" s="1" t="s">
        <v>1265</v>
      </c>
      <c r="B1246" s="2">
        <v>107.0</v>
      </c>
      <c r="C1246" s="4"/>
      <c r="E1246" s="4" t="str">
        <f t="array" ref="E1246">XLOOKUP(A1246,'Fintech, Regulatory Arbitrage, '!A:A,'Fintech, Regulatory Arbitrage, '!C:C,"")</f>
        <v/>
      </c>
    </row>
    <row r="1247">
      <c r="A1247" s="1" t="s">
        <v>1266</v>
      </c>
      <c r="B1247" s="2">
        <v>106.0</v>
      </c>
      <c r="C1247" s="4"/>
      <c r="E1247" s="4" t="str">
        <f t="array" ref="E1247">XLOOKUP(A1247,'Fintech, Regulatory Arbitrage, '!A:A,'Fintech, Regulatory Arbitrage, '!C:C,"")</f>
        <v/>
      </c>
    </row>
    <row r="1248">
      <c r="A1248" s="1" t="s">
        <v>1267</v>
      </c>
      <c r="B1248" s="2">
        <v>106.0</v>
      </c>
      <c r="C1248" s="4"/>
      <c r="E1248" s="4" t="str">
        <f t="array" ref="E1248">XLOOKUP(A1248,'Fintech, Regulatory Arbitrage, '!A:A,'Fintech, Regulatory Arbitrage, '!C:C,"")</f>
        <v/>
      </c>
    </row>
    <row r="1249">
      <c r="A1249" s="1" t="s">
        <v>1268</v>
      </c>
      <c r="B1249" s="2">
        <v>106.0</v>
      </c>
      <c r="C1249" s="4"/>
      <c r="E1249" s="4" t="str">
        <f t="array" ref="E1249">XLOOKUP(A1249,'Fintech, Regulatory Arbitrage, '!A:A,'Fintech, Regulatory Arbitrage, '!C:C,"")</f>
        <v/>
      </c>
    </row>
    <row r="1250">
      <c r="A1250" s="1" t="s">
        <v>1269</v>
      </c>
      <c r="B1250" s="2">
        <v>106.0</v>
      </c>
      <c r="C1250" s="4"/>
      <c r="E1250" s="4" t="str">
        <f t="array" ref="E1250">XLOOKUP(A1250,'Fintech, Regulatory Arbitrage, '!A:A,'Fintech, Regulatory Arbitrage, '!C:C,"")</f>
        <v/>
      </c>
    </row>
    <row r="1251">
      <c r="A1251" s="1" t="s">
        <v>1270</v>
      </c>
      <c r="B1251" s="2">
        <v>106.0</v>
      </c>
      <c r="C1251" s="4"/>
      <c r="E1251" s="4" t="str">
        <f t="array" ref="E1251">XLOOKUP(A1251,'Fintech, Regulatory Arbitrage, '!A:A,'Fintech, Regulatory Arbitrage, '!C:C,"")</f>
        <v/>
      </c>
    </row>
    <row r="1252">
      <c r="A1252" s="1" t="s">
        <v>1271</v>
      </c>
      <c r="B1252" s="2">
        <v>106.0</v>
      </c>
      <c r="C1252" s="4"/>
      <c r="E1252" s="4" t="str">
        <f t="array" ref="E1252">XLOOKUP(A1252,'Fintech, Regulatory Arbitrage, '!A:A,'Fintech, Regulatory Arbitrage, '!C:C,"")</f>
        <v/>
      </c>
    </row>
    <row r="1253">
      <c r="A1253" s="1" t="s">
        <v>1272</v>
      </c>
      <c r="B1253" s="2">
        <v>105.0</v>
      </c>
      <c r="C1253" s="4"/>
      <c r="E1253" s="4" t="str">
        <f t="array" ref="E1253">XLOOKUP(A1253,'Fintech, Regulatory Arbitrage, '!A:A,'Fintech, Regulatory Arbitrage, '!C:C,"")</f>
        <v/>
      </c>
    </row>
    <row r="1254">
      <c r="A1254" s="1" t="s">
        <v>1273</v>
      </c>
      <c r="B1254" s="2">
        <v>105.0</v>
      </c>
      <c r="C1254" s="4"/>
      <c r="E1254" s="4" t="str">
        <f t="array" ref="E1254">XLOOKUP(A1254,'Fintech, Regulatory Arbitrage, '!A:A,'Fintech, Regulatory Arbitrage, '!C:C,"")</f>
        <v/>
      </c>
    </row>
    <row r="1255">
      <c r="A1255" s="1" t="s">
        <v>1274</v>
      </c>
      <c r="B1255" s="2">
        <v>105.0</v>
      </c>
      <c r="C1255" s="4"/>
      <c r="E1255" s="4" t="str">
        <f t="array" ref="E1255">XLOOKUP(A1255,'Fintech, Regulatory Arbitrage, '!A:A,'Fintech, Regulatory Arbitrage, '!C:C,"")</f>
        <v/>
      </c>
    </row>
    <row r="1256">
      <c r="A1256" s="1" t="s">
        <v>1275</v>
      </c>
      <c r="B1256" s="2">
        <v>105.0</v>
      </c>
      <c r="C1256" s="4"/>
      <c r="E1256" s="4" t="str">
        <f t="array" ref="E1256">XLOOKUP(A1256,'Fintech, Regulatory Arbitrage, '!A:A,'Fintech, Regulatory Arbitrage, '!C:C,"")</f>
        <v/>
      </c>
    </row>
    <row r="1257">
      <c r="A1257" s="1" t="s">
        <v>1276</v>
      </c>
      <c r="B1257" s="2">
        <v>105.0</v>
      </c>
      <c r="C1257" s="4"/>
      <c r="E1257" s="4" t="str">
        <f t="array" ref="E1257">XLOOKUP(A1257,'Fintech, Regulatory Arbitrage, '!A:A,'Fintech, Regulatory Arbitrage, '!C:C,"")</f>
        <v/>
      </c>
    </row>
    <row r="1258">
      <c r="A1258" s="1" t="s">
        <v>1277</v>
      </c>
      <c r="B1258" s="2">
        <v>105.0</v>
      </c>
      <c r="C1258" s="4"/>
      <c r="E1258" s="4" t="str">
        <f t="array" ref="E1258">XLOOKUP(A1258,'Fintech, Regulatory Arbitrage, '!A:A,'Fintech, Regulatory Arbitrage, '!C:C,"")</f>
        <v/>
      </c>
    </row>
    <row r="1259">
      <c r="A1259" s="1" t="s">
        <v>1278</v>
      </c>
      <c r="B1259" s="2">
        <v>105.0</v>
      </c>
      <c r="C1259" s="4"/>
      <c r="E1259" s="4" t="str">
        <f t="array" ref="E1259">XLOOKUP(A1259,'Fintech, Regulatory Arbitrage, '!A:A,'Fintech, Regulatory Arbitrage, '!C:C,"")</f>
        <v/>
      </c>
    </row>
    <row r="1260">
      <c r="A1260" s="1" t="s">
        <v>1279</v>
      </c>
      <c r="B1260" s="2">
        <v>105.0</v>
      </c>
      <c r="C1260" s="4"/>
      <c r="E1260" s="4" t="str">
        <f t="array" ref="E1260">XLOOKUP(A1260,'Fintech, Regulatory Arbitrage, '!A:A,'Fintech, Regulatory Arbitrage, '!C:C,"")</f>
        <v/>
      </c>
    </row>
    <row r="1261">
      <c r="A1261" s="1" t="s">
        <v>1280</v>
      </c>
      <c r="B1261" s="2">
        <v>105.0</v>
      </c>
      <c r="C1261" s="4"/>
      <c r="E1261" s="4" t="str">
        <f t="array" ref="E1261">XLOOKUP(A1261,'Fintech, Regulatory Arbitrage, '!A:A,'Fintech, Regulatory Arbitrage, '!C:C,"")</f>
        <v/>
      </c>
    </row>
    <row r="1262">
      <c r="A1262" s="1" t="s">
        <v>1281</v>
      </c>
      <c r="B1262" s="2">
        <v>104.0</v>
      </c>
      <c r="C1262" s="4"/>
      <c r="E1262" s="4" t="str">
        <f t="array" ref="E1262">XLOOKUP(A1262,'Fintech, Regulatory Arbitrage, '!A:A,'Fintech, Regulatory Arbitrage, '!C:C,"")</f>
        <v/>
      </c>
    </row>
    <row r="1263">
      <c r="A1263" s="1" t="s">
        <v>1282</v>
      </c>
      <c r="B1263" s="2">
        <v>104.0</v>
      </c>
      <c r="C1263" s="4"/>
      <c r="E1263" s="4" t="str">
        <f t="array" ref="E1263">XLOOKUP(A1263,'Fintech, Regulatory Arbitrage, '!A:A,'Fintech, Regulatory Arbitrage, '!C:C,"")</f>
        <v/>
      </c>
    </row>
    <row r="1264">
      <c r="A1264" s="1" t="s">
        <v>1283</v>
      </c>
      <c r="B1264" s="2">
        <v>104.0</v>
      </c>
      <c r="C1264" s="4"/>
      <c r="E1264" s="4" t="str">
        <f t="array" ref="E1264">XLOOKUP(A1264,'Fintech, Regulatory Arbitrage, '!A:A,'Fintech, Regulatory Arbitrage, '!C:C,"")</f>
        <v/>
      </c>
    </row>
    <row r="1265">
      <c r="A1265" s="1" t="s">
        <v>1284</v>
      </c>
      <c r="B1265" s="2">
        <v>104.0</v>
      </c>
      <c r="C1265" s="4"/>
      <c r="E1265" s="4" t="str">
        <f t="array" ref="E1265">XLOOKUP(A1265,'Fintech, Regulatory Arbitrage, '!A:A,'Fintech, Regulatory Arbitrage, '!C:C,"")</f>
        <v/>
      </c>
    </row>
    <row r="1266">
      <c r="A1266" s="1" t="s">
        <v>1285</v>
      </c>
      <c r="B1266" s="2">
        <v>103.0</v>
      </c>
      <c r="C1266" s="4"/>
      <c r="E1266" s="4" t="str">
        <f t="array" ref="E1266">XLOOKUP(A1266,'Fintech, Regulatory Arbitrage, '!A:A,'Fintech, Regulatory Arbitrage, '!C:C,"")</f>
        <v/>
      </c>
    </row>
    <row r="1267">
      <c r="A1267" s="1" t="s">
        <v>1286</v>
      </c>
      <c r="B1267" s="2">
        <v>103.0</v>
      </c>
      <c r="C1267" s="4"/>
      <c r="E1267" s="4" t="str">
        <f t="array" ref="E1267">XLOOKUP(A1267,'Fintech, Regulatory Arbitrage, '!A:A,'Fintech, Regulatory Arbitrage, '!C:C,"")</f>
        <v/>
      </c>
    </row>
    <row r="1268">
      <c r="A1268" s="1" t="s">
        <v>1287</v>
      </c>
      <c r="B1268" s="2">
        <v>103.0</v>
      </c>
      <c r="C1268" s="4"/>
      <c r="E1268" s="4" t="str">
        <f t="array" ref="E1268">XLOOKUP(A1268,'Fintech, Regulatory Arbitrage, '!A:A,'Fintech, Regulatory Arbitrage, '!C:C,"")</f>
        <v/>
      </c>
    </row>
    <row r="1269">
      <c r="A1269" s="1" t="s">
        <v>1288</v>
      </c>
      <c r="B1269" s="2">
        <v>102.0</v>
      </c>
      <c r="C1269" s="3" t="s">
        <v>12</v>
      </c>
      <c r="E1269" s="4" t="str">
        <f t="array" ref="E1269">XLOOKUP(A1269,'Fintech, Regulatory Arbitrage, '!A:A,'Fintech, Regulatory Arbitrage, '!C:C,"")</f>
        <v/>
      </c>
    </row>
    <row r="1270">
      <c r="A1270" s="1" t="s">
        <v>1289</v>
      </c>
      <c r="B1270" s="2">
        <v>102.0</v>
      </c>
      <c r="C1270" s="4"/>
      <c r="E1270" s="4" t="str">
        <f t="array" ref="E1270">XLOOKUP(A1270,'Fintech, Regulatory Arbitrage, '!A:A,'Fintech, Regulatory Arbitrage, '!C:C,"")</f>
        <v/>
      </c>
    </row>
    <row r="1271">
      <c r="A1271" s="1" t="s">
        <v>1290</v>
      </c>
      <c r="B1271" s="2">
        <v>102.0</v>
      </c>
      <c r="C1271" s="4"/>
      <c r="E1271" s="4" t="str">
        <f t="array" ref="E1271">XLOOKUP(A1271,'Fintech, Regulatory Arbitrage, '!A:A,'Fintech, Regulatory Arbitrage, '!C:C,"")</f>
        <v/>
      </c>
    </row>
    <row r="1272">
      <c r="A1272" s="1" t="s">
        <v>1291</v>
      </c>
      <c r="B1272" s="2">
        <v>102.0</v>
      </c>
      <c r="C1272" s="4"/>
      <c r="E1272" s="4" t="str">
        <f t="array" ref="E1272">XLOOKUP(A1272,'Fintech, Regulatory Arbitrage, '!A:A,'Fintech, Regulatory Arbitrage, '!C:C,"")</f>
        <v/>
      </c>
    </row>
    <row r="1273">
      <c r="A1273" s="1" t="s">
        <v>1292</v>
      </c>
      <c r="B1273" s="2">
        <v>102.0</v>
      </c>
      <c r="C1273" s="4"/>
      <c r="E1273" s="4" t="str">
        <f t="array" ref="E1273">XLOOKUP(A1273,'Fintech, Regulatory Arbitrage, '!A:A,'Fintech, Regulatory Arbitrage, '!C:C,"")</f>
        <v/>
      </c>
    </row>
    <row r="1274">
      <c r="A1274" s="1" t="s">
        <v>1293</v>
      </c>
      <c r="B1274" s="2">
        <v>102.0</v>
      </c>
      <c r="C1274" s="4"/>
      <c r="E1274" s="4" t="str">
        <f t="array" ref="E1274">XLOOKUP(A1274,'Fintech, Regulatory Arbitrage, '!A:A,'Fintech, Regulatory Arbitrage, '!C:C,"")</f>
        <v/>
      </c>
    </row>
    <row r="1275">
      <c r="A1275" s="1" t="s">
        <v>1294</v>
      </c>
      <c r="B1275" s="2">
        <v>102.0</v>
      </c>
      <c r="C1275" s="4"/>
      <c r="E1275" s="4" t="str">
        <f t="array" ref="E1275">XLOOKUP(A1275,'Fintech, Regulatory Arbitrage, '!A:A,'Fintech, Regulatory Arbitrage, '!C:C,"")</f>
        <v/>
      </c>
    </row>
    <row r="1276">
      <c r="A1276" s="1" t="s">
        <v>1295</v>
      </c>
      <c r="B1276" s="2">
        <v>101.0</v>
      </c>
      <c r="C1276" s="4"/>
      <c r="E1276" s="4" t="str">
        <f t="array" ref="E1276">XLOOKUP(A1276,'Fintech, Regulatory Arbitrage, '!A:A,'Fintech, Regulatory Arbitrage, '!C:C,"")</f>
        <v/>
      </c>
    </row>
    <row r="1277">
      <c r="A1277" s="1" t="s">
        <v>1296</v>
      </c>
      <c r="B1277" s="2">
        <v>101.0</v>
      </c>
      <c r="C1277" s="4"/>
      <c r="E1277" s="4" t="str">
        <f t="array" ref="E1277">XLOOKUP(A1277,'Fintech, Regulatory Arbitrage, '!A:A,'Fintech, Regulatory Arbitrage, '!C:C,"")</f>
        <v/>
      </c>
    </row>
    <row r="1278">
      <c r="A1278" s="1" t="s">
        <v>1297</v>
      </c>
      <c r="B1278" s="2">
        <v>101.0</v>
      </c>
      <c r="C1278" s="4"/>
      <c r="E1278" s="4" t="str">
        <f t="array" ref="E1278">XLOOKUP(A1278,'Fintech, Regulatory Arbitrage, '!A:A,'Fintech, Regulatory Arbitrage, '!C:C,"")</f>
        <v/>
      </c>
    </row>
    <row r="1279">
      <c r="A1279" s="1" t="s">
        <v>1298</v>
      </c>
      <c r="B1279" s="2">
        <v>101.0</v>
      </c>
      <c r="C1279" s="4"/>
      <c r="E1279" s="4" t="str">
        <f t="array" ref="E1279">XLOOKUP(A1279,'Fintech, Regulatory Arbitrage, '!A:A,'Fintech, Regulatory Arbitrage, '!C:C,"")</f>
        <v/>
      </c>
    </row>
    <row r="1280">
      <c r="A1280" s="1" t="s">
        <v>1299</v>
      </c>
      <c r="B1280" s="2">
        <v>100.0</v>
      </c>
      <c r="C1280" s="4"/>
      <c r="E1280" s="4" t="str">
        <f t="array" ref="E1280">XLOOKUP(A1280,'Fintech, Regulatory Arbitrage, '!A:A,'Fintech, Regulatory Arbitrage, '!C:C,"")</f>
        <v/>
      </c>
    </row>
    <row r="1281">
      <c r="A1281" s="1" t="s">
        <v>1300</v>
      </c>
      <c r="B1281" s="2">
        <v>100.0</v>
      </c>
      <c r="C1281" s="4"/>
      <c r="E1281" s="4" t="str">
        <f t="array" ref="E1281">XLOOKUP(A1281,'Fintech, Regulatory Arbitrage, '!A:A,'Fintech, Regulatory Arbitrage, '!C:C,"")</f>
        <v/>
      </c>
    </row>
    <row r="1282">
      <c r="A1282" s="1" t="s">
        <v>1301</v>
      </c>
      <c r="B1282" s="2">
        <v>100.0</v>
      </c>
      <c r="C1282" s="4"/>
      <c r="E1282" s="4" t="str">
        <f t="array" ref="E1282">XLOOKUP(A1282,'Fintech, Regulatory Arbitrage, '!A:A,'Fintech, Regulatory Arbitrage, '!C:C,"")</f>
        <v/>
      </c>
    </row>
    <row r="1283">
      <c r="A1283" s="1" t="s">
        <v>1302</v>
      </c>
      <c r="B1283" s="2">
        <v>100.0</v>
      </c>
      <c r="C1283" s="4"/>
      <c r="E1283" s="4" t="str">
        <f t="array" ref="E1283">XLOOKUP(A1283,'Fintech, Regulatory Arbitrage, '!A:A,'Fintech, Regulatory Arbitrage, '!C:C,"")</f>
        <v/>
      </c>
    </row>
    <row r="1284">
      <c r="A1284" s="1" t="s">
        <v>1303</v>
      </c>
      <c r="B1284" s="2">
        <v>100.0</v>
      </c>
      <c r="C1284" s="4"/>
      <c r="E1284" s="4" t="str">
        <f t="array" ref="E1284">XLOOKUP(A1284,'Fintech, Regulatory Arbitrage, '!A:A,'Fintech, Regulatory Arbitrage, '!C:C,"")</f>
        <v/>
      </c>
    </row>
    <row r="1285">
      <c r="A1285" s="1" t="s">
        <v>1304</v>
      </c>
      <c r="B1285" s="2">
        <v>100.0</v>
      </c>
      <c r="C1285" s="4"/>
      <c r="E1285" s="4" t="str">
        <f t="array" ref="E1285">XLOOKUP(A1285,'Fintech, Regulatory Arbitrage, '!A:A,'Fintech, Regulatory Arbitrage, '!C:C,"")</f>
        <v/>
      </c>
    </row>
    <row r="1286">
      <c r="A1286" s="1" t="s">
        <v>1305</v>
      </c>
      <c r="B1286" s="2">
        <v>99.0</v>
      </c>
      <c r="C1286" s="4"/>
      <c r="E1286" s="4" t="str">
        <f t="array" ref="E1286">XLOOKUP(A1286,'Fintech, Regulatory Arbitrage, '!A:A,'Fintech, Regulatory Arbitrage, '!C:C,"")</f>
        <v/>
      </c>
    </row>
    <row r="1287">
      <c r="A1287" s="1" t="s">
        <v>1306</v>
      </c>
      <c r="B1287" s="2">
        <v>99.0</v>
      </c>
      <c r="C1287" s="4"/>
      <c r="E1287" s="4" t="str">
        <f t="array" ref="E1287">XLOOKUP(A1287,'Fintech, Regulatory Arbitrage, '!A:A,'Fintech, Regulatory Arbitrage, '!C:C,"")</f>
        <v/>
      </c>
    </row>
    <row r="1288">
      <c r="A1288" s="1" t="s">
        <v>1307</v>
      </c>
      <c r="B1288" s="2">
        <v>98.0</v>
      </c>
      <c r="C1288" s="4"/>
      <c r="E1288" s="4" t="str">
        <f t="array" ref="E1288">XLOOKUP(A1288,'Fintech, Regulatory Arbitrage, '!A:A,'Fintech, Regulatory Arbitrage, '!C:C,"")</f>
        <v/>
      </c>
    </row>
    <row r="1289">
      <c r="A1289" s="1" t="s">
        <v>1308</v>
      </c>
      <c r="B1289" s="2">
        <v>98.0</v>
      </c>
      <c r="C1289" s="4"/>
      <c r="E1289" s="4" t="str">
        <f t="array" ref="E1289">XLOOKUP(A1289,'Fintech, Regulatory Arbitrage, '!A:A,'Fintech, Regulatory Arbitrage, '!C:C,"")</f>
        <v/>
      </c>
    </row>
    <row r="1290">
      <c r="A1290" s="1" t="s">
        <v>1309</v>
      </c>
      <c r="B1290" s="2">
        <v>98.0</v>
      </c>
      <c r="C1290" s="4"/>
      <c r="E1290" s="4" t="str">
        <f t="array" ref="E1290">XLOOKUP(A1290,'Fintech, Regulatory Arbitrage, '!A:A,'Fintech, Regulatory Arbitrage, '!C:C,"")</f>
        <v/>
      </c>
    </row>
    <row r="1291">
      <c r="A1291" s="1" t="s">
        <v>1310</v>
      </c>
      <c r="B1291" s="2">
        <v>98.0</v>
      </c>
      <c r="C1291" s="4"/>
      <c r="E1291" s="4" t="str">
        <f t="array" ref="E1291">XLOOKUP(A1291,'Fintech, Regulatory Arbitrage, '!A:A,'Fintech, Regulatory Arbitrage, '!C:C,"")</f>
        <v/>
      </c>
    </row>
    <row r="1292">
      <c r="A1292" s="1" t="s">
        <v>1311</v>
      </c>
      <c r="B1292" s="2">
        <v>98.0</v>
      </c>
      <c r="C1292" s="4"/>
      <c r="E1292" s="4" t="str">
        <f t="array" ref="E1292">XLOOKUP(A1292,'Fintech, Regulatory Arbitrage, '!A:A,'Fintech, Regulatory Arbitrage, '!C:C,"")</f>
        <v/>
      </c>
    </row>
    <row r="1293">
      <c r="A1293" s="1" t="s">
        <v>1312</v>
      </c>
      <c r="B1293" s="2">
        <v>98.0</v>
      </c>
      <c r="C1293" s="4"/>
      <c r="E1293" s="4" t="str">
        <f t="array" ref="E1293">XLOOKUP(A1293,'Fintech, Regulatory Arbitrage, '!A:A,'Fintech, Regulatory Arbitrage, '!C:C,"")</f>
        <v/>
      </c>
    </row>
    <row r="1294">
      <c r="A1294" s="1" t="s">
        <v>1313</v>
      </c>
      <c r="B1294" s="2">
        <v>97.0</v>
      </c>
      <c r="C1294" s="4"/>
      <c r="E1294" s="4" t="str">
        <f t="array" ref="E1294">XLOOKUP(A1294,'Fintech, Regulatory Arbitrage, '!A:A,'Fintech, Regulatory Arbitrage, '!C:C,"")</f>
        <v/>
      </c>
    </row>
    <row r="1295">
      <c r="A1295" s="1" t="s">
        <v>1314</v>
      </c>
      <c r="B1295" s="2">
        <v>97.0</v>
      </c>
      <c r="C1295" s="4"/>
      <c r="E1295" s="4" t="str">
        <f t="array" ref="E1295">XLOOKUP(A1295,'Fintech, Regulatory Arbitrage, '!A:A,'Fintech, Regulatory Arbitrage, '!C:C,"")</f>
        <v/>
      </c>
    </row>
    <row r="1296">
      <c r="A1296" s="1" t="s">
        <v>1315</v>
      </c>
      <c r="B1296" s="2">
        <v>97.0</v>
      </c>
      <c r="C1296" s="4"/>
      <c r="E1296" s="4" t="str">
        <f t="array" ref="E1296">XLOOKUP(A1296,'Fintech, Regulatory Arbitrage, '!A:A,'Fintech, Regulatory Arbitrage, '!C:C,"")</f>
        <v/>
      </c>
    </row>
    <row r="1297">
      <c r="A1297" s="1" t="s">
        <v>1316</v>
      </c>
      <c r="B1297" s="2">
        <v>97.0</v>
      </c>
      <c r="C1297" s="4"/>
      <c r="E1297" s="4" t="str">
        <f t="array" ref="E1297">XLOOKUP(A1297,'Fintech, Regulatory Arbitrage, '!A:A,'Fintech, Regulatory Arbitrage, '!C:C,"")</f>
        <v/>
      </c>
    </row>
    <row r="1298">
      <c r="A1298" s="1" t="s">
        <v>1317</v>
      </c>
      <c r="B1298" s="2">
        <v>97.0</v>
      </c>
      <c r="C1298" s="4"/>
      <c r="E1298" s="4" t="str">
        <f t="array" ref="E1298">XLOOKUP(A1298,'Fintech, Regulatory Arbitrage, '!A:A,'Fintech, Regulatory Arbitrage, '!C:C,"")</f>
        <v/>
      </c>
    </row>
    <row r="1299">
      <c r="A1299" s="1" t="s">
        <v>1318</v>
      </c>
      <c r="B1299" s="2">
        <v>96.0</v>
      </c>
      <c r="C1299" s="4"/>
      <c r="E1299" s="4" t="str">
        <f t="array" ref="E1299">XLOOKUP(A1299,'Fintech, Regulatory Arbitrage, '!A:A,'Fintech, Regulatory Arbitrage, '!C:C,"")</f>
        <v/>
      </c>
    </row>
    <row r="1300">
      <c r="A1300" s="1" t="s">
        <v>1319</v>
      </c>
      <c r="B1300" s="2">
        <v>96.0</v>
      </c>
      <c r="C1300" s="4"/>
      <c r="E1300" s="4" t="str">
        <f t="array" ref="E1300">XLOOKUP(A1300,'Fintech, Regulatory Arbitrage, '!A:A,'Fintech, Regulatory Arbitrage, '!C:C,"")</f>
        <v/>
      </c>
    </row>
    <row r="1301">
      <c r="A1301" s="1" t="s">
        <v>1320</v>
      </c>
      <c r="B1301" s="2">
        <v>96.0</v>
      </c>
      <c r="C1301" s="4"/>
      <c r="E1301" s="4" t="str">
        <f t="array" ref="E1301">XLOOKUP(A1301,'Fintech, Regulatory Arbitrage, '!A:A,'Fintech, Regulatory Arbitrage, '!C:C,"")</f>
        <v/>
      </c>
    </row>
    <row r="1302">
      <c r="A1302" s="1" t="s">
        <v>1321</v>
      </c>
      <c r="B1302" s="2">
        <v>96.0</v>
      </c>
      <c r="C1302" s="4"/>
      <c r="E1302" s="4" t="str">
        <f t="array" ref="E1302">XLOOKUP(A1302,'Fintech, Regulatory Arbitrage, '!A:A,'Fintech, Regulatory Arbitrage, '!C:C,"")</f>
        <v/>
      </c>
    </row>
    <row r="1303">
      <c r="A1303" s="1" t="s">
        <v>1322</v>
      </c>
      <c r="B1303" s="2">
        <v>96.0</v>
      </c>
      <c r="C1303" s="4"/>
      <c r="E1303" s="4" t="str">
        <f t="array" ref="E1303">XLOOKUP(A1303,'Fintech, Regulatory Arbitrage, '!A:A,'Fintech, Regulatory Arbitrage, '!C:C,"")</f>
        <v/>
      </c>
    </row>
    <row r="1304">
      <c r="A1304" s="1" t="s">
        <v>1323</v>
      </c>
      <c r="B1304" s="2">
        <v>96.0</v>
      </c>
      <c r="C1304" s="4"/>
      <c r="E1304" s="4" t="str">
        <f t="array" ref="E1304">XLOOKUP(A1304,'Fintech, Regulatory Arbitrage, '!A:A,'Fintech, Regulatory Arbitrage, '!C:C,"")</f>
        <v/>
      </c>
    </row>
    <row r="1305">
      <c r="A1305" s="1" t="s">
        <v>1324</v>
      </c>
      <c r="B1305" s="2">
        <v>96.0</v>
      </c>
      <c r="C1305" s="4"/>
      <c r="E1305" s="4" t="str">
        <f t="array" ref="E1305">XLOOKUP(A1305,'Fintech, Regulatory Arbitrage, '!A:A,'Fintech, Regulatory Arbitrage, '!C:C,"")</f>
        <v/>
      </c>
    </row>
    <row r="1306">
      <c r="A1306" s="1" t="s">
        <v>1325</v>
      </c>
      <c r="B1306" s="2">
        <v>96.0</v>
      </c>
      <c r="C1306" s="4"/>
      <c r="E1306" s="4" t="str">
        <f t="array" ref="E1306">XLOOKUP(A1306,'Fintech, Regulatory Arbitrage, '!A:A,'Fintech, Regulatory Arbitrage, '!C:C,"")</f>
        <v/>
      </c>
    </row>
    <row r="1307">
      <c r="A1307" s="1" t="s">
        <v>1326</v>
      </c>
      <c r="B1307" s="2">
        <v>96.0</v>
      </c>
      <c r="C1307" s="4"/>
      <c r="E1307" s="4" t="str">
        <f t="array" ref="E1307">XLOOKUP(A1307,'Fintech, Regulatory Arbitrage, '!A:A,'Fintech, Regulatory Arbitrage, '!C:C,"")</f>
        <v/>
      </c>
    </row>
    <row r="1308">
      <c r="A1308" s="1" t="s">
        <v>1327</v>
      </c>
      <c r="B1308" s="2">
        <v>96.0</v>
      </c>
      <c r="C1308" s="4"/>
      <c r="E1308" s="4" t="str">
        <f t="array" ref="E1308">XLOOKUP(A1308,'Fintech, Regulatory Arbitrage, '!A:A,'Fintech, Regulatory Arbitrage, '!C:C,"")</f>
        <v/>
      </c>
    </row>
    <row r="1309">
      <c r="A1309" s="1" t="s">
        <v>1328</v>
      </c>
      <c r="B1309" s="2">
        <v>95.0</v>
      </c>
      <c r="C1309" s="4"/>
      <c r="E1309" s="4" t="str">
        <f t="array" ref="E1309">XLOOKUP(A1309,'Fintech, Regulatory Arbitrage, '!A:A,'Fintech, Regulatory Arbitrage, '!C:C,"")</f>
        <v/>
      </c>
    </row>
    <row r="1310">
      <c r="A1310" s="1" t="s">
        <v>1329</v>
      </c>
      <c r="B1310" s="2">
        <v>95.0</v>
      </c>
      <c r="C1310" s="4"/>
      <c r="E1310" s="4" t="str">
        <f t="array" ref="E1310">XLOOKUP(A1310,'Fintech, Regulatory Arbitrage, '!A:A,'Fintech, Regulatory Arbitrage, '!C:C,"")</f>
        <v/>
      </c>
    </row>
    <row r="1311">
      <c r="A1311" s="1" t="s">
        <v>1330</v>
      </c>
      <c r="B1311" s="2">
        <v>95.0</v>
      </c>
      <c r="C1311" s="4"/>
      <c r="E1311" s="4" t="str">
        <f t="array" ref="E1311">XLOOKUP(A1311,'Fintech, Regulatory Arbitrage, '!A:A,'Fintech, Regulatory Arbitrage, '!C:C,"")</f>
        <v/>
      </c>
    </row>
    <row r="1312">
      <c r="A1312" s="1" t="s">
        <v>1331</v>
      </c>
      <c r="B1312" s="2">
        <v>95.0</v>
      </c>
      <c r="C1312" s="4"/>
      <c r="E1312" s="4" t="str">
        <f t="array" ref="E1312">XLOOKUP(A1312,'Fintech, Regulatory Arbitrage, '!A:A,'Fintech, Regulatory Arbitrage, '!C:C,"")</f>
        <v/>
      </c>
    </row>
    <row r="1313">
      <c r="A1313" s="1" t="s">
        <v>1332</v>
      </c>
      <c r="B1313" s="2">
        <v>95.0</v>
      </c>
      <c r="C1313" s="4"/>
      <c r="E1313" s="4" t="str">
        <f t="array" ref="E1313">XLOOKUP(A1313,'Fintech, Regulatory Arbitrage, '!A:A,'Fintech, Regulatory Arbitrage, '!C:C,"")</f>
        <v/>
      </c>
    </row>
    <row r="1314">
      <c r="A1314" s="1" t="s">
        <v>1333</v>
      </c>
      <c r="B1314" s="2">
        <v>95.0</v>
      </c>
      <c r="C1314" s="4"/>
      <c r="E1314" s="4" t="str">
        <f t="array" ref="E1314">XLOOKUP(A1314,'Fintech, Regulatory Arbitrage, '!A:A,'Fintech, Regulatory Arbitrage, '!C:C,"")</f>
        <v/>
      </c>
    </row>
    <row r="1315">
      <c r="A1315" s="1" t="s">
        <v>1334</v>
      </c>
      <c r="B1315" s="2">
        <v>95.0</v>
      </c>
      <c r="C1315" s="4"/>
      <c r="E1315" s="4" t="str">
        <f t="array" ref="E1315">XLOOKUP(A1315,'Fintech, Regulatory Arbitrage, '!A:A,'Fintech, Regulatory Arbitrage, '!C:C,"")</f>
        <v/>
      </c>
    </row>
    <row r="1316">
      <c r="A1316" s="1" t="s">
        <v>1335</v>
      </c>
      <c r="B1316" s="2">
        <v>95.0</v>
      </c>
      <c r="C1316" s="4"/>
      <c r="E1316" s="4" t="str">
        <f t="array" ref="E1316">XLOOKUP(A1316,'Fintech, Regulatory Arbitrage, '!A:A,'Fintech, Regulatory Arbitrage, '!C:C,"")</f>
        <v/>
      </c>
    </row>
    <row r="1317">
      <c r="A1317" s="1" t="s">
        <v>1336</v>
      </c>
      <c r="B1317" s="2">
        <v>94.0</v>
      </c>
      <c r="C1317" s="4"/>
      <c r="E1317" s="4" t="str">
        <f t="array" ref="E1317">XLOOKUP(A1317,'Fintech, Regulatory Arbitrage, '!A:A,'Fintech, Regulatory Arbitrage, '!C:C,"")</f>
        <v/>
      </c>
    </row>
    <row r="1318">
      <c r="A1318" s="1" t="s">
        <v>1337</v>
      </c>
      <c r="B1318" s="2">
        <v>94.0</v>
      </c>
      <c r="C1318" s="4"/>
      <c r="E1318" s="4" t="str">
        <f t="array" ref="E1318">XLOOKUP(A1318,'Fintech, Regulatory Arbitrage, '!A:A,'Fintech, Regulatory Arbitrage, '!C:C,"")</f>
        <v/>
      </c>
    </row>
    <row r="1319">
      <c r="A1319" s="1" t="s">
        <v>1338</v>
      </c>
      <c r="B1319" s="2">
        <v>94.0</v>
      </c>
      <c r="C1319" s="4"/>
      <c r="E1319" s="4" t="str">
        <f t="array" ref="E1319">XLOOKUP(A1319,'Fintech, Regulatory Arbitrage, '!A:A,'Fintech, Regulatory Arbitrage, '!C:C,"")</f>
        <v/>
      </c>
    </row>
    <row r="1320">
      <c r="A1320" s="1" t="s">
        <v>1339</v>
      </c>
      <c r="B1320" s="2">
        <v>94.0</v>
      </c>
      <c r="C1320" s="4"/>
      <c r="E1320" s="4" t="str">
        <f t="array" ref="E1320">XLOOKUP(A1320,'Fintech, Regulatory Arbitrage, '!A:A,'Fintech, Regulatory Arbitrage, '!C:C,"")</f>
        <v/>
      </c>
    </row>
    <row r="1321">
      <c r="A1321" s="1" t="s">
        <v>1340</v>
      </c>
      <c r="B1321" s="2">
        <v>94.0</v>
      </c>
      <c r="C1321" s="4"/>
      <c r="E1321" s="4" t="str">
        <f t="array" ref="E1321">XLOOKUP(A1321,'Fintech, Regulatory Arbitrage, '!A:A,'Fintech, Regulatory Arbitrage, '!C:C,"")</f>
        <v/>
      </c>
    </row>
    <row r="1322">
      <c r="A1322" s="1" t="s">
        <v>1341</v>
      </c>
      <c r="B1322" s="2">
        <v>94.0</v>
      </c>
      <c r="C1322" s="4"/>
      <c r="E1322" s="4" t="str">
        <f t="array" ref="E1322">XLOOKUP(A1322,'Fintech, Regulatory Arbitrage, '!A:A,'Fintech, Regulatory Arbitrage, '!C:C,"")</f>
        <v/>
      </c>
    </row>
    <row r="1323">
      <c r="A1323" s="1" t="s">
        <v>1342</v>
      </c>
      <c r="B1323" s="2">
        <v>94.0</v>
      </c>
      <c r="C1323" s="4"/>
      <c r="E1323" s="4" t="str">
        <f t="array" ref="E1323">XLOOKUP(A1323,'Fintech, Regulatory Arbitrage, '!A:A,'Fintech, Regulatory Arbitrage, '!C:C,"")</f>
        <v/>
      </c>
    </row>
    <row r="1324">
      <c r="A1324" s="1" t="s">
        <v>1343</v>
      </c>
      <c r="B1324" s="2">
        <v>94.0</v>
      </c>
      <c r="C1324" s="4"/>
      <c r="E1324" s="4" t="str">
        <f t="array" ref="E1324">XLOOKUP(A1324,'Fintech, Regulatory Arbitrage, '!A:A,'Fintech, Regulatory Arbitrage, '!C:C,"")</f>
        <v/>
      </c>
    </row>
    <row r="1325">
      <c r="A1325" s="1" t="s">
        <v>1344</v>
      </c>
      <c r="B1325" s="2">
        <v>93.0</v>
      </c>
      <c r="C1325" s="4"/>
      <c r="E1325" s="4" t="str">
        <f t="array" ref="E1325">XLOOKUP(A1325,'Fintech, Regulatory Arbitrage, '!A:A,'Fintech, Regulatory Arbitrage, '!C:C,"")</f>
        <v/>
      </c>
    </row>
    <row r="1326">
      <c r="A1326" s="1" t="s">
        <v>1345</v>
      </c>
      <c r="B1326" s="2">
        <v>93.0</v>
      </c>
      <c r="C1326" s="4"/>
      <c r="E1326" s="4" t="str">
        <f t="array" ref="E1326">XLOOKUP(A1326,'Fintech, Regulatory Arbitrage, '!A:A,'Fintech, Regulatory Arbitrage, '!C:C,"")</f>
        <v/>
      </c>
    </row>
    <row r="1327">
      <c r="A1327" s="1" t="s">
        <v>1346</v>
      </c>
      <c r="B1327" s="2">
        <v>93.0</v>
      </c>
      <c r="C1327" s="4"/>
      <c r="E1327" s="4" t="str">
        <f t="array" ref="E1327">XLOOKUP(A1327,'Fintech, Regulatory Arbitrage, '!A:A,'Fintech, Regulatory Arbitrage, '!C:C,"")</f>
        <v/>
      </c>
    </row>
    <row r="1328">
      <c r="A1328" s="1" t="s">
        <v>1347</v>
      </c>
      <c r="B1328" s="2">
        <v>93.0</v>
      </c>
      <c r="C1328" s="4"/>
      <c r="E1328" s="4" t="str">
        <f t="array" ref="E1328">XLOOKUP(A1328,'Fintech, Regulatory Arbitrage, '!A:A,'Fintech, Regulatory Arbitrage, '!C:C,"")</f>
        <v/>
      </c>
    </row>
    <row r="1329">
      <c r="A1329" s="1" t="s">
        <v>1348</v>
      </c>
      <c r="B1329" s="2">
        <v>93.0</v>
      </c>
      <c r="C1329" s="4"/>
      <c r="E1329" s="4" t="str">
        <f t="array" ref="E1329">XLOOKUP(A1329,'Fintech, Regulatory Arbitrage, '!A:A,'Fintech, Regulatory Arbitrage, '!C:C,"")</f>
        <v/>
      </c>
    </row>
    <row r="1330">
      <c r="A1330" s="1" t="s">
        <v>1349</v>
      </c>
      <c r="B1330" s="2">
        <v>93.0</v>
      </c>
      <c r="C1330" s="4"/>
      <c r="E1330" s="4" t="str">
        <f t="array" ref="E1330">XLOOKUP(A1330,'Fintech, Regulatory Arbitrage, '!A:A,'Fintech, Regulatory Arbitrage, '!C:C,"")</f>
        <v/>
      </c>
    </row>
    <row r="1331">
      <c r="A1331" s="1" t="s">
        <v>1350</v>
      </c>
      <c r="B1331" s="2">
        <v>93.0</v>
      </c>
      <c r="C1331" s="4"/>
      <c r="E1331" s="4" t="str">
        <f t="array" ref="E1331">XLOOKUP(A1331,'Fintech, Regulatory Arbitrage, '!A:A,'Fintech, Regulatory Arbitrage, '!C:C,"")</f>
        <v/>
      </c>
    </row>
    <row r="1332">
      <c r="A1332" s="1" t="s">
        <v>1351</v>
      </c>
      <c r="B1332" s="2">
        <v>93.0</v>
      </c>
      <c r="C1332" s="4"/>
      <c r="E1332" s="4" t="str">
        <f t="array" ref="E1332">XLOOKUP(A1332,'Fintech, Regulatory Arbitrage, '!A:A,'Fintech, Regulatory Arbitrage, '!C:C,"")</f>
        <v/>
      </c>
    </row>
    <row r="1333">
      <c r="A1333" s="1" t="s">
        <v>1352</v>
      </c>
      <c r="B1333" s="2">
        <v>92.0</v>
      </c>
      <c r="C1333" s="4"/>
      <c r="E1333" s="4" t="str">
        <f t="array" ref="E1333">XLOOKUP(A1333,'Fintech, Regulatory Arbitrage, '!A:A,'Fintech, Regulatory Arbitrage, '!C:C,"")</f>
        <v/>
      </c>
    </row>
    <row r="1334">
      <c r="A1334" s="1" t="s">
        <v>1353</v>
      </c>
      <c r="B1334" s="2">
        <v>92.0</v>
      </c>
      <c r="C1334" s="4"/>
      <c r="E1334" s="4" t="str">
        <f t="array" ref="E1334">XLOOKUP(A1334,'Fintech, Regulatory Arbitrage, '!A:A,'Fintech, Regulatory Arbitrage, '!C:C,"")</f>
        <v/>
      </c>
    </row>
    <row r="1335">
      <c r="A1335" s="1" t="s">
        <v>1354</v>
      </c>
      <c r="B1335" s="2">
        <v>92.0</v>
      </c>
      <c r="C1335" s="4"/>
      <c r="E1335" s="4" t="str">
        <f t="array" ref="E1335">XLOOKUP(A1335,'Fintech, Regulatory Arbitrage, '!A:A,'Fintech, Regulatory Arbitrage, '!C:C,"")</f>
        <v/>
      </c>
    </row>
    <row r="1336">
      <c r="A1336" s="1" t="s">
        <v>1355</v>
      </c>
      <c r="B1336" s="2">
        <v>92.0</v>
      </c>
      <c r="C1336" s="4"/>
      <c r="E1336" s="4" t="str">
        <f t="array" ref="E1336">XLOOKUP(A1336,'Fintech, Regulatory Arbitrage, '!A:A,'Fintech, Regulatory Arbitrage, '!C:C,"")</f>
        <v/>
      </c>
    </row>
    <row r="1337">
      <c r="A1337" s="1" t="s">
        <v>1356</v>
      </c>
      <c r="B1337" s="2">
        <v>92.0</v>
      </c>
      <c r="C1337" s="4"/>
      <c r="E1337" s="4" t="str">
        <f t="array" ref="E1337">XLOOKUP(A1337,'Fintech, Regulatory Arbitrage, '!A:A,'Fintech, Regulatory Arbitrage, '!C:C,"")</f>
        <v/>
      </c>
    </row>
    <row r="1338">
      <c r="A1338" s="1" t="s">
        <v>1357</v>
      </c>
      <c r="B1338" s="2">
        <v>92.0</v>
      </c>
      <c r="C1338" s="4"/>
      <c r="E1338" s="4" t="str">
        <f t="array" ref="E1338">XLOOKUP(A1338,'Fintech, Regulatory Arbitrage, '!A:A,'Fintech, Regulatory Arbitrage, '!C:C,"")</f>
        <v/>
      </c>
    </row>
    <row r="1339">
      <c r="A1339" s="1" t="s">
        <v>1358</v>
      </c>
      <c r="B1339" s="2">
        <v>92.0</v>
      </c>
      <c r="C1339" s="4"/>
      <c r="E1339" s="4" t="str">
        <f t="array" ref="E1339">XLOOKUP(A1339,'Fintech, Regulatory Arbitrage, '!A:A,'Fintech, Regulatory Arbitrage, '!C:C,"")</f>
        <v/>
      </c>
    </row>
    <row r="1340">
      <c r="A1340" s="1" t="s">
        <v>1359</v>
      </c>
      <c r="B1340" s="2">
        <v>92.0</v>
      </c>
      <c r="C1340" s="4"/>
      <c r="E1340" s="4" t="str">
        <f t="array" ref="E1340">XLOOKUP(A1340,'Fintech, Regulatory Arbitrage, '!A:A,'Fintech, Regulatory Arbitrage, '!C:C,"")</f>
        <v/>
      </c>
    </row>
    <row r="1341">
      <c r="A1341" s="1" t="s">
        <v>1360</v>
      </c>
      <c r="B1341" s="2">
        <v>91.0</v>
      </c>
      <c r="C1341" s="4"/>
      <c r="E1341" s="4" t="str">
        <f t="array" ref="E1341">XLOOKUP(A1341,'Fintech, Regulatory Arbitrage, '!A:A,'Fintech, Regulatory Arbitrage, '!C:C,"")</f>
        <v/>
      </c>
    </row>
    <row r="1342">
      <c r="A1342" s="1" t="s">
        <v>1361</v>
      </c>
      <c r="B1342" s="2">
        <v>91.0</v>
      </c>
      <c r="C1342" s="4"/>
      <c r="E1342" s="4" t="str">
        <f t="array" ref="E1342">XLOOKUP(A1342,'Fintech, Regulatory Arbitrage, '!A:A,'Fintech, Regulatory Arbitrage, '!C:C,"")</f>
        <v/>
      </c>
    </row>
    <row r="1343">
      <c r="A1343" s="1" t="s">
        <v>1362</v>
      </c>
      <c r="B1343" s="2">
        <v>91.0</v>
      </c>
      <c r="C1343" s="4"/>
      <c r="E1343" s="4" t="str">
        <f t="array" ref="E1343">XLOOKUP(A1343,'Fintech, Regulatory Arbitrage, '!A:A,'Fintech, Regulatory Arbitrage, '!C:C,"")</f>
        <v/>
      </c>
    </row>
    <row r="1344">
      <c r="A1344" s="1" t="s">
        <v>1363</v>
      </c>
      <c r="B1344" s="2">
        <v>91.0</v>
      </c>
      <c r="C1344" s="4"/>
      <c r="E1344" s="4" t="str">
        <f t="array" ref="E1344">XLOOKUP(A1344,'Fintech, Regulatory Arbitrage, '!A:A,'Fintech, Regulatory Arbitrage, '!C:C,"")</f>
        <v/>
      </c>
    </row>
    <row r="1345">
      <c r="A1345" s="1" t="s">
        <v>1364</v>
      </c>
      <c r="B1345" s="2">
        <v>91.0</v>
      </c>
      <c r="C1345" s="4"/>
      <c r="E1345" s="4" t="str">
        <f t="array" ref="E1345">XLOOKUP(A1345,'Fintech, Regulatory Arbitrage, '!A:A,'Fintech, Regulatory Arbitrage, '!C:C,"")</f>
        <v/>
      </c>
    </row>
    <row r="1346">
      <c r="A1346" s="1" t="s">
        <v>1365</v>
      </c>
      <c r="B1346" s="2">
        <v>91.0</v>
      </c>
      <c r="C1346" s="4"/>
      <c r="E1346" s="4" t="str">
        <f t="array" ref="E1346">XLOOKUP(A1346,'Fintech, Regulatory Arbitrage, '!A:A,'Fintech, Regulatory Arbitrage, '!C:C,"")</f>
        <v/>
      </c>
    </row>
    <row r="1347">
      <c r="A1347" s="1" t="s">
        <v>1366</v>
      </c>
      <c r="B1347" s="2">
        <v>90.0</v>
      </c>
      <c r="C1347" s="4"/>
      <c r="E1347" s="4" t="str">
        <f t="array" ref="E1347">XLOOKUP(A1347,'Fintech, Regulatory Arbitrage, '!A:A,'Fintech, Regulatory Arbitrage, '!C:C,"")</f>
        <v/>
      </c>
    </row>
    <row r="1348">
      <c r="A1348" s="1" t="s">
        <v>1367</v>
      </c>
      <c r="B1348" s="2">
        <v>90.0</v>
      </c>
      <c r="C1348" s="4"/>
      <c r="E1348" s="4" t="str">
        <f t="array" ref="E1348">XLOOKUP(A1348,'Fintech, Regulatory Arbitrage, '!A:A,'Fintech, Regulatory Arbitrage, '!C:C,"")</f>
        <v/>
      </c>
    </row>
    <row r="1349">
      <c r="A1349" s="1" t="s">
        <v>1368</v>
      </c>
      <c r="B1349" s="2">
        <v>90.0</v>
      </c>
      <c r="C1349" s="4"/>
      <c r="E1349" s="4" t="str">
        <f t="array" ref="E1349">XLOOKUP(A1349,'Fintech, Regulatory Arbitrage, '!A:A,'Fintech, Regulatory Arbitrage, '!C:C,"")</f>
        <v/>
      </c>
    </row>
    <row r="1350">
      <c r="A1350" s="1" t="s">
        <v>1369</v>
      </c>
      <c r="B1350" s="2">
        <v>90.0</v>
      </c>
      <c r="C1350" s="4"/>
      <c r="E1350" s="4" t="str">
        <f t="array" ref="E1350">XLOOKUP(A1350,'Fintech, Regulatory Arbitrage, '!A:A,'Fintech, Regulatory Arbitrage, '!C:C,"")</f>
        <v/>
      </c>
    </row>
    <row r="1351">
      <c r="A1351" s="1" t="s">
        <v>1370</v>
      </c>
      <c r="B1351" s="2">
        <v>90.0</v>
      </c>
      <c r="C1351" s="4"/>
      <c r="E1351" s="4" t="str">
        <f t="array" ref="E1351">XLOOKUP(A1351,'Fintech, Regulatory Arbitrage, '!A:A,'Fintech, Regulatory Arbitrage, '!C:C,"")</f>
        <v/>
      </c>
    </row>
    <row r="1352">
      <c r="A1352" s="1" t="s">
        <v>1371</v>
      </c>
      <c r="B1352" s="2">
        <v>89.0</v>
      </c>
      <c r="C1352" s="4"/>
      <c r="E1352" s="4" t="str">
        <f t="array" ref="E1352">XLOOKUP(A1352,'Fintech, Regulatory Arbitrage, '!A:A,'Fintech, Regulatory Arbitrage, '!C:C,"")</f>
        <v/>
      </c>
    </row>
    <row r="1353">
      <c r="A1353" s="1" t="s">
        <v>1372</v>
      </c>
      <c r="B1353" s="2">
        <v>89.0</v>
      </c>
      <c r="C1353" s="4"/>
      <c r="E1353" s="4" t="str">
        <f t="array" ref="E1353">XLOOKUP(A1353,'Fintech, Regulatory Arbitrage, '!A:A,'Fintech, Regulatory Arbitrage, '!C:C,"")</f>
        <v/>
      </c>
    </row>
    <row r="1354">
      <c r="A1354" s="1" t="s">
        <v>1373</v>
      </c>
      <c r="B1354" s="2">
        <v>89.0</v>
      </c>
      <c r="C1354" s="4"/>
      <c r="E1354" s="4" t="str">
        <f t="array" ref="E1354">XLOOKUP(A1354,'Fintech, Regulatory Arbitrage, '!A:A,'Fintech, Regulatory Arbitrage, '!C:C,"")</f>
        <v/>
      </c>
    </row>
    <row r="1355">
      <c r="A1355" s="1" t="s">
        <v>1374</v>
      </c>
      <c r="B1355" s="2">
        <v>89.0</v>
      </c>
      <c r="C1355" s="4"/>
      <c r="E1355" s="4" t="str">
        <f t="array" ref="E1355">XLOOKUP(A1355,'Fintech, Regulatory Arbitrage, '!A:A,'Fintech, Regulatory Arbitrage, '!C:C,"")</f>
        <v/>
      </c>
    </row>
    <row r="1356">
      <c r="A1356" s="1" t="s">
        <v>1375</v>
      </c>
      <c r="B1356" s="2">
        <v>89.0</v>
      </c>
      <c r="C1356" s="4"/>
      <c r="E1356" s="4" t="str">
        <f t="array" ref="E1356">XLOOKUP(A1356,'Fintech, Regulatory Arbitrage, '!A:A,'Fintech, Regulatory Arbitrage, '!C:C,"")</f>
        <v/>
      </c>
    </row>
    <row r="1357">
      <c r="A1357" s="1" t="s">
        <v>1376</v>
      </c>
      <c r="B1357" s="2">
        <v>89.0</v>
      </c>
      <c r="C1357" s="4"/>
      <c r="E1357" s="4" t="str">
        <f t="array" ref="E1357">XLOOKUP(A1357,'Fintech, Regulatory Arbitrage, '!A:A,'Fintech, Regulatory Arbitrage, '!C:C,"")</f>
        <v/>
      </c>
    </row>
    <row r="1358">
      <c r="A1358" s="1" t="s">
        <v>1377</v>
      </c>
      <c r="B1358" s="2">
        <v>89.0</v>
      </c>
      <c r="C1358" s="4"/>
      <c r="E1358" s="4" t="str">
        <f t="array" ref="E1358">XLOOKUP(A1358,'Fintech, Regulatory Arbitrage, '!A:A,'Fintech, Regulatory Arbitrage, '!C:C,"")</f>
        <v/>
      </c>
    </row>
    <row r="1359">
      <c r="A1359" s="1" t="s">
        <v>1378</v>
      </c>
      <c r="B1359" s="2">
        <v>89.0</v>
      </c>
      <c r="C1359" s="4"/>
      <c r="E1359" s="4" t="str">
        <f t="array" ref="E1359">XLOOKUP(A1359,'Fintech, Regulatory Arbitrage, '!A:A,'Fintech, Regulatory Arbitrage, '!C:C,"")</f>
        <v/>
      </c>
    </row>
    <row r="1360">
      <c r="A1360" s="1" t="s">
        <v>1379</v>
      </c>
      <c r="B1360" s="2">
        <v>89.0</v>
      </c>
      <c r="C1360" s="4"/>
      <c r="E1360" s="4" t="str">
        <f t="array" ref="E1360">XLOOKUP(A1360,'Fintech, Regulatory Arbitrage, '!A:A,'Fintech, Regulatory Arbitrage, '!C:C,"")</f>
        <v/>
      </c>
    </row>
    <row r="1361">
      <c r="A1361" s="1" t="s">
        <v>1380</v>
      </c>
      <c r="B1361" s="2">
        <v>89.0</v>
      </c>
      <c r="C1361" s="4"/>
      <c r="E1361" s="4" t="str">
        <f t="array" ref="E1361">XLOOKUP(A1361,'Fintech, Regulatory Arbitrage, '!A:A,'Fintech, Regulatory Arbitrage, '!C:C,"")</f>
        <v/>
      </c>
    </row>
    <row r="1362">
      <c r="A1362" s="1" t="s">
        <v>1381</v>
      </c>
      <c r="B1362" s="2">
        <v>88.0</v>
      </c>
      <c r="C1362" s="4"/>
      <c r="E1362" s="4" t="str">
        <f t="array" ref="E1362">XLOOKUP(A1362,'Fintech, Regulatory Arbitrage, '!A:A,'Fintech, Regulatory Arbitrage, '!C:C,"")</f>
        <v/>
      </c>
    </row>
    <row r="1363">
      <c r="A1363" s="1" t="s">
        <v>1382</v>
      </c>
      <c r="B1363" s="2">
        <v>88.0</v>
      </c>
      <c r="C1363" s="4"/>
      <c r="E1363" s="4" t="str">
        <f t="array" ref="E1363">XLOOKUP(A1363,'Fintech, Regulatory Arbitrage, '!A:A,'Fintech, Regulatory Arbitrage, '!C:C,"")</f>
        <v/>
      </c>
    </row>
    <row r="1364">
      <c r="A1364" s="1" t="s">
        <v>1383</v>
      </c>
      <c r="B1364" s="2">
        <v>88.0</v>
      </c>
      <c r="C1364" s="4"/>
      <c r="E1364" s="4" t="str">
        <f t="array" ref="E1364">XLOOKUP(A1364,'Fintech, Regulatory Arbitrage, '!A:A,'Fintech, Regulatory Arbitrage, '!C:C,"")</f>
        <v/>
      </c>
    </row>
    <row r="1365">
      <c r="A1365" s="1" t="s">
        <v>1384</v>
      </c>
      <c r="B1365" s="2">
        <v>88.0</v>
      </c>
      <c r="C1365" s="4"/>
      <c r="E1365" s="4" t="str">
        <f t="array" ref="E1365">XLOOKUP(A1365,'Fintech, Regulatory Arbitrage, '!A:A,'Fintech, Regulatory Arbitrage, '!C:C,"")</f>
        <v/>
      </c>
    </row>
    <row r="1366">
      <c r="A1366" s="1" t="s">
        <v>1385</v>
      </c>
      <c r="B1366" s="2">
        <v>88.0</v>
      </c>
      <c r="C1366" s="4"/>
      <c r="E1366" s="4" t="str">
        <f t="array" ref="E1366">XLOOKUP(A1366,'Fintech, Regulatory Arbitrage, '!A:A,'Fintech, Regulatory Arbitrage, '!C:C,"")</f>
        <v/>
      </c>
    </row>
    <row r="1367">
      <c r="A1367" s="1" t="s">
        <v>1386</v>
      </c>
      <c r="B1367" s="2">
        <v>88.0</v>
      </c>
      <c r="C1367" s="4"/>
      <c r="E1367" s="4" t="str">
        <f t="array" ref="E1367">XLOOKUP(A1367,'Fintech, Regulatory Arbitrage, '!A:A,'Fintech, Regulatory Arbitrage, '!C:C,"")</f>
        <v/>
      </c>
    </row>
    <row r="1368">
      <c r="A1368" s="1" t="s">
        <v>1387</v>
      </c>
      <c r="B1368" s="2">
        <v>88.0</v>
      </c>
      <c r="C1368" s="4"/>
      <c r="E1368" s="4" t="str">
        <f t="array" ref="E1368">XLOOKUP(A1368,'Fintech, Regulatory Arbitrage, '!A:A,'Fintech, Regulatory Arbitrage, '!C:C,"")</f>
        <v/>
      </c>
    </row>
    <row r="1369">
      <c r="A1369" s="1" t="s">
        <v>1388</v>
      </c>
      <c r="B1369" s="2">
        <v>88.0</v>
      </c>
      <c r="C1369" s="4"/>
      <c r="E1369" s="4" t="str">
        <f t="array" ref="E1369">XLOOKUP(A1369,'Fintech, Regulatory Arbitrage, '!A:A,'Fintech, Regulatory Arbitrage, '!C:C,"")</f>
        <v/>
      </c>
    </row>
    <row r="1370">
      <c r="A1370" s="1" t="s">
        <v>1389</v>
      </c>
      <c r="B1370" s="2">
        <v>87.0</v>
      </c>
      <c r="C1370" s="4"/>
      <c r="E1370" s="4" t="str">
        <f t="array" ref="E1370">XLOOKUP(A1370,'Fintech, Regulatory Arbitrage, '!A:A,'Fintech, Regulatory Arbitrage, '!C:C,"")</f>
        <v/>
      </c>
    </row>
    <row r="1371">
      <c r="A1371" s="1" t="s">
        <v>1390</v>
      </c>
      <c r="B1371" s="2">
        <v>87.0</v>
      </c>
      <c r="C1371" s="4"/>
      <c r="E1371" s="4" t="str">
        <f t="array" ref="E1371">XLOOKUP(A1371,'Fintech, Regulatory Arbitrage, '!A:A,'Fintech, Regulatory Arbitrage, '!C:C,"")</f>
        <v/>
      </c>
    </row>
    <row r="1372">
      <c r="A1372" s="1" t="s">
        <v>1391</v>
      </c>
      <c r="B1372" s="2">
        <v>87.0</v>
      </c>
      <c r="C1372" s="4"/>
      <c r="E1372" s="4" t="str">
        <f t="array" ref="E1372">XLOOKUP(A1372,'Fintech, Regulatory Arbitrage, '!A:A,'Fintech, Regulatory Arbitrage, '!C:C,"")</f>
        <v/>
      </c>
    </row>
    <row r="1373">
      <c r="A1373" s="1" t="s">
        <v>1392</v>
      </c>
      <c r="B1373" s="2">
        <v>87.0</v>
      </c>
      <c r="C1373" s="4"/>
      <c r="E1373" s="4" t="str">
        <f t="array" ref="E1373">XLOOKUP(A1373,'Fintech, Regulatory Arbitrage, '!A:A,'Fintech, Regulatory Arbitrage, '!C:C,"")</f>
        <v/>
      </c>
    </row>
    <row r="1374">
      <c r="A1374" s="1" t="s">
        <v>1393</v>
      </c>
      <c r="B1374" s="2">
        <v>87.0</v>
      </c>
      <c r="C1374" s="4"/>
      <c r="E1374" s="4" t="str">
        <f t="array" ref="E1374">XLOOKUP(A1374,'Fintech, Regulatory Arbitrage, '!A:A,'Fintech, Regulatory Arbitrage, '!C:C,"")</f>
        <v/>
      </c>
    </row>
    <row r="1375">
      <c r="A1375" s="1" t="s">
        <v>1394</v>
      </c>
      <c r="B1375" s="2">
        <v>86.0</v>
      </c>
      <c r="C1375" s="4"/>
      <c r="E1375" s="4" t="str">
        <f t="array" ref="E1375">XLOOKUP(A1375,'Fintech, Regulatory Arbitrage, '!A:A,'Fintech, Regulatory Arbitrage, '!C:C,"")</f>
        <v/>
      </c>
    </row>
    <row r="1376">
      <c r="A1376" s="1" t="s">
        <v>1395</v>
      </c>
      <c r="B1376" s="2">
        <v>86.0</v>
      </c>
      <c r="C1376" s="4"/>
      <c r="E1376" s="4" t="str">
        <f t="array" ref="E1376">XLOOKUP(A1376,'Fintech, Regulatory Arbitrage, '!A:A,'Fintech, Regulatory Arbitrage, '!C:C,"")</f>
        <v/>
      </c>
    </row>
    <row r="1377">
      <c r="A1377" s="1" t="s">
        <v>1396</v>
      </c>
      <c r="B1377" s="2">
        <v>86.0</v>
      </c>
      <c r="C1377" s="4"/>
      <c r="E1377" s="4" t="str">
        <f t="array" ref="E1377">XLOOKUP(A1377,'Fintech, Regulatory Arbitrage, '!A:A,'Fintech, Regulatory Arbitrage, '!C:C,"")</f>
        <v/>
      </c>
    </row>
    <row r="1378">
      <c r="A1378" s="1" t="s">
        <v>1397</v>
      </c>
      <c r="B1378" s="2">
        <v>86.0</v>
      </c>
      <c r="C1378" s="4"/>
      <c r="E1378" s="4" t="str">
        <f t="array" ref="E1378">XLOOKUP(A1378,'Fintech, Regulatory Arbitrage, '!A:A,'Fintech, Regulatory Arbitrage, '!C:C,"")</f>
        <v/>
      </c>
    </row>
    <row r="1379">
      <c r="A1379" s="1" t="s">
        <v>1398</v>
      </c>
      <c r="B1379" s="2">
        <v>86.0</v>
      </c>
      <c r="C1379" s="4"/>
      <c r="E1379" s="4" t="str">
        <f t="array" ref="E1379">XLOOKUP(A1379,'Fintech, Regulatory Arbitrage, '!A:A,'Fintech, Regulatory Arbitrage, '!C:C,"")</f>
        <v/>
      </c>
    </row>
    <row r="1380">
      <c r="A1380" s="1" t="s">
        <v>1399</v>
      </c>
      <c r="B1380" s="2">
        <v>86.0</v>
      </c>
      <c r="C1380" s="4"/>
      <c r="E1380" s="4" t="str">
        <f t="array" ref="E1380">XLOOKUP(A1380,'Fintech, Regulatory Arbitrage, '!A:A,'Fintech, Regulatory Arbitrage, '!C:C,"")</f>
        <v/>
      </c>
    </row>
    <row r="1381">
      <c r="A1381" s="1" t="s">
        <v>1400</v>
      </c>
      <c r="B1381" s="2">
        <v>86.0</v>
      </c>
      <c r="C1381" s="4"/>
      <c r="E1381" s="4" t="str">
        <f t="array" ref="E1381">XLOOKUP(A1381,'Fintech, Regulatory Arbitrage, '!A:A,'Fintech, Regulatory Arbitrage, '!C:C,"")</f>
        <v/>
      </c>
    </row>
    <row r="1382">
      <c r="A1382" s="1" t="s">
        <v>1401</v>
      </c>
      <c r="B1382" s="2">
        <v>86.0</v>
      </c>
      <c r="C1382" s="4"/>
      <c r="E1382" s="4" t="str">
        <f t="array" ref="E1382">XLOOKUP(A1382,'Fintech, Regulatory Arbitrage, '!A:A,'Fintech, Regulatory Arbitrage, '!C:C,"")</f>
        <v/>
      </c>
    </row>
    <row r="1383">
      <c r="A1383" s="1" t="s">
        <v>1402</v>
      </c>
      <c r="B1383" s="2">
        <v>86.0</v>
      </c>
      <c r="C1383" s="4"/>
      <c r="E1383" s="4" t="str">
        <f t="array" ref="E1383">XLOOKUP(A1383,'Fintech, Regulatory Arbitrage, '!A:A,'Fintech, Regulatory Arbitrage, '!C:C,"")</f>
        <v/>
      </c>
    </row>
    <row r="1384">
      <c r="A1384" s="1" t="s">
        <v>1403</v>
      </c>
      <c r="B1384" s="2">
        <v>85.0</v>
      </c>
      <c r="C1384" s="4"/>
      <c r="E1384" s="4" t="str">
        <f t="array" ref="E1384">XLOOKUP(A1384,'Fintech, Regulatory Arbitrage, '!A:A,'Fintech, Regulatory Arbitrage, '!C:C,"")</f>
        <v/>
      </c>
    </row>
    <row r="1385">
      <c r="A1385" s="1" t="s">
        <v>1404</v>
      </c>
      <c r="B1385" s="2">
        <v>85.0</v>
      </c>
      <c r="C1385" s="4"/>
      <c r="E1385" s="4" t="str">
        <f t="array" ref="E1385">XLOOKUP(A1385,'Fintech, Regulatory Arbitrage, '!A:A,'Fintech, Regulatory Arbitrage, '!C:C,"")</f>
        <v/>
      </c>
    </row>
    <row r="1386">
      <c r="A1386" s="1" t="s">
        <v>1405</v>
      </c>
      <c r="B1386" s="2">
        <v>85.0</v>
      </c>
      <c r="C1386" s="4"/>
      <c r="E1386" s="4" t="str">
        <f t="array" ref="E1386">XLOOKUP(A1386,'Fintech, Regulatory Arbitrage, '!A:A,'Fintech, Regulatory Arbitrage, '!C:C,"")</f>
        <v/>
      </c>
    </row>
    <row r="1387">
      <c r="A1387" s="1" t="s">
        <v>1406</v>
      </c>
      <c r="B1387" s="2">
        <v>85.0</v>
      </c>
      <c r="C1387" s="4"/>
      <c r="E1387" s="4" t="str">
        <f t="array" ref="E1387">XLOOKUP(A1387,'Fintech, Regulatory Arbitrage, '!A:A,'Fintech, Regulatory Arbitrage, '!C:C,"")</f>
        <v/>
      </c>
    </row>
    <row r="1388">
      <c r="A1388" s="1" t="s">
        <v>1407</v>
      </c>
      <c r="B1388" s="2">
        <v>85.0</v>
      </c>
      <c r="C1388" s="4"/>
      <c r="E1388" s="4" t="str">
        <f t="array" ref="E1388">XLOOKUP(A1388,'Fintech, Regulatory Arbitrage, '!A:A,'Fintech, Regulatory Arbitrage, '!C:C,"")</f>
        <v/>
      </c>
    </row>
    <row r="1389">
      <c r="A1389" s="1" t="s">
        <v>1408</v>
      </c>
      <c r="B1389" s="2">
        <v>85.0</v>
      </c>
      <c r="C1389" s="4"/>
      <c r="E1389" s="4" t="str">
        <f t="array" ref="E1389">XLOOKUP(A1389,'Fintech, Regulatory Arbitrage, '!A:A,'Fintech, Regulatory Arbitrage, '!C:C,"")</f>
        <v/>
      </c>
    </row>
    <row r="1390">
      <c r="A1390" s="1" t="s">
        <v>1409</v>
      </c>
      <c r="B1390" s="2">
        <v>85.0</v>
      </c>
      <c r="C1390" s="4"/>
      <c r="E1390" s="4" t="str">
        <f t="array" ref="E1390">XLOOKUP(A1390,'Fintech, Regulatory Arbitrage, '!A:A,'Fintech, Regulatory Arbitrage, '!C:C,"")</f>
        <v/>
      </c>
    </row>
    <row r="1391">
      <c r="A1391" s="1" t="s">
        <v>1410</v>
      </c>
      <c r="B1391" s="2">
        <v>85.0</v>
      </c>
      <c r="C1391" s="4"/>
      <c r="E1391" s="4" t="str">
        <f t="array" ref="E1391">XLOOKUP(A1391,'Fintech, Regulatory Arbitrage, '!A:A,'Fintech, Regulatory Arbitrage, '!C:C,"")</f>
        <v/>
      </c>
    </row>
    <row r="1392">
      <c r="A1392" s="1" t="s">
        <v>1411</v>
      </c>
      <c r="B1392" s="2">
        <v>85.0</v>
      </c>
      <c r="C1392" s="4"/>
      <c r="E1392" s="4" t="str">
        <f t="array" ref="E1392">XLOOKUP(A1392,'Fintech, Regulatory Arbitrage, '!A:A,'Fintech, Regulatory Arbitrage, '!C:C,"")</f>
        <v/>
      </c>
    </row>
    <row r="1393">
      <c r="A1393" s="1" t="s">
        <v>1412</v>
      </c>
      <c r="B1393" s="2">
        <v>84.0</v>
      </c>
      <c r="C1393" s="4"/>
      <c r="E1393" s="4" t="str">
        <f t="array" ref="E1393">XLOOKUP(A1393,'Fintech, Regulatory Arbitrage, '!A:A,'Fintech, Regulatory Arbitrage, '!C:C,"")</f>
        <v/>
      </c>
    </row>
    <row r="1394">
      <c r="A1394" s="1" t="s">
        <v>1413</v>
      </c>
      <c r="B1394" s="2">
        <v>84.0</v>
      </c>
      <c r="C1394" s="4"/>
      <c r="E1394" s="4" t="str">
        <f t="array" ref="E1394">XLOOKUP(A1394,'Fintech, Regulatory Arbitrage, '!A:A,'Fintech, Regulatory Arbitrage, '!C:C,"")</f>
        <v/>
      </c>
    </row>
    <row r="1395">
      <c r="A1395" s="1" t="s">
        <v>1414</v>
      </c>
      <c r="B1395" s="2">
        <v>84.0</v>
      </c>
      <c r="C1395" s="4"/>
      <c r="E1395" s="4" t="str">
        <f t="array" ref="E1395">XLOOKUP(A1395,'Fintech, Regulatory Arbitrage, '!A:A,'Fintech, Regulatory Arbitrage, '!C:C,"")</f>
        <v/>
      </c>
    </row>
    <row r="1396">
      <c r="A1396" s="1" t="s">
        <v>1415</v>
      </c>
      <c r="B1396" s="2">
        <v>84.0</v>
      </c>
      <c r="C1396" s="4"/>
      <c r="E1396" s="4" t="str">
        <f t="array" ref="E1396">XLOOKUP(A1396,'Fintech, Regulatory Arbitrage, '!A:A,'Fintech, Regulatory Arbitrage, '!C:C,"")</f>
        <v/>
      </c>
    </row>
    <row r="1397">
      <c r="A1397" s="1" t="s">
        <v>1416</v>
      </c>
      <c r="B1397" s="2">
        <v>84.0</v>
      </c>
      <c r="C1397" s="4"/>
      <c r="E1397" s="4" t="str">
        <f t="array" ref="E1397">XLOOKUP(A1397,'Fintech, Regulatory Arbitrage, '!A:A,'Fintech, Regulatory Arbitrage, '!C:C,"")</f>
        <v/>
      </c>
    </row>
    <row r="1398">
      <c r="A1398" s="1" t="s">
        <v>1417</v>
      </c>
      <c r="B1398" s="2">
        <v>84.0</v>
      </c>
      <c r="C1398" s="4"/>
      <c r="E1398" s="4" t="str">
        <f t="array" ref="E1398">XLOOKUP(A1398,'Fintech, Regulatory Arbitrage, '!A:A,'Fintech, Regulatory Arbitrage, '!C:C,"")</f>
        <v/>
      </c>
    </row>
    <row r="1399">
      <c r="A1399" s="1" t="s">
        <v>1418</v>
      </c>
      <c r="B1399" s="2">
        <v>84.0</v>
      </c>
      <c r="C1399" s="4"/>
      <c r="E1399" s="4" t="str">
        <f t="array" ref="E1399">XLOOKUP(A1399,'Fintech, Regulatory Arbitrage, '!A:A,'Fintech, Regulatory Arbitrage, '!C:C,"")</f>
        <v/>
      </c>
    </row>
    <row r="1400">
      <c r="A1400" s="1" t="s">
        <v>1419</v>
      </c>
      <c r="B1400" s="2">
        <v>84.0</v>
      </c>
      <c r="C1400" s="4"/>
      <c r="E1400" s="4" t="str">
        <f t="array" ref="E1400">XLOOKUP(A1400,'Fintech, Regulatory Arbitrage, '!A:A,'Fintech, Regulatory Arbitrage, '!C:C,"")</f>
        <v/>
      </c>
    </row>
    <row r="1401">
      <c r="A1401" s="1" t="s">
        <v>1420</v>
      </c>
      <c r="B1401" s="2">
        <v>84.0</v>
      </c>
      <c r="C1401" s="4"/>
      <c r="E1401" s="4" t="str">
        <f t="array" ref="E1401">XLOOKUP(A1401,'Fintech, Regulatory Arbitrage, '!A:A,'Fintech, Regulatory Arbitrage, '!C:C,"")</f>
        <v/>
      </c>
    </row>
    <row r="1402">
      <c r="A1402" s="1" t="s">
        <v>1421</v>
      </c>
      <c r="B1402" s="2">
        <v>84.0</v>
      </c>
      <c r="C1402" s="4"/>
      <c r="E1402" s="4" t="str">
        <f t="array" ref="E1402">XLOOKUP(A1402,'Fintech, Regulatory Arbitrage, '!A:A,'Fintech, Regulatory Arbitrage, '!C:C,"")</f>
        <v/>
      </c>
    </row>
    <row r="1403">
      <c r="A1403" s="1" t="s">
        <v>1422</v>
      </c>
      <c r="B1403" s="2">
        <v>84.0</v>
      </c>
      <c r="C1403" s="4"/>
      <c r="E1403" s="4" t="str">
        <f t="array" ref="E1403">XLOOKUP(A1403,'Fintech, Regulatory Arbitrage, '!A:A,'Fintech, Regulatory Arbitrage, '!C:C,"")</f>
        <v/>
      </c>
    </row>
    <row r="1404">
      <c r="A1404" s="1" t="s">
        <v>1423</v>
      </c>
      <c r="B1404" s="2">
        <v>83.0</v>
      </c>
      <c r="C1404" s="4"/>
      <c r="E1404" s="4" t="str">
        <f t="array" ref="E1404">XLOOKUP(A1404,'Fintech, Regulatory Arbitrage, '!A:A,'Fintech, Regulatory Arbitrage, '!C:C,"")</f>
        <v/>
      </c>
    </row>
    <row r="1405">
      <c r="A1405" s="1" t="s">
        <v>1424</v>
      </c>
      <c r="B1405" s="2">
        <v>83.0</v>
      </c>
      <c r="C1405" s="4"/>
      <c r="E1405" s="4" t="str">
        <f t="array" ref="E1405">XLOOKUP(A1405,'Fintech, Regulatory Arbitrage, '!A:A,'Fintech, Regulatory Arbitrage, '!C:C,"")</f>
        <v/>
      </c>
    </row>
    <row r="1406">
      <c r="A1406" s="1" t="s">
        <v>1425</v>
      </c>
      <c r="B1406" s="2">
        <v>83.0</v>
      </c>
      <c r="C1406" s="4"/>
      <c r="E1406" s="4" t="str">
        <f t="array" ref="E1406">XLOOKUP(A1406,'Fintech, Regulatory Arbitrage, '!A:A,'Fintech, Regulatory Arbitrage, '!C:C,"")</f>
        <v/>
      </c>
    </row>
    <row r="1407">
      <c r="A1407" s="1" t="s">
        <v>1426</v>
      </c>
      <c r="B1407" s="2">
        <v>83.0</v>
      </c>
      <c r="C1407" s="4"/>
      <c r="E1407" s="4" t="str">
        <f t="array" ref="E1407">XLOOKUP(A1407,'Fintech, Regulatory Arbitrage, '!A:A,'Fintech, Regulatory Arbitrage, '!C:C,"")</f>
        <v/>
      </c>
    </row>
    <row r="1408">
      <c r="A1408" s="1" t="s">
        <v>1427</v>
      </c>
      <c r="B1408" s="2">
        <v>83.0</v>
      </c>
      <c r="C1408" s="4"/>
      <c r="E1408" s="4" t="str">
        <f t="array" ref="E1408">XLOOKUP(A1408,'Fintech, Regulatory Arbitrage, '!A:A,'Fintech, Regulatory Arbitrage, '!C:C,"")</f>
        <v/>
      </c>
    </row>
    <row r="1409">
      <c r="A1409" s="1" t="s">
        <v>1428</v>
      </c>
      <c r="B1409" s="2">
        <v>83.0</v>
      </c>
      <c r="C1409" s="4"/>
      <c r="E1409" s="4" t="str">
        <f t="array" ref="E1409">XLOOKUP(A1409,'Fintech, Regulatory Arbitrage, '!A:A,'Fintech, Regulatory Arbitrage, '!C:C,"")</f>
        <v/>
      </c>
    </row>
    <row r="1410">
      <c r="A1410" s="1" t="s">
        <v>1429</v>
      </c>
      <c r="B1410" s="2">
        <v>83.0</v>
      </c>
      <c r="C1410" s="4"/>
      <c r="E1410" s="4" t="str">
        <f t="array" ref="E1410">XLOOKUP(A1410,'Fintech, Regulatory Arbitrage, '!A:A,'Fintech, Regulatory Arbitrage, '!C:C,"")</f>
        <v/>
      </c>
    </row>
    <row r="1411">
      <c r="A1411" s="1" t="s">
        <v>1430</v>
      </c>
      <c r="B1411" s="2">
        <v>82.0</v>
      </c>
      <c r="C1411" s="4"/>
      <c r="E1411" s="4" t="str">
        <f t="array" ref="E1411">XLOOKUP(A1411,'Fintech, Regulatory Arbitrage, '!A:A,'Fintech, Regulatory Arbitrage, '!C:C,"")</f>
        <v/>
      </c>
    </row>
    <row r="1412">
      <c r="A1412" s="1" t="s">
        <v>1431</v>
      </c>
      <c r="B1412" s="2">
        <v>82.0</v>
      </c>
      <c r="C1412" s="4"/>
      <c r="E1412" s="4" t="str">
        <f t="array" ref="E1412">XLOOKUP(A1412,'Fintech, Regulatory Arbitrage, '!A:A,'Fintech, Regulatory Arbitrage, '!C:C,"")</f>
        <v/>
      </c>
    </row>
    <row r="1413">
      <c r="A1413" s="1" t="s">
        <v>1432</v>
      </c>
      <c r="B1413" s="2">
        <v>82.0</v>
      </c>
      <c r="C1413" s="4"/>
      <c r="E1413" s="4" t="str">
        <f t="array" ref="E1413">XLOOKUP(A1413,'Fintech, Regulatory Arbitrage, '!A:A,'Fintech, Regulatory Arbitrage, '!C:C,"")</f>
        <v/>
      </c>
    </row>
    <row r="1414">
      <c r="A1414" s="1" t="s">
        <v>1433</v>
      </c>
      <c r="B1414" s="2">
        <v>82.0</v>
      </c>
      <c r="C1414" s="4"/>
      <c r="E1414" s="4" t="str">
        <f t="array" ref="E1414">XLOOKUP(A1414,'Fintech, Regulatory Arbitrage, '!A:A,'Fintech, Regulatory Arbitrage, '!C:C,"")</f>
        <v/>
      </c>
    </row>
    <row r="1415">
      <c r="A1415" s="1" t="s">
        <v>1434</v>
      </c>
      <c r="B1415" s="2">
        <v>82.0</v>
      </c>
      <c r="C1415" s="4"/>
      <c r="E1415" s="4" t="str">
        <f t="array" ref="E1415">XLOOKUP(A1415,'Fintech, Regulatory Arbitrage, '!A:A,'Fintech, Regulatory Arbitrage, '!C:C,"")</f>
        <v/>
      </c>
    </row>
    <row r="1416">
      <c r="A1416" s="1" t="s">
        <v>1435</v>
      </c>
      <c r="B1416" s="2">
        <v>82.0</v>
      </c>
      <c r="C1416" s="4"/>
      <c r="E1416" s="4" t="str">
        <f t="array" ref="E1416">XLOOKUP(A1416,'Fintech, Regulatory Arbitrage, '!A:A,'Fintech, Regulatory Arbitrage, '!C:C,"")</f>
        <v/>
      </c>
    </row>
    <row r="1417">
      <c r="A1417" s="1" t="s">
        <v>1436</v>
      </c>
      <c r="B1417" s="2">
        <v>82.0</v>
      </c>
      <c r="C1417" s="4"/>
      <c r="E1417" s="4" t="str">
        <f t="array" ref="E1417">XLOOKUP(A1417,'Fintech, Regulatory Arbitrage, '!A:A,'Fintech, Regulatory Arbitrage, '!C:C,"")</f>
        <v/>
      </c>
    </row>
    <row r="1418">
      <c r="A1418" s="1" t="s">
        <v>1437</v>
      </c>
      <c r="B1418" s="2">
        <v>82.0</v>
      </c>
      <c r="C1418" s="4"/>
      <c r="E1418" s="4" t="str">
        <f t="array" ref="E1418">XLOOKUP(A1418,'Fintech, Regulatory Arbitrage, '!A:A,'Fintech, Regulatory Arbitrage, '!C:C,"")</f>
        <v/>
      </c>
    </row>
    <row r="1419">
      <c r="A1419" s="1" t="s">
        <v>1438</v>
      </c>
      <c r="B1419" s="2">
        <v>81.0</v>
      </c>
      <c r="C1419" s="4"/>
      <c r="E1419" s="4" t="str">
        <f t="array" ref="E1419">XLOOKUP(A1419,'Fintech, Regulatory Arbitrage, '!A:A,'Fintech, Regulatory Arbitrage, '!C:C,"")</f>
        <v/>
      </c>
    </row>
    <row r="1420">
      <c r="A1420" s="1" t="s">
        <v>1439</v>
      </c>
      <c r="B1420" s="2">
        <v>81.0</v>
      </c>
      <c r="C1420" s="4"/>
      <c r="E1420" s="4" t="str">
        <f t="array" ref="E1420">XLOOKUP(A1420,'Fintech, Regulatory Arbitrage, '!A:A,'Fintech, Regulatory Arbitrage, '!C:C,"")</f>
        <v/>
      </c>
    </row>
    <row r="1421">
      <c r="A1421" s="1" t="s">
        <v>1440</v>
      </c>
      <c r="B1421" s="2">
        <v>81.0</v>
      </c>
      <c r="C1421" s="4"/>
      <c r="E1421" s="4" t="str">
        <f t="array" ref="E1421">XLOOKUP(A1421,'Fintech, Regulatory Arbitrage, '!A:A,'Fintech, Regulatory Arbitrage, '!C:C,"")</f>
        <v/>
      </c>
    </row>
    <row r="1422">
      <c r="A1422" s="1" t="s">
        <v>1441</v>
      </c>
      <c r="B1422" s="2">
        <v>81.0</v>
      </c>
      <c r="C1422" s="3" t="s">
        <v>20</v>
      </c>
      <c r="D1422" s="3" t="s">
        <v>56</v>
      </c>
      <c r="E1422" s="4" t="str">
        <f t="array" ref="E1422">XLOOKUP(A1422,'Fintech, Regulatory Arbitrage, '!A:A,'Fintech, Regulatory Arbitrage, '!C:C,"")</f>
        <v/>
      </c>
    </row>
    <row r="1423">
      <c r="A1423" s="1" t="s">
        <v>1442</v>
      </c>
      <c r="B1423" s="2">
        <v>81.0</v>
      </c>
      <c r="C1423" s="4"/>
      <c r="E1423" s="4" t="str">
        <f t="array" ref="E1423">XLOOKUP(A1423,'Fintech, Regulatory Arbitrage, '!A:A,'Fintech, Regulatory Arbitrage, '!C:C,"")</f>
        <v/>
      </c>
    </row>
    <row r="1424">
      <c r="A1424" s="1" t="s">
        <v>1443</v>
      </c>
      <c r="B1424" s="2">
        <v>81.0</v>
      </c>
      <c r="C1424" s="4"/>
      <c r="E1424" s="4" t="str">
        <f t="array" ref="E1424">XLOOKUP(A1424,'Fintech, Regulatory Arbitrage, '!A:A,'Fintech, Regulatory Arbitrage, '!C:C,"")</f>
        <v/>
      </c>
    </row>
    <row r="1425">
      <c r="A1425" s="1" t="s">
        <v>1444</v>
      </c>
      <c r="B1425" s="2">
        <v>81.0</v>
      </c>
      <c r="C1425" s="4"/>
      <c r="E1425" s="4" t="str">
        <f t="array" ref="E1425">XLOOKUP(A1425,'Fintech, Regulatory Arbitrage, '!A:A,'Fintech, Regulatory Arbitrage, '!C:C,"")</f>
        <v/>
      </c>
    </row>
    <row r="1426">
      <c r="A1426" s="1" t="s">
        <v>1445</v>
      </c>
      <c r="B1426" s="2">
        <v>80.0</v>
      </c>
      <c r="C1426" s="4"/>
      <c r="E1426" s="4" t="str">
        <f t="array" ref="E1426">XLOOKUP(A1426,'Fintech, Regulatory Arbitrage, '!A:A,'Fintech, Regulatory Arbitrage, '!C:C,"")</f>
        <v/>
      </c>
    </row>
    <row r="1427">
      <c r="A1427" s="1" t="s">
        <v>1446</v>
      </c>
      <c r="B1427" s="2">
        <v>80.0</v>
      </c>
      <c r="C1427" s="4"/>
      <c r="E1427" s="4" t="str">
        <f t="array" ref="E1427">XLOOKUP(A1427,'Fintech, Regulatory Arbitrage, '!A:A,'Fintech, Regulatory Arbitrage, '!C:C,"")</f>
        <v/>
      </c>
    </row>
    <row r="1428">
      <c r="A1428" s="1" t="s">
        <v>1447</v>
      </c>
      <c r="B1428" s="2">
        <v>80.0</v>
      </c>
      <c r="C1428" s="4"/>
      <c r="E1428" s="4" t="str">
        <f t="array" ref="E1428">XLOOKUP(A1428,'Fintech, Regulatory Arbitrage, '!A:A,'Fintech, Regulatory Arbitrage, '!C:C,"")</f>
        <v/>
      </c>
    </row>
    <row r="1429">
      <c r="A1429" s="1" t="s">
        <v>1448</v>
      </c>
      <c r="B1429" s="2">
        <v>80.0</v>
      </c>
      <c r="C1429" s="4"/>
      <c r="E1429" s="4" t="str">
        <f t="array" ref="E1429">XLOOKUP(A1429,'Fintech, Regulatory Arbitrage, '!A:A,'Fintech, Regulatory Arbitrage, '!C:C,"")</f>
        <v/>
      </c>
    </row>
    <row r="1430">
      <c r="A1430" s="1" t="s">
        <v>1449</v>
      </c>
      <c r="B1430" s="2">
        <v>80.0</v>
      </c>
      <c r="C1430" s="4"/>
      <c r="E1430" s="4" t="str">
        <f t="array" ref="E1430">XLOOKUP(A1430,'Fintech, Regulatory Arbitrage, '!A:A,'Fintech, Regulatory Arbitrage, '!C:C,"")</f>
        <v/>
      </c>
    </row>
    <row r="1431">
      <c r="A1431" s="1" t="s">
        <v>1450</v>
      </c>
      <c r="B1431" s="2">
        <v>80.0</v>
      </c>
      <c r="C1431" s="4"/>
      <c r="E1431" s="4" t="str">
        <f t="array" ref="E1431">XLOOKUP(A1431,'Fintech, Regulatory Arbitrage, '!A:A,'Fintech, Regulatory Arbitrage, '!C:C,"")</f>
        <v/>
      </c>
    </row>
    <row r="1432">
      <c r="A1432" s="1" t="s">
        <v>1451</v>
      </c>
      <c r="B1432" s="2">
        <v>80.0</v>
      </c>
      <c r="C1432" s="4"/>
      <c r="E1432" s="4" t="str">
        <f t="array" ref="E1432">XLOOKUP(A1432,'Fintech, Regulatory Arbitrage, '!A:A,'Fintech, Regulatory Arbitrage, '!C:C,"")</f>
        <v/>
      </c>
    </row>
    <row r="1433">
      <c r="A1433" s="1" t="s">
        <v>1452</v>
      </c>
      <c r="B1433" s="2">
        <v>79.0</v>
      </c>
      <c r="C1433" s="4"/>
      <c r="E1433" s="4" t="str">
        <f t="array" ref="E1433">XLOOKUP(A1433,'Fintech, Regulatory Arbitrage, '!A:A,'Fintech, Regulatory Arbitrage, '!C:C,"")</f>
        <v/>
      </c>
    </row>
    <row r="1434">
      <c r="A1434" s="1" t="s">
        <v>1453</v>
      </c>
      <c r="B1434" s="2">
        <v>79.0</v>
      </c>
      <c r="C1434" s="4"/>
      <c r="E1434" s="4" t="str">
        <f t="array" ref="E1434">XLOOKUP(A1434,'Fintech, Regulatory Arbitrage, '!A:A,'Fintech, Regulatory Arbitrage, '!C:C,"")</f>
        <v/>
      </c>
    </row>
    <row r="1435">
      <c r="A1435" s="1" t="s">
        <v>1454</v>
      </c>
      <c r="B1435" s="2">
        <v>79.0</v>
      </c>
      <c r="C1435" s="4"/>
      <c r="E1435" s="4" t="str">
        <f t="array" ref="E1435">XLOOKUP(A1435,'Fintech, Regulatory Arbitrage, '!A:A,'Fintech, Regulatory Arbitrage, '!C:C,"")</f>
        <v/>
      </c>
    </row>
    <row r="1436">
      <c r="A1436" s="1" t="s">
        <v>1455</v>
      </c>
      <c r="B1436" s="2">
        <v>79.0</v>
      </c>
      <c r="C1436" s="4"/>
      <c r="E1436" s="4" t="str">
        <f t="array" ref="E1436">XLOOKUP(A1436,'Fintech, Regulatory Arbitrage, '!A:A,'Fintech, Regulatory Arbitrage, '!C:C,"")</f>
        <v/>
      </c>
    </row>
    <row r="1437">
      <c r="A1437" s="1" t="s">
        <v>1456</v>
      </c>
      <c r="B1437" s="2">
        <v>79.0</v>
      </c>
      <c r="C1437" s="4"/>
      <c r="E1437" s="4" t="str">
        <f t="array" ref="E1437">XLOOKUP(A1437,'Fintech, Regulatory Arbitrage, '!A:A,'Fintech, Regulatory Arbitrage, '!C:C,"")</f>
        <v/>
      </c>
    </row>
    <row r="1438">
      <c r="A1438" s="1" t="s">
        <v>1457</v>
      </c>
      <c r="B1438" s="2">
        <v>79.0</v>
      </c>
      <c r="C1438" s="4"/>
      <c r="E1438" s="4" t="str">
        <f t="array" ref="E1438">XLOOKUP(A1438,'Fintech, Regulatory Arbitrage, '!A:A,'Fintech, Regulatory Arbitrage, '!C:C,"")</f>
        <v/>
      </c>
    </row>
    <row r="1439">
      <c r="A1439" s="1" t="s">
        <v>1458</v>
      </c>
      <c r="B1439" s="2">
        <v>79.0</v>
      </c>
      <c r="C1439" s="4"/>
      <c r="E1439" s="4" t="str">
        <f t="array" ref="E1439">XLOOKUP(A1439,'Fintech, Regulatory Arbitrage, '!A:A,'Fintech, Regulatory Arbitrage, '!C:C,"")</f>
        <v/>
      </c>
    </row>
    <row r="1440">
      <c r="A1440" s="1" t="s">
        <v>1459</v>
      </c>
      <c r="B1440" s="2">
        <v>78.0</v>
      </c>
      <c r="C1440" s="4"/>
      <c r="E1440" s="4" t="str">
        <f t="array" ref="E1440">XLOOKUP(A1440,'Fintech, Regulatory Arbitrage, '!A:A,'Fintech, Regulatory Arbitrage, '!C:C,"")</f>
        <v/>
      </c>
    </row>
    <row r="1441">
      <c r="A1441" s="1" t="s">
        <v>1460</v>
      </c>
      <c r="B1441" s="2">
        <v>78.0</v>
      </c>
      <c r="C1441" s="4"/>
      <c r="E1441" s="4" t="str">
        <f t="array" ref="E1441">XLOOKUP(A1441,'Fintech, Regulatory Arbitrage, '!A:A,'Fintech, Regulatory Arbitrage, '!C:C,"")</f>
        <v/>
      </c>
    </row>
    <row r="1442">
      <c r="A1442" s="1" t="s">
        <v>1461</v>
      </c>
      <c r="B1442" s="2">
        <v>78.0</v>
      </c>
      <c r="C1442" s="4"/>
      <c r="E1442" s="4" t="str">
        <f t="array" ref="E1442">XLOOKUP(A1442,'Fintech, Regulatory Arbitrage, '!A:A,'Fintech, Regulatory Arbitrage, '!C:C,"")</f>
        <v/>
      </c>
    </row>
    <row r="1443">
      <c r="A1443" s="1" t="s">
        <v>1462</v>
      </c>
      <c r="B1443" s="2">
        <v>78.0</v>
      </c>
      <c r="C1443" s="4"/>
      <c r="E1443" s="4" t="str">
        <f t="array" ref="E1443">XLOOKUP(A1443,'Fintech, Regulatory Arbitrage, '!A:A,'Fintech, Regulatory Arbitrage, '!C:C,"")</f>
        <v/>
      </c>
    </row>
    <row r="1444">
      <c r="A1444" s="1" t="s">
        <v>1463</v>
      </c>
      <c r="B1444" s="2">
        <v>78.0</v>
      </c>
      <c r="C1444" s="4"/>
      <c r="E1444" s="4" t="str">
        <f t="array" ref="E1444">XLOOKUP(A1444,'Fintech, Regulatory Arbitrage, '!A:A,'Fintech, Regulatory Arbitrage, '!C:C,"")</f>
        <v/>
      </c>
    </row>
    <row r="1445">
      <c r="A1445" s="1" t="s">
        <v>1464</v>
      </c>
      <c r="B1445" s="2">
        <v>78.0</v>
      </c>
      <c r="C1445" s="4"/>
      <c r="E1445" s="4" t="str">
        <f t="array" ref="E1445">XLOOKUP(A1445,'Fintech, Regulatory Arbitrage, '!A:A,'Fintech, Regulatory Arbitrage, '!C:C,"")</f>
        <v/>
      </c>
    </row>
    <row r="1446">
      <c r="A1446" s="1" t="s">
        <v>1465</v>
      </c>
      <c r="B1446" s="2">
        <v>78.0</v>
      </c>
      <c r="C1446" s="4"/>
      <c r="E1446" s="4" t="str">
        <f t="array" ref="E1446">XLOOKUP(A1446,'Fintech, Regulatory Arbitrage, '!A:A,'Fintech, Regulatory Arbitrage, '!C:C,"")</f>
        <v/>
      </c>
    </row>
    <row r="1447">
      <c r="A1447" s="1" t="s">
        <v>1466</v>
      </c>
      <c r="B1447" s="2">
        <v>78.0</v>
      </c>
      <c r="C1447" s="4"/>
      <c r="E1447" s="4" t="str">
        <f t="array" ref="E1447">XLOOKUP(A1447,'Fintech, Regulatory Arbitrage, '!A:A,'Fintech, Regulatory Arbitrage, '!C:C,"")</f>
        <v/>
      </c>
    </row>
    <row r="1448">
      <c r="A1448" s="1" t="s">
        <v>1467</v>
      </c>
      <c r="B1448" s="2">
        <v>78.0</v>
      </c>
      <c r="C1448" s="4"/>
      <c r="E1448" s="4" t="str">
        <f t="array" ref="E1448">XLOOKUP(A1448,'Fintech, Regulatory Arbitrage, '!A:A,'Fintech, Regulatory Arbitrage, '!C:C,"")</f>
        <v/>
      </c>
    </row>
    <row r="1449">
      <c r="A1449" s="1" t="s">
        <v>1468</v>
      </c>
      <c r="B1449" s="2">
        <v>78.0</v>
      </c>
      <c r="C1449" s="4"/>
      <c r="E1449" s="4" t="str">
        <f t="array" ref="E1449">XLOOKUP(A1449,'Fintech, Regulatory Arbitrage, '!A:A,'Fintech, Regulatory Arbitrage, '!C:C,"")</f>
        <v/>
      </c>
    </row>
    <row r="1450">
      <c r="A1450" s="1" t="s">
        <v>1469</v>
      </c>
      <c r="B1450" s="2">
        <v>77.0</v>
      </c>
      <c r="C1450" s="4"/>
      <c r="E1450" s="4" t="str">
        <f t="array" ref="E1450">XLOOKUP(A1450,'Fintech, Regulatory Arbitrage, '!A:A,'Fintech, Regulatory Arbitrage, '!C:C,"")</f>
        <v/>
      </c>
    </row>
    <row r="1451">
      <c r="A1451" s="1" t="s">
        <v>1470</v>
      </c>
      <c r="B1451" s="2">
        <v>77.0</v>
      </c>
      <c r="C1451" s="4"/>
      <c r="E1451" s="4" t="str">
        <f t="array" ref="E1451">XLOOKUP(A1451,'Fintech, Regulatory Arbitrage, '!A:A,'Fintech, Regulatory Arbitrage, '!C:C,"")</f>
        <v/>
      </c>
    </row>
    <row r="1452">
      <c r="A1452" s="1" t="s">
        <v>1471</v>
      </c>
      <c r="B1452" s="2">
        <v>77.0</v>
      </c>
      <c r="C1452" s="4"/>
      <c r="E1452" s="4" t="str">
        <f t="array" ref="E1452">XLOOKUP(A1452,'Fintech, Regulatory Arbitrage, '!A:A,'Fintech, Regulatory Arbitrage, '!C:C,"")</f>
        <v/>
      </c>
    </row>
    <row r="1453">
      <c r="A1453" s="1" t="s">
        <v>1472</v>
      </c>
      <c r="B1453" s="2">
        <v>77.0</v>
      </c>
      <c r="C1453" s="4"/>
      <c r="E1453" s="4" t="str">
        <f t="array" ref="E1453">XLOOKUP(A1453,'Fintech, Regulatory Arbitrage, '!A:A,'Fintech, Regulatory Arbitrage, '!C:C,"")</f>
        <v/>
      </c>
    </row>
    <row r="1454">
      <c r="A1454" s="1" t="s">
        <v>1473</v>
      </c>
      <c r="B1454" s="2">
        <v>77.0</v>
      </c>
      <c r="C1454" s="4"/>
      <c r="E1454" s="4" t="str">
        <f t="array" ref="E1454">XLOOKUP(A1454,'Fintech, Regulatory Arbitrage, '!A:A,'Fintech, Regulatory Arbitrage, '!C:C,"")</f>
        <v/>
      </c>
    </row>
    <row r="1455">
      <c r="A1455" s="1" t="s">
        <v>1474</v>
      </c>
      <c r="B1455" s="2">
        <v>76.0</v>
      </c>
      <c r="C1455" s="4"/>
      <c r="E1455" s="4" t="str">
        <f t="array" ref="E1455">XLOOKUP(A1455,'Fintech, Regulatory Arbitrage, '!A:A,'Fintech, Regulatory Arbitrage, '!C:C,"")</f>
        <v/>
      </c>
    </row>
    <row r="1456">
      <c r="A1456" s="1" t="s">
        <v>1475</v>
      </c>
      <c r="B1456" s="2">
        <v>76.0</v>
      </c>
      <c r="C1456" s="4"/>
      <c r="E1456" s="4" t="str">
        <f t="array" ref="E1456">XLOOKUP(A1456,'Fintech, Regulatory Arbitrage, '!A:A,'Fintech, Regulatory Arbitrage, '!C:C,"")</f>
        <v/>
      </c>
    </row>
    <row r="1457">
      <c r="A1457" s="1" t="s">
        <v>1476</v>
      </c>
      <c r="B1457" s="2">
        <v>76.0</v>
      </c>
      <c r="C1457" s="4"/>
      <c r="E1457" s="4" t="str">
        <f t="array" ref="E1457">XLOOKUP(A1457,'Fintech, Regulatory Arbitrage, '!A:A,'Fintech, Regulatory Arbitrage, '!C:C,"")</f>
        <v/>
      </c>
    </row>
    <row r="1458">
      <c r="A1458" s="1" t="s">
        <v>1477</v>
      </c>
      <c r="B1458" s="2">
        <v>76.0</v>
      </c>
      <c r="C1458" s="4"/>
      <c r="E1458" s="4" t="str">
        <f t="array" ref="E1458">XLOOKUP(A1458,'Fintech, Regulatory Arbitrage, '!A:A,'Fintech, Regulatory Arbitrage, '!C:C,"")</f>
        <v/>
      </c>
    </row>
    <row r="1459">
      <c r="A1459" s="1" t="s">
        <v>1478</v>
      </c>
      <c r="B1459" s="2">
        <v>75.0</v>
      </c>
      <c r="C1459" s="4"/>
      <c r="E1459" s="4" t="str">
        <f t="array" ref="E1459">XLOOKUP(A1459,'Fintech, Regulatory Arbitrage, '!A:A,'Fintech, Regulatory Arbitrage, '!C:C,"")</f>
        <v/>
      </c>
    </row>
    <row r="1460">
      <c r="A1460" s="1" t="s">
        <v>1479</v>
      </c>
      <c r="B1460" s="2">
        <v>75.0</v>
      </c>
      <c r="C1460" s="4"/>
      <c r="E1460" s="4" t="str">
        <f t="array" ref="E1460">XLOOKUP(A1460,'Fintech, Regulatory Arbitrage, '!A:A,'Fintech, Regulatory Arbitrage, '!C:C,"")</f>
        <v/>
      </c>
    </row>
    <row r="1461">
      <c r="A1461" s="1" t="s">
        <v>1480</v>
      </c>
      <c r="B1461" s="2">
        <v>75.0</v>
      </c>
      <c r="C1461" s="4"/>
      <c r="E1461" s="4" t="str">
        <f t="array" ref="E1461">XLOOKUP(A1461,'Fintech, Regulatory Arbitrage, '!A:A,'Fintech, Regulatory Arbitrage, '!C:C,"")</f>
        <v/>
      </c>
    </row>
    <row r="1462">
      <c r="A1462" s="1" t="s">
        <v>1481</v>
      </c>
      <c r="B1462" s="2">
        <v>75.0</v>
      </c>
      <c r="C1462" s="4"/>
      <c r="E1462" s="4" t="str">
        <f t="array" ref="E1462">XLOOKUP(A1462,'Fintech, Regulatory Arbitrage, '!A:A,'Fintech, Regulatory Arbitrage, '!C:C,"")</f>
        <v/>
      </c>
    </row>
    <row r="1463">
      <c r="A1463" s="1" t="s">
        <v>1482</v>
      </c>
      <c r="B1463" s="2">
        <v>75.0</v>
      </c>
      <c r="C1463" s="4"/>
      <c r="E1463" s="4" t="str">
        <f t="array" ref="E1463">XLOOKUP(A1463,'Fintech, Regulatory Arbitrage, '!A:A,'Fintech, Regulatory Arbitrage, '!C:C,"")</f>
        <v/>
      </c>
    </row>
    <row r="1464">
      <c r="A1464" s="1" t="s">
        <v>1483</v>
      </c>
      <c r="B1464" s="2">
        <v>75.0</v>
      </c>
      <c r="C1464" s="4"/>
      <c r="E1464" s="4" t="str">
        <f t="array" ref="E1464">XLOOKUP(A1464,'Fintech, Regulatory Arbitrage, '!A:A,'Fintech, Regulatory Arbitrage, '!C:C,"")</f>
        <v/>
      </c>
    </row>
    <row r="1465">
      <c r="A1465" s="1" t="s">
        <v>1484</v>
      </c>
      <c r="B1465" s="2">
        <v>75.0</v>
      </c>
      <c r="C1465" s="4"/>
      <c r="E1465" s="4" t="str">
        <f t="array" ref="E1465">XLOOKUP(A1465,'Fintech, Regulatory Arbitrage, '!A:A,'Fintech, Regulatory Arbitrage, '!C:C,"")</f>
        <v/>
      </c>
    </row>
    <row r="1466">
      <c r="A1466" s="1" t="s">
        <v>1485</v>
      </c>
      <c r="B1466" s="2">
        <v>75.0</v>
      </c>
      <c r="C1466" s="4"/>
      <c r="E1466" s="4" t="str">
        <f t="array" ref="E1466">XLOOKUP(A1466,'Fintech, Regulatory Arbitrage, '!A:A,'Fintech, Regulatory Arbitrage, '!C:C,"")</f>
        <v/>
      </c>
    </row>
    <row r="1467">
      <c r="A1467" s="1" t="s">
        <v>1486</v>
      </c>
      <c r="B1467" s="2">
        <v>75.0</v>
      </c>
      <c r="C1467" s="4"/>
      <c r="E1467" s="4" t="str">
        <f t="array" ref="E1467">XLOOKUP(A1467,'Fintech, Regulatory Arbitrage, '!A:A,'Fintech, Regulatory Arbitrage, '!C:C,"")</f>
        <v/>
      </c>
    </row>
    <row r="1468">
      <c r="A1468" s="1" t="s">
        <v>1487</v>
      </c>
      <c r="B1468" s="2">
        <v>75.0</v>
      </c>
      <c r="C1468" s="4"/>
      <c r="E1468" s="4" t="str">
        <f t="array" ref="E1468">XLOOKUP(A1468,'Fintech, Regulatory Arbitrage, '!A:A,'Fintech, Regulatory Arbitrage, '!C:C,"")</f>
        <v/>
      </c>
    </row>
    <row r="1469">
      <c r="A1469" s="1" t="s">
        <v>1488</v>
      </c>
      <c r="B1469" s="2">
        <v>75.0</v>
      </c>
      <c r="C1469" s="4"/>
      <c r="E1469" s="4" t="str">
        <f t="array" ref="E1469">XLOOKUP(A1469,'Fintech, Regulatory Arbitrage, '!A:A,'Fintech, Regulatory Arbitrage, '!C:C,"")</f>
        <v/>
      </c>
    </row>
    <row r="1470">
      <c r="A1470" s="1" t="s">
        <v>1489</v>
      </c>
      <c r="B1470" s="2">
        <v>74.0</v>
      </c>
      <c r="C1470" s="4"/>
      <c r="E1470" s="4" t="str">
        <f t="array" ref="E1470">XLOOKUP(A1470,'Fintech, Regulatory Arbitrage, '!A:A,'Fintech, Regulatory Arbitrage, '!C:C,"")</f>
        <v/>
      </c>
    </row>
    <row r="1471">
      <c r="A1471" s="1" t="s">
        <v>1490</v>
      </c>
      <c r="B1471" s="2">
        <v>74.0</v>
      </c>
      <c r="C1471" s="4"/>
      <c r="E1471" s="4" t="str">
        <f t="array" ref="E1471">XLOOKUP(A1471,'Fintech, Regulatory Arbitrage, '!A:A,'Fintech, Regulatory Arbitrage, '!C:C,"")</f>
        <v/>
      </c>
    </row>
    <row r="1472">
      <c r="A1472" s="1" t="s">
        <v>1491</v>
      </c>
      <c r="B1472" s="2">
        <v>74.0</v>
      </c>
      <c r="C1472" s="4"/>
      <c r="E1472" s="4" t="str">
        <f t="array" ref="E1472">XLOOKUP(A1472,'Fintech, Regulatory Arbitrage, '!A:A,'Fintech, Regulatory Arbitrage, '!C:C,"")</f>
        <v/>
      </c>
    </row>
    <row r="1473">
      <c r="A1473" s="1" t="s">
        <v>1492</v>
      </c>
      <c r="B1473" s="2">
        <v>74.0</v>
      </c>
      <c r="C1473" s="4"/>
      <c r="E1473" s="4" t="str">
        <f t="array" ref="E1473">XLOOKUP(A1473,'Fintech, Regulatory Arbitrage, '!A:A,'Fintech, Regulatory Arbitrage, '!C:C,"")</f>
        <v/>
      </c>
    </row>
    <row r="1474">
      <c r="A1474" s="1" t="s">
        <v>1493</v>
      </c>
      <c r="B1474" s="2">
        <v>74.0</v>
      </c>
      <c r="C1474" s="4"/>
      <c r="E1474" s="4" t="str">
        <f t="array" ref="E1474">XLOOKUP(A1474,'Fintech, Regulatory Arbitrage, '!A:A,'Fintech, Regulatory Arbitrage, '!C:C,"")</f>
        <v/>
      </c>
    </row>
    <row r="1475">
      <c r="A1475" s="1" t="s">
        <v>1494</v>
      </c>
      <c r="B1475" s="2">
        <v>73.0</v>
      </c>
      <c r="C1475" s="4"/>
      <c r="E1475" s="4" t="str">
        <f t="array" ref="E1475">XLOOKUP(A1475,'Fintech, Regulatory Arbitrage, '!A:A,'Fintech, Regulatory Arbitrage, '!C:C,"")</f>
        <v/>
      </c>
    </row>
    <row r="1476">
      <c r="A1476" s="1" t="s">
        <v>1495</v>
      </c>
      <c r="B1476" s="2">
        <v>73.0</v>
      </c>
      <c r="C1476" s="4"/>
      <c r="E1476" s="4" t="str">
        <f t="array" ref="E1476">XLOOKUP(A1476,'Fintech, Regulatory Arbitrage, '!A:A,'Fintech, Regulatory Arbitrage, '!C:C,"")</f>
        <v/>
      </c>
    </row>
    <row r="1477">
      <c r="A1477" s="1" t="s">
        <v>1496</v>
      </c>
      <c r="B1477" s="2">
        <v>73.0</v>
      </c>
      <c r="C1477" s="4"/>
      <c r="E1477" s="4" t="str">
        <f t="array" ref="E1477">XLOOKUP(A1477,'Fintech, Regulatory Arbitrage, '!A:A,'Fintech, Regulatory Arbitrage, '!C:C,"")</f>
        <v/>
      </c>
    </row>
    <row r="1478">
      <c r="A1478" s="1" t="s">
        <v>1497</v>
      </c>
      <c r="B1478" s="2">
        <v>73.0</v>
      </c>
      <c r="C1478" s="4"/>
      <c r="E1478" s="4" t="str">
        <f t="array" ref="E1478">XLOOKUP(A1478,'Fintech, Regulatory Arbitrage, '!A:A,'Fintech, Regulatory Arbitrage, '!C:C,"")</f>
        <v/>
      </c>
    </row>
    <row r="1479">
      <c r="A1479" s="1" t="s">
        <v>1498</v>
      </c>
      <c r="B1479" s="2">
        <v>73.0</v>
      </c>
      <c r="C1479" s="4"/>
      <c r="E1479" s="4" t="str">
        <f t="array" ref="E1479">XLOOKUP(A1479,'Fintech, Regulatory Arbitrage, '!A:A,'Fintech, Regulatory Arbitrage, '!C:C,"")</f>
        <v/>
      </c>
    </row>
    <row r="1480">
      <c r="A1480" s="1" t="s">
        <v>1499</v>
      </c>
      <c r="B1480" s="2">
        <v>73.0</v>
      </c>
      <c r="C1480" s="4"/>
      <c r="E1480" s="4" t="str">
        <f t="array" ref="E1480">XLOOKUP(A1480,'Fintech, Regulatory Arbitrage, '!A:A,'Fintech, Regulatory Arbitrage, '!C:C,"")</f>
        <v/>
      </c>
    </row>
    <row r="1481">
      <c r="A1481" s="1" t="s">
        <v>1500</v>
      </c>
      <c r="B1481" s="2">
        <v>73.0</v>
      </c>
      <c r="C1481" s="4"/>
      <c r="E1481" s="4" t="str">
        <f t="array" ref="E1481">XLOOKUP(A1481,'Fintech, Regulatory Arbitrage, '!A:A,'Fintech, Regulatory Arbitrage, '!C:C,"")</f>
        <v/>
      </c>
    </row>
    <row r="1482">
      <c r="A1482" s="1" t="s">
        <v>1501</v>
      </c>
      <c r="B1482" s="2">
        <v>73.0</v>
      </c>
      <c r="C1482" s="4"/>
      <c r="E1482" s="4" t="str">
        <f t="array" ref="E1482">XLOOKUP(A1482,'Fintech, Regulatory Arbitrage, '!A:A,'Fintech, Regulatory Arbitrage, '!C:C,"")</f>
        <v/>
      </c>
    </row>
    <row r="1483">
      <c r="A1483" s="1" t="s">
        <v>1502</v>
      </c>
      <c r="B1483" s="2">
        <v>73.0</v>
      </c>
      <c r="C1483" s="4"/>
      <c r="E1483" s="4" t="str">
        <f t="array" ref="E1483">XLOOKUP(A1483,'Fintech, Regulatory Arbitrage, '!A:A,'Fintech, Regulatory Arbitrage, '!C:C,"")</f>
        <v/>
      </c>
    </row>
    <row r="1484">
      <c r="A1484" s="1" t="s">
        <v>1503</v>
      </c>
      <c r="B1484" s="2">
        <v>73.0</v>
      </c>
      <c r="C1484" s="4"/>
      <c r="E1484" s="4" t="str">
        <f t="array" ref="E1484">XLOOKUP(A1484,'Fintech, Regulatory Arbitrage, '!A:A,'Fintech, Regulatory Arbitrage, '!C:C,"")</f>
        <v/>
      </c>
    </row>
    <row r="1485">
      <c r="A1485" s="1" t="s">
        <v>1504</v>
      </c>
      <c r="B1485" s="2">
        <v>73.0</v>
      </c>
      <c r="C1485" s="4"/>
      <c r="E1485" s="4" t="str">
        <f t="array" ref="E1485">XLOOKUP(A1485,'Fintech, Regulatory Arbitrage, '!A:A,'Fintech, Regulatory Arbitrage, '!C:C,"")</f>
        <v/>
      </c>
    </row>
    <row r="1486">
      <c r="A1486" s="1" t="s">
        <v>1505</v>
      </c>
      <c r="B1486" s="2">
        <v>73.0</v>
      </c>
      <c r="C1486" s="4"/>
      <c r="E1486" s="4" t="str">
        <f t="array" ref="E1486">XLOOKUP(A1486,'Fintech, Regulatory Arbitrage, '!A:A,'Fintech, Regulatory Arbitrage, '!C:C,"")</f>
        <v/>
      </c>
    </row>
    <row r="1487">
      <c r="A1487" s="1" t="s">
        <v>1506</v>
      </c>
      <c r="B1487" s="2">
        <v>72.0</v>
      </c>
      <c r="C1487" s="4"/>
      <c r="E1487" s="4" t="str">
        <f t="array" ref="E1487">XLOOKUP(A1487,'Fintech, Regulatory Arbitrage, '!A:A,'Fintech, Regulatory Arbitrage, '!C:C,"")</f>
        <v/>
      </c>
    </row>
    <row r="1488">
      <c r="A1488" s="1" t="s">
        <v>1507</v>
      </c>
      <c r="B1488" s="2">
        <v>72.0</v>
      </c>
      <c r="C1488" s="4"/>
      <c r="E1488" s="4" t="str">
        <f t="array" ref="E1488">XLOOKUP(A1488,'Fintech, Regulatory Arbitrage, '!A:A,'Fintech, Regulatory Arbitrage, '!C:C,"")</f>
        <v/>
      </c>
    </row>
    <row r="1489">
      <c r="A1489" s="1" t="s">
        <v>1508</v>
      </c>
      <c r="B1489" s="2">
        <v>72.0</v>
      </c>
      <c r="C1489" s="4"/>
      <c r="E1489" s="4" t="str">
        <f t="array" ref="E1489">XLOOKUP(A1489,'Fintech, Regulatory Arbitrage, '!A:A,'Fintech, Regulatory Arbitrage, '!C:C,"")</f>
        <v/>
      </c>
    </row>
    <row r="1490">
      <c r="A1490" s="1" t="s">
        <v>1509</v>
      </c>
      <c r="B1490" s="2">
        <v>72.0</v>
      </c>
      <c r="C1490" s="4"/>
      <c r="E1490" s="4" t="str">
        <f t="array" ref="E1490">XLOOKUP(A1490,'Fintech, Regulatory Arbitrage, '!A:A,'Fintech, Regulatory Arbitrage, '!C:C,"")</f>
        <v/>
      </c>
    </row>
    <row r="1491">
      <c r="A1491" s="1" t="s">
        <v>1510</v>
      </c>
      <c r="B1491" s="2">
        <v>72.0</v>
      </c>
      <c r="C1491" s="4"/>
      <c r="E1491" s="4" t="str">
        <f t="array" ref="E1491">XLOOKUP(A1491,'Fintech, Regulatory Arbitrage, '!A:A,'Fintech, Regulatory Arbitrage, '!C:C,"")</f>
        <v/>
      </c>
    </row>
    <row r="1492">
      <c r="A1492" s="1" t="s">
        <v>1511</v>
      </c>
      <c r="B1492" s="2">
        <v>72.0</v>
      </c>
      <c r="C1492" s="4"/>
      <c r="E1492" s="4" t="str">
        <f t="array" ref="E1492">XLOOKUP(A1492,'Fintech, Regulatory Arbitrage, '!A:A,'Fintech, Regulatory Arbitrage, '!C:C,"")</f>
        <v/>
      </c>
    </row>
    <row r="1493">
      <c r="A1493" s="1" t="s">
        <v>1512</v>
      </c>
      <c r="B1493" s="2">
        <v>72.0</v>
      </c>
      <c r="C1493" s="4"/>
      <c r="E1493" s="4" t="str">
        <f t="array" ref="E1493">XLOOKUP(A1493,'Fintech, Regulatory Arbitrage, '!A:A,'Fintech, Regulatory Arbitrage, '!C:C,"")</f>
        <v/>
      </c>
    </row>
    <row r="1494">
      <c r="A1494" s="1" t="s">
        <v>1513</v>
      </c>
      <c r="B1494" s="2">
        <v>72.0</v>
      </c>
      <c r="C1494" s="4"/>
      <c r="E1494" s="4" t="str">
        <f t="array" ref="E1494">XLOOKUP(A1494,'Fintech, Regulatory Arbitrage, '!A:A,'Fintech, Regulatory Arbitrage, '!C:C,"")</f>
        <v/>
      </c>
    </row>
    <row r="1495">
      <c r="A1495" s="1" t="s">
        <v>1514</v>
      </c>
      <c r="B1495" s="2">
        <v>72.0</v>
      </c>
      <c r="C1495" s="4"/>
      <c r="E1495" s="4" t="str">
        <f t="array" ref="E1495">XLOOKUP(A1495,'Fintech, Regulatory Arbitrage, '!A:A,'Fintech, Regulatory Arbitrage, '!C:C,"")</f>
        <v/>
      </c>
    </row>
    <row r="1496">
      <c r="A1496" s="1" t="s">
        <v>1515</v>
      </c>
      <c r="B1496" s="2">
        <v>71.0</v>
      </c>
      <c r="C1496" s="4"/>
      <c r="E1496" s="4" t="str">
        <f t="array" ref="E1496">XLOOKUP(A1496,'Fintech, Regulatory Arbitrage, '!A:A,'Fintech, Regulatory Arbitrage, '!C:C,"")</f>
        <v/>
      </c>
    </row>
    <row r="1497">
      <c r="A1497" s="1" t="s">
        <v>1516</v>
      </c>
      <c r="B1497" s="2">
        <v>71.0</v>
      </c>
      <c r="C1497" s="4"/>
      <c r="E1497" s="4" t="str">
        <f t="array" ref="E1497">XLOOKUP(A1497,'Fintech, Regulatory Arbitrage, '!A:A,'Fintech, Regulatory Arbitrage, '!C:C,"")</f>
        <v/>
      </c>
    </row>
    <row r="1498">
      <c r="A1498" s="1" t="s">
        <v>1517</v>
      </c>
      <c r="B1498" s="2">
        <v>71.0</v>
      </c>
      <c r="C1498" s="4"/>
      <c r="E1498" s="4" t="str">
        <f t="array" ref="E1498">XLOOKUP(A1498,'Fintech, Regulatory Arbitrage, '!A:A,'Fintech, Regulatory Arbitrage, '!C:C,"")</f>
        <v/>
      </c>
    </row>
    <row r="1499">
      <c r="A1499" s="1" t="s">
        <v>1518</v>
      </c>
      <c r="B1499" s="2">
        <v>71.0</v>
      </c>
      <c r="C1499" s="4"/>
      <c r="E1499" s="4" t="str">
        <f t="array" ref="E1499">XLOOKUP(A1499,'Fintech, Regulatory Arbitrage, '!A:A,'Fintech, Regulatory Arbitrage, '!C:C,"")</f>
        <v/>
      </c>
    </row>
    <row r="1500">
      <c r="A1500" s="1" t="s">
        <v>1519</v>
      </c>
      <c r="B1500" s="2">
        <v>71.0</v>
      </c>
      <c r="C1500" s="4"/>
      <c r="E1500" s="4" t="str">
        <f t="array" ref="E1500">XLOOKUP(A1500,'Fintech, Regulatory Arbitrage, '!A:A,'Fintech, Regulatory Arbitrage, '!C:C,"")</f>
        <v/>
      </c>
    </row>
    <row r="1501">
      <c r="A1501" s="1" t="s">
        <v>1520</v>
      </c>
      <c r="B1501" s="2">
        <v>71.0</v>
      </c>
      <c r="C1501" s="4"/>
      <c r="E1501" s="4" t="str">
        <f t="array" ref="E1501">XLOOKUP(A1501,'Fintech, Regulatory Arbitrage, '!A:A,'Fintech, Regulatory Arbitrage, '!C:C,"")</f>
        <v/>
      </c>
    </row>
    <row r="1502">
      <c r="A1502" s="1" t="s">
        <v>1521</v>
      </c>
      <c r="B1502" s="2">
        <v>71.0</v>
      </c>
      <c r="C1502" s="4"/>
      <c r="E1502" s="4" t="str">
        <f t="array" ref="E1502">XLOOKUP(A1502,'Fintech, Regulatory Arbitrage, '!A:A,'Fintech, Regulatory Arbitrage, '!C:C,"")</f>
        <v/>
      </c>
    </row>
    <row r="1503">
      <c r="A1503" s="1" t="s">
        <v>1522</v>
      </c>
      <c r="B1503" s="2">
        <v>71.0</v>
      </c>
      <c r="C1503" s="4"/>
      <c r="E1503" s="4" t="str">
        <f t="array" ref="E1503">XLOOKUP(A1503,'Fintech, Regulatory Arbitrage, '!A:A,'Fintech, Regulatory Arbitrage, '!C:C,"")</f>
        <v/>
      </c>
    </row>
    <row r="1504">
      <c r="A1504" s="1" t="s">
        <v>1523</v>
      </c>
      <c r="B1504" s="2">
        <v>71.0</v>
      </c>
      <c r="C1504" s="4"/>
      <c r="E1504" s="4" t="str">
        <f t="array" ref="E1504">XLOOKUP(A1504,'Fintech, Regulatory Arbitrage, '!A:A,'Fintech, Regulatory Arbitrage, '!C:C,"")</f>
        <v/>
      </c>
    </row>
    <row r="1505">
      <c r="A1505" s="1" t="s">
        <v>1524</v>
      </c>
      <c r="B1505" s="2">
        <v>71.0</v>
      </c>
      <c r="C1505" s="4"/>
      <c r="E1505" s="4" t="str">
        <f t="array" ref="E1505">XLOOKUP(A1505,'Fintech, Regulatory Arbitrage, '!A:A,'Fintech, Regulatory Arbitrage, '!C:C,"")</f>
        <v/>
      </c>
    </row>
    <row r="1506">
      <c r="A1506" s="1" t="s">
        <v>1525</v>
      </c>
      <c r="B1506" s="2">
        <v>71.0</v>
      </c>
      <c r="C1506" s="4"/>
      <c r="E1506" s="4" t="str">
        <f t="array" ref="E1506">XLOOKUP(A1506,'Fintech, Regulatory Arbitrage, '!A:A,'Fintech, Regulatory Arbitrage, '!C:C,"")</f>
        <v/>
      </c>
    </row>
    <row r="1507">
      <c r="A1507" s="1" t="s">
        <v>1526</v>
      </c>
      <c r="B1507" s="2">
        <v>71.0</v>
      </c>
      <c r="C1507" s="4"/>
      <c r="E1507" s="4" t="str">
        <f t="array" ref="E1507">XLOOKUP(A1507,'Fintech, Regulatory Arbitrage, '!A:A,'Fintech, Regulatory Arbitrage, '!C:C,"")</f>
        <v/>
      </c>
    </row>
    <row r="1508">
      <c r="A1508" s="1" t="s">
        <v>1527</v>
      </c>
      <c r="B1508" s="2">
        <v>71.0</v>
      </c>
      <c r="C1508" s="4"/>
      <c r="E1508" s="4" t="str">
        <f t="array" ref="E1508">XLOOKUP(A1508,'Fintech, Regulatory Arbitrage, '!A:A,'Fintech, Regulatory Arbitrage, '!C:C,"")</f>
        <v/>
      </c>
    </row>
    <row r="1509">
      <c r="A1509" s="1" t="s">
        <v>1528</v>
      </c>
      <c r="B1509" s="2">
        <v>71.0</v>
      </c>
      <c r="C1509" s="4"/>
      <c r="E1509" s="4" t="str">
        <f t="array" ref="E1509">XLOOKUP(A1509,'Fintech, Regulatory Arbitrage, '!A:A,'Fintech, Regulatory Arbitrage, '!C:C,"")</f>
        <v/>
      </c>
    </row>
    <row r="1510">
      <c r="A1510" s="1" t="s">
        <v>1529</v>
      </c>
      <c r="B1510" s="2">
        <v>71.0</v>
      </c>
      <c r="C1510" s="4"/>
      <c r="E1510" s="4" t="str">
        <f t="array" ref="E1510">XLOOKUP(A1510,'Fintech, Regulatory Arbitrage, '!A:A,'Fintech, Regulatory Arbitrage, '!C:C,"")</f>
        <v/>
      </c>
    </row>
    <row r="1511">
      <c r="A1511" s="1" t="s">
        <v>1530</v>
      </c>
      <c r="B1511" s="2">
        <v>70.0</v>
      </c>
      <c r="C1511" s="4"/>
      <c r="E1511" s="4" t="str">
        <f t="array" ref="E1511">XLOOKUP(A1511,'Fintech, Regulatory Arbitrage, '!A:A,'Fintech, Regulatory Arbitrage, '!C:C,"")</f>
        <v/>
      </c>
    </row>
    <row r="1512">
      <c r="A1512" s="1" t="s">
        <v>1531</v>
      </c>
      <c r="B1512" s="2">
        <v>70.0</v>
      </c>
      <c r="C1512" s="4"/>
      <c r="E1512" s="4" t="str">
        <f t="array" ref="E1512">XLOOKUP(A1512,'Fintech, Regulatory Arbitrage, '!A:A,'Fintech, Regulatory Arbitrage, '!C:C,"")</f>
        <v/>
      </c>
    </row>
    <row r="1513">
      <c r="A1513" s="1" t="s">
        <v>1532</v>
      </c>
      <c r="B1513" s="2">
        <v>70.0</v>
      </c>
      <c r="C1513" s="4"/>
      <c r="E1513" s="4" t="str">
        <f t="array" ref="E1513">XLOOKUP(A1513,'Fintech, Regulatory Arbitrage, '!A:A,'Fintech, Regulatory Arbitrage, '!C:C,"")</f>
        <v/>
      </c>
    </row>
    <row r="1514">
      <c r="A1514" s="1" t="s">
        <v>1533</v>
      </c>
      <c r="B1514" s="2">
        <v>70.0</v>
      </c>
      <c r="C1514" s="4"/>
      <c r="E1514" s="4" t="str">
        <f t="array" ref="E1514">XLOOKUP(A1514,'Fintech, Regulatory Arbitrage, '!A:A,'Fintech, Regulatory Arbitrage, '!C:C,"")</f>
        <v/>
      </c>
    </row>
    <row r="1515">
      <c r="A1515" s="1" t="s">
        <v>1534</v>
      </c>
      <c r="B1515" s="2">
        <v>70.0</v>
      </c>
      <c r="C1515" s="4"/>
      <c r="E1515" s="4" t="str">
        <f t="array" ref="E1515">XLOOKUP(A1515,'Fintech, Regulatory Arbitrage, '!A:A,'Fintech, Regulatory Arbitrage, '!C:C,"")</f>
        <v/>
      </c>
    </row>
    <row r="1516">
      <c r="A1516" s="1" t="s">
        <v>1535</v>
      </c>
      <c r="B1516" s="2">
        <v>70.0</v>
      </c>
      <c r="C1516" s="4"/>
      <c r="E1516" s="4" t="str">
        <f t="array" ref="E1516">XLOOKUP(A1516,'Fintech, Regulatory Arbitrage, '!A:A,'Fintech, Regulatory Arbitrage, '!C:C,"")</f>
        <v/>
      </c>
    </row>
    <row r="1517">
      <c r="A1517" s="1" t="s">
        <v>1536</v>
      </c>
      <c r="B1517" s="2">
        <v>70.0</v>
      </c>
      <c r="C1517" s="4"/>
      <c r="E1517" s="4" t="str">
        <f t="array" ref="E1517">XLOOKUP(A1517,'Fintech, Regulatory Arbitrage, '!A:A,'Fintech, Regulatory Arbitrage, '!C:C,"")</f>
        <v/>
      </c>
    </row>
    <row r="1518">
      <c r="A1518" s="1" t="s">
        <v>1537</v>
      </c>
      <c r="B1518" s="2">
        <v>70.0</v>
      </c>
      <c r="C1518" s="4"/>
      <c r="E1518" s="4" t="str">
        <f t="array" ref="E1518">XLOOKUP(A1518,'Fintech, Regulatory Arbitrage, '!A:A,'Fintech, Regulatory Arbitrage, '!C:C,"")</f>
        <v/>
      </c>
    </row>
    <row r="1519">
      <c r="A1519" s="1" t="s">
        <v>1538</v>
      </c>
      <c r="B1519" s="2">
        <v>69.0</v>
      </c>
      <c r="C1519" s="4"/>
      <c r="E1519" s="4" t="str">
        <f t="array" ref="E1519">XLOOKUP(A1519,'Fintech, Regulatory Arbitrage, '!A:A,'Fintech, Regulatory Arbitrage, '!C:C,"")</f>
        <v/>
      </c>
    </row>
    <row r="1520">
      <c r="A1520" s="1" t="s">
        <v>1539</v>
      </c>
      <c r="B1520" s="2">
        <v>69.0</v>
      </c>
      <c r="C1520" s="4"/>
      <c r="E1520" s="4" t="str">
        <f t="array" ref="E1520">XLOOKUP(A1520,'Fintech, Regulatory Arbitrage, '!A:A,'Fintech, Regulatory Arbitrage, '!C:C,"")</f>
        <v/>
      </c>
    </row>
    <row r="1521">
      <c r="A1521" s="1" t="s">
        <v>1540</v>
      </c>
      <c r="B1521" s="2">
        <v>69.0</v>
      </c>
      <c r="C1521" s="4"/>
      <c r="E1521" s="4" t="str">
        <f t="array" ref="E1521">XLOOKUP(A1521,'Fintech, Regulatory Arbitrage, '!A:A,'Fintech, Regulatory Arbitrage, '!C:C,"")</f>
        <v/>
      </c>
    </row>
    <row r="1522">
      <c r="A1522" s="1" t="s">
        <v>1541</v>
      </c>
      <c r="B1522" s="2">
        <v>69.0</v>
      </c>
      <c r="C1522" s="4"/>
      <c r="E1522" s="4" t="str">
        <f t="array" ref="E1522">XLOOKUP(A1522,'Fintech, Regulatory Arbitrage, '!A:A,'Fintech, Regulatory Arbitrage, '!C:C,"")</f>
        <v/>
      </c>
    </row>
    <row r="1523">
      <c r="A1523" s="1" t="s">
        <v>1542</v>
      </c>
      <c r="B1523" s="2">
        <v>69.0</v>
      </c>
      <c r="C1523" s="4"/>
      <c r="E1523" s="4" t="str">
        <f t="array" ref="E1523">XLOOKUP(A1523,'Fintech, Regulatory Arbitrage, '!A:A,'Fintech, Regulatory Arbitrage, '!C:C,"")</f>
        <v/>
      </c>
    </row>
    <row r="1524">
      <c r="A1524" s="1" t="s">
        <v>1543</v>
      </c>
      <c r="B1524" s="2">
        <v>69.0</v>
      </c>
      <c r="C1524" s="4"/>
      <c r="E1524" s="4" t="str">
        <f t="array" ref="E1524">XLOOKUP(A1524,'Fintech, Regulatory Arbitrage, '!A:A,'Fintech, Regulatory Arbitrage, '!C:C,"")</f>
        <v/>
      </c>
    </row>
    <row r="1525">
      <c r="A1525" s="1" t="s">
        <v>1544</v>
      </c>
      <c r="B1525" s="2">
        <v>69.0</v>
      </c>
      <c r="C1525" s="4"/>
      <c r="E1525" s="4" t="str">
        <f t="array" ref="E1525">XLOOKUP(A1525,'Fintech, Regulatory Arbitrage, '!A:A,'Fintech, Regulatory Arbitrage, '!C:C,"")</f>
        <v/>
      </c>
    </row>
    <row r="1526">
      <c r="A1526" s="1" t="s">
        <v>1545</v>
      </c>
      <c r="B1526" s="2">
        <v>68.0</v>
      </c>
      <c r="C1526" s="4"/>
      <c r="E1526" s="4" t="str">
        <f t="array" ref="E1526">XLOOKUP(A1526,'Fintech, Regulatory Arbitrage, '!A:A,'Fintech, Regulatory Arbitrage, '!C:C,"")</f>
        <v/>
      </c>
    </row>
    <row r="1527">
      <c r="A1527" s="1" t="s">
        <v>1546</v>
      </c>
      <c r="B1527" s="2">
        <v>68.0</v>
      </c>
      <c r="C1527" s="4"/>
      <c r="E1527" s="4" t="str">
        <f t="array" ref="E1527">XLOOKUP(A1527,'Fintech, Regulatory Arbitrage, '!A:A,'Fintech, Regulatory Arbitrage, '!C:C,"")</f>
        <v/>
      </c>
    </row>
    <row r="1528">
      <c r="A1528" s="1" t="s">
        <v>1547</v>
      </c>
      <c r="B1528" s="2">
        <v>68.0</v>
      </c>
      <c r="C1528" s="4"/>
      <c r="E1528" s="4" t="str">
        <f t="array" ref="E1528">XLOOKUP(A1528,'Fintech, Regulatory Arbitrage, '!A:A,'Fintech, Regulatory Arbitrage, '!C:C,"")</f>
        <v/>
      </c>
    </row>
    <row r="1529">
      <c r="A1529" s="1" t="s">
        <v>1548</v>
      </c>
      <c r="B1529" s="2">
        <v>68.0</v>
      </c>
      <c r="C1529" s="4"/>
      <c r="E1529" s="4" t="str">
        <f t="array" ref="E1529">XLOOKUP(A1529,'Fintech, Regulatory Arbitrage, '!A:A,'Fintech, Regulatory Arbitrage, '!C:C,"")</f>
        <v/>
      </c>
    </row>
    <row r="1530">
      <c r="A1530" s="1" t="s">
        <v>1549</v>
      </c>
      <c r="B1530" s="2">
        <v>68.0</v>
      </c>
      <c r="C1530" s="4"/>
      <c r="E1530" s="4" t="str">
        <f t="array" ref="E1530">XLOOKUP(A1530,'Fintech, Regulatory Arbitrage, '!A:A,'Fintech, Regulatory Arbitrage, '!C:C,"")</f>
        <v/>
      </c>
    </row>
    <row r="1531">
      <c r="A1531" s="1" t="s">
        <v>1550</v>
      </c>
      <c r="B1531" s="2">
        <v>68.0</v>
      </c>
      <c r="C1531" s="4"/>
      <c r="E1531" s="4" t="str">
        <f t="array" ref="E1531">XLOOKUP(A1531,'Fintech, Regulatory Arbitrage, '!A:A,'Fintech, Regulatory Arbitrage, '!C:C,"")</f>
        <v/>
      </c>
    </row>
    <row r="1532">
      <c r="A1532" s="1" t="s">
        <v>1551</v>
      </c>
      <c r="B1532" s="2">
        <v>68.0</v>
      </c>
      <c r="C1532" s="4"/>
      <c r="E1532" s="4" t="str">
        <f t="array" ref="E1532">XLOOKUP(A1532,'Fintech, Regulatory Arbitrage, '!A:A,'Fintech, Regulatory Arbitrage, '!C:C,"")</f>
        <v/>
      </c>
    </row>
    <row r="1533">
      <c r="A1533" s="1" t="s">
        <v>1552</v>
      </c>
      <c r="B1533" s="2">
        <v>68.0</v>
      </c>
      <c r="C1533" s="4"/>
      <c r="E1533" s="4" t="str">
        <f t="array" ref="E1533">XLOOKUP(A1533,'Fintech, Regulatory Arbitrage, '!A:A,'Fintech, Regulatory Arbitrage, '!C:C,"")</f>
        <v/>
      </c>
    </row>
    <row r="1534">
      <c r="A1534" s="1" t="s">
        <v>1553</v>
      </c>
      <c r="B1534" s="2">
        <v>68.0</v>
      </c>
      <c r="C1534" s="4"/>
      <c r="E1534" s="4" t="str">
        <f t="array" ref="E1534">XLOOKUP(A1534,'Fintech, Regulatory Arbitrage, '!A:A,'Fintech, Regulatory Arbitrage, '!C:C,"")</f>
        <v/>
      </c>
    </row>
    <row r="1535">
      <c r="A1535" s="1" t="s">
        <v>1554</v>
      </c>
      <c r="B1535" s="2">
        <v>68.0</v>
      </c>
      <c r="C1535" s="4"/>
      <c r="E1535" s="4" t="str">
        <f t="array" ref="E1535">XLOOKUP(A1535,'Fintech, Regulatory Arbitrage, '!A:A,'Fintech, Regulatory Arbitrage, '!C:C,"")</f>
        <v/>
      </c>
    </row>
    <row r="1536">
      <c r="A1536" s="1" t="s">
        <v>1555</v>
      </c>
      <c r="B1536" s="2">
        <v>67.0</v>
      </c>
      <c r="C1536" s="4"/>
      <c r="E1536" s="4" t="str">
        <f t="array" ref="E1536">XLOOKUP(A1536,'Fintech, Regulatory Arbitrage, '!A:A,'Fintech, Regulatory Arbitrage, '!C:C,"")</f>
        <v/>
      </c>
    </row>
    <row r="1537">
      <c r="A1537" s="1" t="s">
        <v>1556</v>
      </c>
      <c r="B1537" s="2">
        <v>67.0</v>
      </c>
      <c r="C1537" s="4"/>
      <c r="E1537" s="4" t="str">
        <f t="array" ref="E1537">XLOOKUP(A1537,'Fintech, Regulatory Arbitrage, '!A:A,'Fintech, Regulatory Arbitrage, '!C:C,"")</f>
        <v/>
      </c>
    </row>
    <row r="1538">
      <c r="A1538" s="1" t="s">
        <v>1557</v>
      </c>
      <c r="B1538" s="2">
        <v>67.0</v>
      </c>
      <c r="C1538" s="4"/>
      <c r="E1538" s="4" t="str">
        <f t="array" ref="E1538">XLOOKUP(A1538,'Fintech, Regulatory Arbitrage, '!A:A,'Fintech, Regulatory Arbitrage, '!C:C,"")</f>
        <v/>
      </c>
    </row>
    <row r="1539">
      <c r="A1539" s="1" t="s">
        <v>1558</v>
      </c>
      <c r="B1539" s="2">
        <v>67.0</v>
      </c>
      <c r="C1539" s="4"/>
      <c r="E1539" s="4" t="str">
        <f t="array" ref="E1539">XLOOKUP(A1539,'Fintech, Regulatory Arbitrage, '!A:A,'Fintech, Regulatory Arbitrage, '!C:C,"")</f>
        <v/>
      </c>
    </row>
    <row r="1540">
      <c r="A1540" s="1" t="s">
        <v>1559</v>
      </c>
      <c r="B1540" s="2">
        <v>67.0</v>
      </c>
      <c r="C1540" s="4"/>
      <c r="E1540" s="4" t="str">
        <f t="array" ref="E1540">XLOOKUP(A1540,'Fintech, Regulatory Arbitrage, '!A:A,'Fintech, Regulatory Arbitrage, '!C:C,"")</f>
        <v/>
      </c>
    </row>
    <row r="1541">
      <c r="A1541" s="1" t="s">
        <v>1560</v>
      </c>
      <c r="B1541" s="2">
        <v>67.0</v>
      </c>
      <c r="C1541" s="4"/>
      <c r="E1541" s="4" t="str">
        <f t="array" ref="E1541">XLOOKUP(A1541,'Fintech, Regulatory Arbitrage, '!A:A,'Fintech, Regulatory Arbitrage, '!C:C,"")</f>
        <v/>
      </c>
    </row>
    <row r="1542">
      <c r="A1542" s="1" t="s">
        <v>1561</v>
      </c>
      <c r="B1542" s="2">
        <v>67.0</v>
      </c>
      <c r="C1542" s="4"/>
      <c r="E1542" s="4" t="str">
        <f t="array" ref="E1542">XLOOKUP(A1542,'Fintech, Regulatory Arbitrage, '!A:A,'Fintech, Regulatory Arbitrage, '!C:C,"")</f>
        <v/>
      </c>
    </row>
    <row r="1543">
      <c r="A1543" s="1" t="s">
        <v>1562</v>
      </c>
      <c r="B1543" s="2">
        <v>67.0</v>
      </c>
      <c r="C1543" s="4"/>
      <c r="E1543" s="4" t="str">
        <f t="array" ref="E1543">XLOOKUP(A1543,'Fintech, Regulatory Arbitrage, '!A:A,'Fintech, Regulatory Arbitrage, '!C:C,"")</f>
        <v/>
      </c>
    </row>
    <row r="1544">
      <c r="A1544" s="1" t="s">
        <v>1563</v>
      </c>
      <c r="B1544" s="2">
        <v>67.0</v>
      </c>
      <c r="C1544" s="4"/>
      <c r="E1544" s="4" t="str">
        <f t="array" ref="E1544">XLOOKUP(A1544,'Fintech, Regulatory Arbitrage, '!A:A,'Fintech, Regulatory Arbitrage, '!C:C,"")</f>
        <v/>
      </c>
    </row>
    <row r="1545">
      <c r="A1545" s="1" t="s">
        <v>1564</v>
      </c>
      <c r="B1545" s="2">
        <v>67.0</v>
      </c>
      <c r="C1545" s="4"/>
      <c r="E1545" s="4" t="str">
        <f t="array" ref="E1545">XLOOKUP(A1545,'Fintech, Regulatory Arbitrage, '!A:A,'Fintech, Regulatory Arbitrage, '!C:C,"")</f>
        <v/>
      </c>
    </row>
    <row r="1546">
      <c r="A1546" s="1" t="s">
        <v>1565</v>
      </c>
      <c r="B1546" s="2">
        <v>67.0</v>
      </c>
      <c r="C1546" s="4"/>
      <c r="E1546" s="4" t="str">
        <f t="array" ref="E1546">XLOOKUP(A1546,'Fintech, Regulatory Arbitrage, '!A:A,'Fintech, Regulatory Arbitrage, '!C:C,"")</f>
        <v/>
      </c>
    </row>
    <row r="1547">
      <c r="A1547" s="1" t="s">
        <v>1566</v>
      </c>
      <c r="B1547" s="2">
        <v>67.0</v>
      </c>
      <c r="C1547" s="4"/>
      <c r="E1547" s="4" t="str">
        <f t="array" ref="E1547">XLOOKUP(A1547,'Fintech, Regulatory Arbitrage, '!A:A,'Fintech, Regulatory Arbitrage, '!C:C,"")</f>
        <v/>
      </c>
    </row>
    <row r="1548">
      <c r="A1548" s="1" t="s">
        <v>1567</v>
      </c>
      <c r="B1548" s="2">
        <v>67.0</v>
      </c>
      <c r="C1548" s="4"/>
      <c r="E1548" s="4" t="str">
        <f t="array" ref="E1548">XLOOKUP(A1548,'Fintech, Regulatory Arbitrage, '!A:A,'Fintech, Regulatory Arbitrage, '!C:C,"")</f>
        <v/>
      </c>
    </row>
    <row r="1549">
      <c r="A1549" s="1" t="s">
        <v>1568</v>
      </c>
      <c r="B1549" s="2">
        <v>67.0</v>
      </c>
      <c r="C1549" s="4"/>
      <c r="E1549" s="4" t="str">
        <f t="array" ref="E1549">XLOOKUP(A1549,'Fintech, Regulatory Arbitrage, '!A:A,'Fintech, Regulatory Arbitrage, '!C:C,"")</f>
        <v/>
      </c>
    </row>
    <row r="1550">
      <c r="A1550" s="1" t="s">
        <v>1569</v>
      </c>
      <c r="B1550" s="2">
        <v>66.0</v>
      </c>
      <c r="C1550" s="4"/>
      <c r="E1550" s="4" t="str">
        <f t="array" ref="E1550">XLOOKUP(A1550,'Fintech, Regulatory Arbitrage, '!A:A,'Fintech, Regulatory Arbitrage, '!C:C,"")</f>
        <v/>
      </c>
    </row>
    <row r="1551">
      <c r="A1551" s="1" t="s">
        <v>1570</v>
      </c>
      <c r="B1551" s="2">
        <v>66.0</v>
      </c>
      <c r="C1551" s="4"/>
      <c r="E1551" s="4" t="str">
        <f t="array" ref="E1551">XLOOKUP(A1551,'Fintech, Regulatory Arbitrage, '!A:A,'Fintech, Regulatory Arbitrage, '!C:C,"")</f>
        <v/>
      </c>
    </row>
    <row r="1552">
      <c r="A1552" s="1" t="s">
        <v>1571</v>
      </c>
      <c r="B1552" s="2">
        <v>66.0</v>
      </c>
      <c r="C1552" s="4"/>
      <c r="E1552" s="4" t="str">
        <f t="array" ref="E1552">XLOOKUP(A1552,'Fintech, Regulatory Arbitrage, '!A:A,'Fintech, Regulatory Arbitrage, '!C:C,"")</f>
        <v/>
      </c>
    </row>
    <row r="1553">
      <c r="A1553" s="1" t="s">
        <v>1572</v>
      </c>
      <c r="B1553" s="2">
        <v>66.0</v>
      </c>
      <c r="C1553" s="4"/>
      <c r="E1553" s="4" t="str">
        <f t="array" ref="E1553">XLOOKUP(A1553,'Fintech, Regulatory Arbitrage, '!A:A,'Fintech, Regulatory Arbitrage, '!C:C,"")</f>
        <v/>
      </c>
    </row>
    <row r="1554">
      <c r="A1554" s="1" t="s">
        <v>1573</v>
      </c>
      <c r="B1554" s="2">
        <v>66.0</v>
      </c>
      <c r="C1554" s="4"/>
      <c r="E1554" s="4" t="str">
        <f t="array" ref="E1554">XLOOKUP(A1554,'Fintech, Regulatory Arbitrage, '!A:A,'Fintech, Regulatory Arbitrage, '!C:C,"")</f>
        <v/>
      </c>
    </row>
    <row r="1555">
      <c r="A1555" s="1" t="s">
        <v>1574</v>
      </c>
      <c r="B1555" s="2">
        <v>66.0</v>
      </c>
      <c r="C1555" s="4"/>
      <c r="E1555" s="4" t="str">
        <f t="array" ref="E1555">XLOOKUP(A1555,'Fintech, Regulatory Arbitrage, '!A:A,'Fintech, Regulatory Arbitrage, '!C:C,"")</f>
        <v/>
      </c>
    </row>
    <row r="1556">
      <c r="A1556" s="1" t="s">
        <v>1575</v>
      </c>
      <c r="B1556" s="2">
        <v>66.0</v>
      </c>
      <c r="C1556" s="4"/>
      <c r="E1556" s="4" t="str">
        <f t="array" ref="E1556">XLOOKUP(A1556,'Fintech, Regulatory Arbitrage, '!A:A,'Fintech, Regulatory Arbitrage, '!C:C,"")</f>
        <v/>
      </c>
    </row>
    <row r="1557">
      <c r="A1557" s="1" t="s">
        <v>1576</v>
      </c>
      <c r="B1557" s="2">
        <v>66.0</v>
      </c>
      <c r="C1557" s="4"/>
      <c r="E1557" s="4" t="str">
        <f t="array" ref="E1557">XLOOKUP(A1557,'Fintech, Regulatory Arbitrage, '!A:A,'Fintech, Regulatory Arbitrage, '!C:C,"")</f>
        <v/>
      </c>
    </row>
    <row r="1558">
      <c r="A1558" s="1" t="s">
        <v>1577</v>
      </c>
      <c r="B1558" s="2">
        <v>66.0</v>
      </c>
      <c r="C1558" s="4"/>
      <c r="E1558" s="4" t="str">
        <f t="array" ref="E1558">XLOOKUP(A1558,'Fintech, Regulatory Arbitrage, '!A:A,'Fintech, Regulatory Arbitrage, '!C:C,"")</f>
        <v/>
      </c>
    </row>
    <row r="1559">
      <c r="A1559" s="1" t="s">
        <v>1578</v>
      </c>
      <c r="B1559" s="2">
        <v>66.0</v>
      </c>
      <c r="C1559" s="4"/>
      <c r="E1559" s="4" t="str">
        <f t="array" ref="E1559">XLOOKUP(A1559,'Fintech, Regulatory Arbitrage, '!A:A,'Fintech, Regulatory Arbitrage, '!C:C,"")</f>
        <v/>
      </c>
    </row>
    <row r="1560">
      <c r="A1560" s="1" t="s">
        <v>1579</v>
      </c>
      <c r="B1560" s="2">
        <v>66.0</v>
      </c>
      <c r="C1560" s="4"/>
      <c r="E1560" s="4" t="str">
        <f t="array" ref="E1560">XLOOKUP(A1560,'Fintech, Regulatory Arbitrage, '!A:A,'Fintech, Regulatory Arbitrage, '!C:C,"")</f>
        <v/>
      </c>
    </row>
    <row r="1561">
      <c r="A1561" s="1" t="s">
        <v>1580</v>
      </c>
      <c r="B1561" s="2">
        <v>65.0</v>
      </c>
      <c r="C1561" s="4"/>
      <c r="E1561" s="4" t="str">
        <f t="array" ref="E1561">XLOOKUP(A1561,'Fintech, Regulatory Arbitrage, '!A:A,'Fintech, Regulatory Arbitrage, '!C:C,"")</f>
        <v/>
      </c>
    </row>
    <row r="1562">
      <c r="A1562" s="1" t="s">
        <v>1581</v>
      </c>
      <c r="B1562" s="2">
        <v>65.0</v>
      </c>
      <c r="C1562" s="4"/>
      <c r="E1562" s="4" t="str">
        <f t="array" ref="E1562">XLOOKUP(A1562,'Fintech, Regulatory Arbitrage, '!A:A,'Fintech, Regulatory Arbitrage, '!C:C,"")</f>
        <v/>
      </c>
    </row>
    <row r="1563">
      <c r="A1563" s="1" t="s">
        <v>1582</v>
      </c>
      <c r="B1563" s="2">
        <v>65.0</v>
      </c>
      <c r="C1563" s="4"/>
      <c r="E1563" s="4" t="str">
        <f t="array" ref="E1563">XLOOKUP(A1563,'Fintech, Regulatory Arbitrage, '!A:A,'Fintech, Regulatory Arbitrage, '!C:C,"")</f>
        <v/>
      </c>
    </row>
    <row r="1564">
      <c r="A1564" s="1" t="s">
        <v>1583</v>
      </c>
      <c r="B1564" s="2">
        <v>65.0</v>
      </c>
      <c r="C1564" s="4"/>
      <c r="E1564" s="4" t="str">
        <f t="array" ref="E1564">XLOOKUP(A1564,'Fintech, Regulatory Arbitrage, '!A:A,'Fintech, Regulatory Arbitrage, '!C:C,"")</f>
        <v/>
      </c>
    </row>
    <row r="1565">
      <c r="A1565" s="1" t="s">
        <v>1584</v>
      </c>
      <c r="B1565" s="2">
        <v>65.0</v>
      </c>
      <c r="C1565" s="4"/>
      <c r="E1565" s="4" t="str">
        <f t="array" ref="E1565">XLOOKUP(A1565,'Fintech, Regulatory Arbitrage, '!A:A,'Fintech, Regulatory Arbitrage, '!C:C,"")</f>
        <v/>
      </c>
    </row>
    <row r="1566">
      <c r="A1566" s="1" t="s">
        <v>1585</v>
      </c>
      <c r="B1566" s="2">
        <v>65.0</v>
      </c>
      <c r="C1566" s="4"/>
      <c r="E1566" s="4" t="str">
        <f t="array" ref="E1566">XLOOKUP(A1566,'Fintech, Regulatory Arbitrage, '!A:A,'Fintech, Regulatory Arbitrage, '!C:C,"")</f>
        <v/>
      </c>
    </row>
    <row r="1567">
      <c r="A1567" s="1" t="s">
        <v>1586</v>
      </c>
      <c r="B1567" s="2">
        <v>65.0</v>
      </c>
      <c r="C1567" s="4"/>
      <c r="E1567" s="4" t="str">
        <f t="array" ref="E1567">XLOOKUP(A1567,'Fintech, Regulatory Arbitrage, '!A:A,'Fintech, Regulatory Arbitrage, '!C:C,"")</f>
        <v/>
      </c>
    </row>
    <row r="1568">
      <c r="A1568" s="1" t="s">
        <v>1587</v>
      </c>
      <c r="B1568" s="2">
        <v>65.0</v>
      </c>
      <c r="C1568" s="4"/>
      <c r="E1568" s="4" t="str">
        <f t="array" ref="E1568">XLOOKUP(A1568,'Fintech, Regulatory Arbitrage, '!A:A,'Fintech, Regulatory Arbitrage, '!C:C,"")</f>
        <v/>
      </c>
    </row>
    <row r="1569">
      <c r="A1569" s="1" t="s">
        <v>1588</v>
      </c>
      <c r="B1569" s="2">
        <v>65.0</v>
      </c>
      <c r="C1569" s="4"/>
      <c r="E1569" s="4" t="str">
        <f t="array" ref="E1569">XLOOKUP(A1569,'Fintech, Regulatory Arbitrage, '!A:A,'Fintech, Regulatory Arbitrage, '!C:C,"")</f>
        <v/>
      </c>
    </row>
    <row r="1570">
      <c r="A1570" s="1" t="s">
        <v>1589</v>
      </c>
      <c r="B1570" s="2">
        <v>65.0</v>
      </c>
      <c r="C1570" s="4"/>
      <c r="E1570" s="4" t="str">
        <f t="array" ref="E1570">XLOOKUP(A1570,'Fintech, Regulatory Arbitrage, '!A:A,'Fintech, Regulatory Arbitrage, '!C:C,"")</f>
        <v/>
      </c>
    </row>
    <row r="1571">
      <c r="A1571" s="1" t="s">
        <v>1590</v>
      </c>
      <c r="B1571" s="2">
        <v>65.0</v>
      </c>
      <c r="C1571" s="4"/>
      <c r="E1571" s="4" t="str">
        <f t="array" ref="E1571">XLOOKUP(A1571,'Fintech, Regulatory Arbitrage, '!A:A,'Fintech, Regulatory Arbitrage, '!C:C,"")</f>
        <v/>
      </c>
    </row>
    <row r="1572">
      <c r="A1572" s="1" t="s">
        <v>1591</v>
      </c>
      <c r="B1572" s="2">
        <v>65.0</v>
      </c>
      <c r="C1572" s="4"/>
      <c r="E1572" s="4" t="str">
        <f t="array" ref="E1572">XLOOKUP(A1572,'Fintech, Regulatory Arbitrage, '!A:A,'Fintech, Regulatory Arbitrage, '!C:C,"")</f>
        <v/>
      </c>
    </row>
    <row r="1573">
      <c r="A1573" s="1" t="s">
        <v>1592</v>
      </c>
      <c r="B1573" s="2">
        <v>65.0</v>
      </c>
      <c r="C1573" s="4"/>
      <c r="E1573" s="4" t="str">
        <f t="array" ref="E1573">XLOOKUP(A1573,'Fintech, Regulatory Arbitrage, '!A:A,'Fintech, Regulatory Arbitrage, '!C:C,"")</f>
        <v/>
      </c>
    </row>
    <row r="1574">
      <c r="A1574" s="1" t="s">
        <v>1593</v>
      </c>
      <c r="B1574" s="2">
        <v>65.0</v>
      </c>
      <c r="C1574" s="4"/>
      <c r="E1574" s="4" t="str">
        <f t="array" ref="E1574">XLOOKUP(A1574,'Fintech, Regulatory Arbitrage, '!A:A,'Fintech, Regulatory Arbitrage, '!C:C,"")</f>
        <v/>
      </c>
    </row>
    <row r="1575">
      <c r="A1575" s="1" t="s">
        <v>1594</v>
      </c>
      <c r="B1575" s="2">
        <v>65.0</v>
      </c>
      <c r="C1575" s="4"/>
      <c r="E1575" s="4" t="str">
        <f t="array" ref="E1575">XLOOKUP(A1575,'Fintech, Regulatory Arbitrage, '!A:A,'Fintech, Regulatory Arbitrage, '!C:C,"")</f>
        <v/>
      </c>
    </row>
    <row r="1576">
      <c r="A1576" s="1" t="s">
        <v>1595</v>
      </c>
      <c r="B1576" s="2">
        <v>65.0</v>
      </c>
      <c r="C1576" s="4"/>
      <c r="E1576" s="4" t="str">
        <f t="array" ref="E1576">XLOOKUP(A1576,'Fintech, Regulatory Arbitrage, '!A:A,'Fintech, Regulatory Arbitrage, '!C:C,"")</f>
        <v/>
      </c>
    </row>
    <row r="1577">
      <c r="A1577" s="1" t="s">
        <v>1596</v>
      </c>
      <c r="B1577" s="2">
        <v>65.0</v>
      </c>
      <c r="C1577" s="4"/>
      <c r="E1577" s="4" t="str">
        <f t="array" ref="E1577">XLOOKUP(A1577,'Fintech, Regulatory Arbitrage, '!A:A,'Fintech, Regulatory Arbitrage, '!C:C,"")</f>
        <v/>
      </c>
    </row>
    <row r="1578">
      <c r="A1578" s="1" t="s">
        <v>1597</v>
      </c>
      <c r="B1578" s="2">
        <v>64.0</v>
      </c>
      <c r="C1578" s="4"/>
      <c r="E1578" s="4" t="str">
        <f t="array" ref="E1578">XLOOKUP(A1578,'Fintech, Regulatory Arbitrage, '!A:A,'Fintech, Regulatory Arbitrage, '!C:C,"")</f>
        <v/>
      </c>
    </row>
    <row r="1579">
      <c r="A1579" s="1" t="s">
        <v>1598</v>
      </c>
      <c r="B1579" s="2">
        <v>64.0</v>
      </c>
      <c r="C1579" s="4"/>
      <c r="E1579" s="4" t="str">
        <f t="array" ref="E1579">XLOOKUP(A1579,'Fintech, Regulatory Arbitrage, '!A:A,'Fintech, Regulatory Arbitrage, '!C:C,"")</f>
        <v/>
      </c>
    </row>
    <row r="1580">
      <c r="A1580" s="1" t="s">
        <v>1599</v>
      </c>
      <c r="B1580" s="2">
        <v>64.0</v>
      </c>
      <c r="C1580" s="4"/>
      <c r="E1580" s="4" t="str">
        <f t="array" ref="E1580">XLOOKUP(A1580,'Fintech, Regulatory Arbitrage, '!A:A,'Fintech, Regulatory Arbitrage, '!C:C,"")</f>
        <v/>
      </c>
    </row>
    <row r="1581">
      <c r="A1581" s="1" t="s">
        <v>1600</v>
      </c>
      <c r="B1581" s="2">
        <v>64.0</v>
      </c>
      <c r="C1581" s="4"/>
      <c r="E1581" s="4" t="str">
        <f t="array" ref="E1581">XLOOKUP(A1581,'Fintech, Regulatory Arbitrage, '!A:A,'Fintech, Regulatory Arbitrage, '!C:C,"")</f>
        <v/>
      </c>
    </row>
    <row r="1582">
      <c r="A1582" s="1" t="s">
        <v>1601</v>
      </c>
      <c r="B1582" s="2">
        <v>64.0</v>
      </c>
      <c r="C1582" s="4"/>
      <c r="E1582" s="4" t="str">
        <f t="array" ref="E1582">XLOOKUP(A1582,'Fintech, Regulatory Arbitrage, '!A:A,'Fintech, Regulatory Arbitrage, '!C:C,"")</f>
        <v/>
      </c>
    </row>
    <row r="1583">
      <c r="A1583" s="1" t="s">
        <v>1602</v>
      </c>
      <c r="B1583" s="2">
        <v>64.0</v>
      </c>
      <c r="C1583" s="4"/>
      <c r="E1583" s="4" t="str">
        <f t="array" ref="E1583">XLOOKUP(A1583,'Fintech, Regulatory Arbitrage, '!A:A,'Fintech, Regulatory Arbitrage, '!C:C,"")</f>
        <v/>
      </c>
    </row>
    <row r="1584">
      <c r="A1584" s="1" t="s">
        <v>1603</v>
      </c>
      <c r="B1584" s="2">
        <v>64.0</v>
      </c>
      <c r="C1584" s="4"/>
      <c r="E1584" s="4" t="str">
        <f t="array" ref="E1584">XLOOKUP(A1584,'Fintech, Regulatory Arbitrage, '!A:A,'Fintech, Regulatory Arbitrage, '!C:C,"")</f>
        <v/>
      </c>
    </row>
    <row r="1585">
      <c r="A1585" s="1" t="s">
        <v>1604</v>
      </c>
      <c r="B1585" s="2">
        <v>64.0</v>
      </c>
      <c r="C1585" s="4"/>
      <c r="E1585" s="4" t="str">
        <f t="array" ref="E1585">XLOOKUP(A1585,'Fintech, Regulatory Arbitrage, '!A:A,'Fintech, Regulatory Arbitrage, '!C:C,"")</f>
        <v/>
      </c>
    </row>
    <row r="1586">
      <c r="A1586" s="1" t="s">
        <v>1605</v>
      </c>
      <c r="B1586" s="2">
        <v>64.0</v>
      </c>
      <c r="C1586" s="4"/>
      <c r="E1586" s="4" t="str">
        <f t="array" ref="E1586">XLOOKUP(A1586,'Fintech, Regulatory Arbitrage, '!A:A,'Fintech, Regulatory Arbitrage, '!C:C,"")</f>
        <v/>
      </c>
    </row>
    <row r="1587">
      <c r="A1587" s="1" t="s">
        <v>1606</v>
      </c>
      <c r="B1587" s="2">
        <v>64.0</v>
      </c>
      <c r="C1587" s="4"/>
      <c r="E1587" s="4" t="str">
        <f t="array" ref="E1587">XLOOKUP(A1587,'Fintech, Regulatory Arbitrage, '!A:A,'Fintech, Regulatory Arbitrage, '!C:C,"")</f>
        <v/>
      </c>
    </row>
    <row r="1588">
      <c r="A1588" s="1" t="s">
        <v>1607</v>
      </c>
      <c r="B1588" s="2">
        <v>64.0</v>
      </c>
      <c r="C1588" s="4"/>
      <c r="E1588" s="4" t="str">
        <f t="array" ref="E1588">XLOOKUP(A1588,'Fintech, Regulatory Arbitrage, '!A:A,'Fintech, Regulatory Arbitrage, '!C:C,"")</f>
        <v/>
      </c>
    </row>
    <row r="1589">
      <c r="A1589" s="1" t="s">
        <v>1608</v>
      </c>
      <c r="B1589" s="2">
        <v>64.0</v>
      </c>
      <c r="C1589" s="4"/>
      <c r="E1589" s="4" t="str">
        <f t="array" ref="E1589">XLOOKUP(A1589,'Fintech, Regulatory Arbitrage, '!A:A,'Fintech, Regulatory Arbitrage, '!C:C,"")</f>
        <v/>
      </c>
    </row>
    <row r="1590">
      <c r="A1590" s="1" t="s">
        <v>1609</v>
      </c>
      <c r="B1590" s="2">
        <v>64.0</v>
      </c>
      <c r="C1590" s="4"/>
      <c r="E1590" s="4" t="str">
        <f t="array" ref="E1590">XLOOKUP(A1590,'Fintech, Regulatory Arbitrage, '!A:A,'Fintech, Regulatory Arbitrage, '!C:C,"")</f>
        <v/>
      </c>
    </row>
    <row r="1591">
      <c r="A1591" s="1" t="s">
        <v>1610</v>
      </c>
      <c r="B1591" s="2">
        <v>64.0</v>
      </c>
      <c r="C1591" s="4"/>
      <c r="E1591" s="4" t="str">
        <f t="array" ref="E1591">XLOOKUP(A1591,'Fintech, Regulatory Arbitrage, '!A:A,'Fintech, Regulatory Arbitrage, '!C:C,"")</f>
        <v/>
      </c>
    </row>
    <row r="1592">
      <c r="A1592" s="1" t="s">
        <v>1611</v>
      </c>
      <c r="B1592" s="2">
        <v>64.0</v>
      </c>
      <c r="C1592" s="4"/>
      <c r="E1592" s="4" t="str">
        <f t="array" ref="E1592">XLOOKUP(A1592,'Fintech, Regulatory Arbitrage, '!A:A,'Fintech, Regulatory Arbitrage, '!C:C,"")</f>
        <v/>
      </c>
    </row>
    <row r="1593">
      <c r="A1593" s="1" t="s">
        <v>1612</v>
      </c>
      <c r="B1593" s="2">
        <v>63.0</v>
      </c>
      <c r="C1593" s="4"/>
      <c r="E1593" s="4" t="str">
        <f t="array" ref="E1593">XLOOKUP(A1593,'Fintech, Regulatory Arbitrage, '!A:A,'Fintech, Regulatory Arbitrage, '!C:C,"")</f>
        <v/>
      </c>
    </row>
    <row r="1594">
      <c r="A1594" s="1" t="s">
        <v>1613</v>
      </c>
      <c r="B1594" s="2">
        <v>63.0</v>
      </c>
      <c r="C1594" s="4"/>
      <c r="E1594" s="4" t="str">
        <f t="array" ref="E1594">XLOOKUP(A1594,'Fintech, Regulatory Arbitrage, '!A:A,'Fintech, Regulatory Arbitrage, '!C:C,"")</f>
        <v/>
      </c>
    </row>
    <row r="1595">
      <c r="A1595" s="1" t="s">
        <v>1614</v>
      </c>
      <c r="B1595" s="2">
        <v>63.0</v>
      </c>
      <c r="C1595" s="4"/>
      <c r="E1595" s="4" t="str">
        <f t="array" ref="E1595">XLOOKUP(A1595,'Fintech, Regulatory Arbitrage, '!A:A,'Fintech, Regulatory Arbitrage, '!C:C,"")</f>
        <v/>
      </c>
    </row>
    <row r="1596">
      <c r="A1596" s="1" t="s">
        <v>1615</v>
      </c>
      <c r="B1596" s="2">
        <v>63.0</v>
      </c>
      <c r="C1596" s="4"/>
      <c r="E1596" s="4" t="str">
        <f t="array" ref="E1596">XLOOKUP(A1596,'Fintech, Regulatory Arbitrage, '!A:A,'Fintech, Regulatory Arbitrage, '!C:C,"")</f>
        <v/>
      </c>
    </row>
    <row r="1597">
      <c r="A1597" s="1" t="s">
        <v>1616</v>
      </c>
      <c r="B1597" s="2">
        <v>63.0</v>
      </c>
      <c r="C1597" s="4"/>
      <c r="E1597" s="4" t="str">
        <f t="array" ref="E1597">XLOOKUP(A1597,'Fintech, Regulatory Arbitrage, '!A:A,'Fintech, Regulatory Arbitrage, '!C:C,"")</f>
        <v/>
      </c>
    </row>
    <row r="1598">
      <c r="A1598" s="1" t="s">
        <v>1617</v>
      </c>
      <c r="B1598" s="2">
        <v>63.0</v>
      </c>
      <c r="C1598" s="4"/>
      <c r="E1598" s="4" t="str">
        <f t="array" ref="E1598">XLOOKUP(A1598,'Fintech, Regulatory Arbitrage, '!A:A,'Fintech, Regulatory Arbitrage, '!C:C,"")</f>
        <v/>
      </c>
    </row>
    <row r="1599">
      <c r="A1599" s="1" t="s">
        <v>1618</v>
      </c>
      <c r="B1599" s="2">
        <v>63.0</v>
      </c>
      <c r="C1599" s="4"/>
      <c r="E1599" s="4" t="str">
        <f t="array" ref="E1599">XLOOKUP(A1599,'Fintech, Regulatory Arbitrage, '!A:A,'Fintech, Regulatory Arbitrage, '!C:C,"")</f>
        <v/>
      </c>
    </row>
    <row r="1600">
      <c r="A1600" s="1" t="s">
        <v>1619</v>
      </c>
      <c r="B1600" s="2">
        <v>63.0</v>
      </c>
      <c r="C1600" s="4"/>
      <c r="E1600" s="4" t="str">
        <f t="array" ref="E1600">XLOOKUP(A1600,'Fintech, Regulatory Arbitrage, '!A:A,'Fintech, Regulatory Arbitrage, '!C:C,"")</f>
        <v/>
      </c>
    </row>
    <row r="1601">
      <c r="A1601" s="1" t="s">
        <v>1620</v>
      </c>
      <c r="B1601" s="2">
        <v>63.0</v>
      </c>
      <c r="C1601" s="4"/>
      <c r="E1601" s="4" t="str">
        <f t="array" ref="E1601">XLOOKUP(A1601,'Fintech, Regulatory Arbitrage, '!A:A,'Fintech, Regulatory Arbitrage, '!C:C,"")</f>
        <v/>
      </c>
    </row>
    <row r="1602">
      <c r="A1602" s="1" t="s">
        <v>1621</v>
      </c>
      <c r="B1602" s="2">
        <v>63.0</v>
      </c>
      <c r="C1602" s="4"/>
      <c r="E1602" s="4" t="str">
        <f t="array" ref="E1602">XLOOKUP(A1602,'Fintech, Regulatory Arbitrage, '!A:A,'Fintech, Regulatory Arbitrage, '!C:C,"")</f>
        <v/>
      </c>
    </row>
    <row r="1603">
      <c r="A1603" s="1" t="s">
        <v>1622</v>
      </c>
      <c r="B1603" s="2">
        <v>63.0</v>
      </c>
      <c r="C1603" s="4"/>
      <c r="E1603" s="4" t="str">
        <f t="array" ref="E1603">XLOOKUP(A1603,'Fintech, Regulatory Arbitrage, '!A:A,'Fintech, Regulatory Arbitrage, '!C:C,"")</f>
        <v/>
      </c>
    </row>
    <row r="1604">
      <c r="A1604" s="1" t="s">
        <v>1623</v>
      </c>
      <c r="B1604" s="2">
        <v>62.0</v>
      </c>
      <c r="C1604" s="4"/>
      <c r="E1604" s="4" t="str">
        <f t="array" ref="E1604">XLOOKUP(A1604,'Fintech, Regulatory Arbitrage, '!A:A,'Fintech, Regulatory Arbitrage, '!C:C,"")</f>
        <v/>
      </c>
    </row>
    <row r="1605">
      <c r="A1605" s="1" t="s">
        <v>1624</v>
      </c>
      <c r="B1605" s="2">
        <v>62.0</v>
      </c>
      <c r="C1605" s="4"/>
      <c r="E1605" s="4" t="str">
        <f t="array" ref="E1605">XLOOKUP(A1605,'Fintech, Regulatory Arbitrage, '!A:A,'Fintech, Regulatory Arbitrage, '!C:C,"")</f>
        <v/>
      </c>
    </row>
    <row r="1606">
      <c r="A1606" s="1" t="s">
        <v>1625</v>
      </c>
      <c r="B1606" s="2">
        <v>62.0</v>
      </c>
      <c r="C1606" s="4"/>
      <c r="E1606" s="4" t="str">
        <f t="array" ref="E1606">XLOOKUP(A1606,'Fintech, Regulatory Arbitrage, '!A:A,'Fintech, Regulatory Arbitrage, '!C:C,"")</f>
        <v/>
      </c>
    </row>
    <row r="1607">
      <c r="A1607" s="1" t="s">
        <v>1626</v>
      </c>
      <c r="B1607" s="2">
        <v>62.0</v>
      </c>
      <c r="C1607" s="4"/>
      <c r="E1607" s="4" t="str">
        <f t="array" ref="E1607">XLOOKUP(A1607,'Fintech, Regulatory Arbitrage, '!A:A,'Fintech, Regulatory Arbitrage, '!C:C,"")</f>
        <v/>
      </c>
    </row>
    <row r="1608">
      <c r="A1608" s="1" t="s">
        <v>1627</v>
      </c>
      <c r="B1608" s="2">
        <v>62.0</v>
      </c>
      <c r="C1608" s="4"/>
      <c r="E1608" s="4" t="str">
        <f t="array" ref="E1608">XLOOKUP(A1608,'Fintech, Regulatory Arbitrage, '!A:A,'Fintech, Regulatory Arbitrage, '!C:C,"")</f>
        <v/>
      </c>
    </row>
    <row r="1609">
      <c r="A1609" s="1" t="s">
        <v>1628</v>
      </c>
      <c r="B1609" s="2">
        <v>62.0</v>
      </c>
      <c r="C1609" s="4"/>
      <c r="E1609" s="4" t="str">
        <f t="array" ref="E1609">XLOOKUP(A1609,'Fintech, Regulatory Arbitrage, '!A:A,'Fintech, Regulatory Arbitrage, '!C:C,"")</f>
        <v/>
      </c>
    </row>
    <row r="1610">
      <c r="A1610" s="1" t="s">
        <v>1629</v>
      </c>
      <c r="B1610" s="2">
        <v>62.0</v>
      </c>
      <c r="C1610" s="4"/>
      <c r="E1610" s="4" t="str">
        <f t="array" ref="E1610">XLOOKUP(A1610,'Fintech, Regulatory Arbitrage, '!A:A,'Fintech, Regulatory Arbitrage, '!C:C,"")</f>
        <v/>
      </c>
    </row>
    <row r="1611">
      <c r="A1611" s="1" t="s">
        <v>1630</v>
      </c>
      <c r="B1611" s="2">
        <v>62.0</v>
      </c>
      <c r="C1611" s="4"/>
      <c r="E1611" s="4" t="str">
        <f t="array" ref="E1611">XLOOKUP(A1611,'Fintech, Regulatory Arbitrage, '!A:A,'Fintech, Regulatory Arbitrage, '!C:C,"")</f>
        <v/>
      </c>
    </row>
    <row r="1612">
      <c r="A1612" s="1" t="s">
        <v>1631</v>
      </c>
      <c r="B1612" s="2">
        <v>62.0</v>
      </c>
      <c r="C1612" s="4"/>
      <c r="E1612" s="4" t="str">
        <f t="array" ref="E1612">XLOOKUP(A1612,'Fintech, Regulatory Arbitrage, '!A:A,'Fintech, Regulatory Arbitrage, '!C:C,"")</f>
        <v/>
      </c>
    </row>
    <row r="1613">
      <c r="A1613" s="1" t="s">
        <v>1632</v>
      </c>
      <c r="B1613" s="2">
        <v>61.0</v>
      </c>
      <c r="C1613" s="4"/>
      <c r="E1613" s="4" t="str">
        <f t="array" ref="E1613">XLOOKUP(A1613,'Fintech, Regulatory Arbitrage, '!A:A,'Fintech, Regulatory Arbitrage, '!C:C,"")</f>
        <v/>
      </c>
    </row>
    <row r="1614">
      <c r="A1614" s="1" t="s">
        <v>1633</v>
      </c>
      <c r="B1614" s="2">
        <v>61.0</v>
      </c>
      <c r="C1614" s="4"/>
      <c r="E1614" s="4" t="str">
        <f t="array" ref="E1614">XLOOKUP(A1614,'Fintech, Regulatory Arbitrage, '!A:A,'Fintech, Regulatory Arbitrage, '!C:C,"")</f>
        <v/>
      </c>
    </row>
    <row r="1615">
      <c r="A1615" s="1" t="s">
        <v>1634</v>
      </c>
      <c r="B1615" s="2">
        <v>61.0</v>
      </c>
      <c r="C1615" s="4"/>
      <c r="E1615" s="4" t="str">
        <f t="array" ref="E1615">XLOOKUP(A1615,'Fintech, Regulatory Arbitrage, '!A:A,'Fintech, Regulatory Arbitrage, '!C:C,"")</f>
        <v/>
      </c>
    </row>
    <row r="1616">
      <c r="A1616" s="1" t="s">
        <v>1635</v>
      </c>
      <c r="B1616" s="2">
        <v>61.0</v>
      </c>
      <c r="C1616" s="4"/>
      <c r="E1616" s="4" t="str">
        <f t="array" ref="E1616">XLOOKUP(A1616,'Fintech, Regulatory Arbitrage, '!A:A,'Fintech, Regulatory Arbitrage, '!C:C,"")</f>
        <v/>
      </c>
    </row>
    <row r="1617">
      <c r="A1617" s="1" t="s">
        <v>1636</v>
      </c>
      <c r="B1617" s="2">
        <v>61.0</v>
      </c>
      <c r="C1617" s="4"/>
      <c r="E1617" s="4" t="str">
        <f t="array" ref="E1617">XLOOKUP(A1617,'Fintech, Regulatory Arbitrage, '!A:A,'Fintech, Regulatory Arbitrage, '!C:C,"")</f>
        <v/>
      </c>
    </row>
    <row r="1618">
      <c r="A1618" s="1" t="s">
        <v>1637</v>
      </c>
      <c r="B1618" s="2">
        <v>61.0</v>
      </c>
      <c r="C1618" s="4"/>
      <c r="E1618" s="4" t="str">
        <f t="array" ref="E1618">XLOOKUP(A1618,'Fintech, Regulatory Arbitrage, '!A:A,'Fintech, Regulatory Arbitrage, '!C:C,"")</f>
        <v/>
      </c>
    </row>
    <row r="1619">
      <c r="A1619" s="1" t="s">
        <v>1638</v>
      </c>
      <c r="B1619" s="2">
        <v>61.0</v>
      </c>
      <c r="C1619" s="4"/>
      <c r="E1619" s="4" t="str">
        <f t="array" ref="E1619">XLOOKUP(A1619,'Fintech, Regulatory Arbitrage, '!A:A,'Fintech, Regulatory Arbitrage, '!C:C,"")</f>
        <v/>
      </c>
    </row>
    <row r="1620">
      <c r="A1620" s="1" t="s">
        <v>1639</v>
      </c>
      <c r="B1620" s="2">
        <v>61.0</v>
      </c>
      <c r="C1620" s="4"/>
      <c r="E1620" s="4" t="str">
        <f t="array" ref="E1620">XLOOKUP(A1620,'Fintech, Regulatory Arbitrage, '!A:A,'Fintech, Regulatory Arbitrage, '!C:C,"")</f>
        <v/>
      </c>
    </row>
    <row r="1621">
      <c r="A1621" s="1" t="s">
        <v>1640</v>
      </c>
      <c r="B1621" s="2">
        <v>61.0</v>
      </c>
      <c r="C1621" s="4"/>
      <c r="E1621" s="4" t="str">
        <f t="array" ref="E1621">XLOOKUP(A1621,'Fintech, Regulatory Arbitrage, '!A:A,'Fintech, Regulatory Arbitrage, '!C:C,"")</f>
        <v/>
      </c>
    </row>
    <row r="1622">
      <c r="A1622" s="1" t="s">
        <v>1641</v>
      </c>
      <c r="B1622" s="2">
        <v>61.0</v>
      </c>
      <c r="C1622" s="4"/>
      <c r="E1622" s="4" t="str">
        <f t="array" ref="E1622">XLOOKUP(A1622,'Fintech, Regulatory Arbitrage, '!A:A,'Fintech, Regulatory Arbitrage, '!C:C,"")</f>
        <v/>
      </c>
    </row>
    <row r="1623">
      <c r="A1623" s="1" t="s">
        <v>1642</v>
      </c>
      <c r="B1623" s="2">
        <v>61.0</v>
      </c>
      <c r="C1623" s="4"/>
      <c r="E1623" s="4" t="str">
        <f t="array" ref="E1623">XLOOKUP(A1623,'Fintech, Regulatory Arbitrage, '!A:A,'Fintech, Regulatory Arbitrage, '!C:C,"")</f>
        <v/>
      </c>
    </row>
    <row r="1624">
      <c r="A1624" s="1" t="s">
        <v>1643</v>
      </c>
      <c r="B1624" s="2">
        <v>61.0</v>
      </c>
      <c r="C1624" s="4"/>
      <c r="E1624" s="4" t="str">
        <f t="array" ref="E1624">XLOOKUP(A1624,'Fintech, Regulatory Arbitrage, '!A:A,'Fintech, Regulatory Arbitrage, '!C:C,"")</f>
        <v/>
      </c>
    </row>
    <row r="1625">
      <c r="A1625" s="1" t="s">
        <v>1644</v>
      </c>
      <c r="B1625" s="2">
        <v>60.0</v>
      </c>
      <c r="C1625" s="4"/>
      <c r="E1625" s="4" t="str">
        <f t="array" ref="E1625">XLOOKUP(A1625,'Fintech, Regulatory Arbitrage, '!A:A,'Fintech, Regulatory Arbitrage, '!C:C,"")</f>
        <v/>
      </c>
    </row>
    <row r="1626">
      <c r="A1626" s="1" t="s">
        <v>1645</v>
      </c>
      <c r="B1626" s="2">
        <v>60.0</v>
      </c>
      <c r="C1626" s="4"/>
      <c r="E1626" s="4" t="str">
        <f t="array" ref="E1626">XLOOKUP(A1626,'Fintech, Regulatory Arbitrage, '!A:A,'Fintech, Regulatory Arbitrage, '!C:C,"")</f>
        <v/>
      </c>
    </row>
    <row r="1627">
      <c r="A1627" s="1" t="s">
        <v>1646</v>
      </c>
      <c r="B1627" s="2">
        <v>60.0</v>
      </c>
      <c r="C1627" s="4"/>
      <c r="E1627" s="4" t="str">
        <f t="array" ref="E1627">XLOOKUP(A1627,'Fintech, Regulatory Arbitrage, '!A:A,'Fintech, Regulatory Arbitrage, '!C:C,"")</f>
        <v/>
      </c>
    </row>
    <row r="1628">
      <c r="A1628" s="1" t="s">
        <v>1647</v>
      </c>
      <c r="B1628" s="2">
        <v>60.0</v>
      </c>
      <c r="C1628" s="4"/>
      <c r="E1628" s="4" t="str">
        <f t="array" ref="E1628">XLOOKUP(A1628,'Fintech, Regulatory Arbitrage, '!A:A,'Fintech, Regulatory Arbitrage, '!C:C,"")</f>
        <v/>
      </c>
    </row>
    <row r="1629">
      <c r="A1629" s="1" t="s">
        <v>1648</v>
      </c>
      <c r="B1629" s="2">
        <v>60.0</v>
      </c>
      <c r="C1629" s="4"/>
      <c r="E1629" s="4" t="str">
        <f t="array" ref="E1629">XLOOKUP(A1629,'Fintech, Regulatory Arbitrage, '!A:A,'Fintech, Regulatory Arbitrage, '!C:C,"")</f>
        <v/>
      </c>
    </row>
    <row r="1630">
      <c r="A1630" s="1" t="s">
        <v>1649</v>
      </c>
      <c r="B1630" s="2">
        <v>60.0</v>
      </c>
      <c r="C1630" s="4"/>
      <c r="E1630" s="4" t="str">
        <f t="array" ref="E1630">XLOOKUP(A1630,'Fintech, Regulatory Arbitrage, '!A:A,'Fintech, Regulatory Arbitrage, '!C:C,"")</f>
        <v/>
      </c>
    </row>
    <row r="1631">
      <c r="A1631" s="1" t="s">
        <v>1650</v>
      </c>
      <c r="B1631" s="2">
        <v>60.0</v>
      </c>
      <c r="C1631" s="4"/>
      <c r="E1631" s="4" t="str">
        <f t="array" ref="E1631">XLOOKUP(A1631,'Fintech, Regulatory Arbitrage, '!A:A,'Fintech, Regulatory Arbitrage, '!C:C,"")</f>
        <v/>
      </c>
    </row>
    <row r="1632">
      <c r="A1632" s="1" t="s">
        <v>1651</v>
      </c>
      <c r="B1632" s="2">
        <v>60.0</v>
      </c>
      <c r="C1632" s="4"/>
      <c r="E1632" s="4" t="str">
        <f t="array" ref="E1632">XLOOKUP(A1632,'Fintech, Regulatory Arbitrage, '!A:A,'Fintech, Regulatory Arbitrage, '!C:C,"")</f>
        <v/>
      </c>
    </row>
    <row r="1633">
      <c r="A1633" s="1" t="s">
        <v>1652</v>
      </c>
      <c r="B1633" s="2">
        <v>60.0</v>
      </c>
      <c r="C1633" s="4"/>
      <c r="E1633" s="4" t="str">
        <f t="array" ref="E1633">XLOOKUP(A1633,'Fintech, Regulatory Arbitrage, '!A:A,'Fintech, Regulatory Arbitrage, '!C:C,"")</f>
        <v/>
      </c>
    </row>
    <row r="1634">
      <c r="A1634" s="1" t="s">
        <v>1653</v>
      </c>
      <c r="B1634" s="2">
        <v>60.0</v>
      </c>
      <c r="C1634" s="4"/>
      <c r="E1634" s="4" t="str">
        <f t="array" ref="E1634">XLOOKUP(A1634,'Fintech, Regulatory Arbitrage, '!A:A,'Fintech, Regulatory Arbitrage, '!C:C,"")</f>
        <v/>
      </c>
    </row>
    <row r="1635">
      <c r="A1635" s="1" t="s">
        <v>1654</v>
      </c>
      <c r="B1635" s="2">
        <v>60.0</v>
      </c>
      <c r="C1635" s="4"/>
      <c r="E1635" s="4" t="str">
        <f t="array" ref="E1635">XLOOKUP(A1635,'Fintech, Regulatory Arbitrage, '!A:A,'Fintech, Regulatory Arbitrage, '!C:C,"")</f>
        <v/>
      </c>
    </row>
    <row r="1636">
      <c r="A1636" s="1" t="s">
        <v>1655</v>
      </c>
      <c r="B1636" s="2">
        <v>59.0</v>
      </c>
      <c r="C1636" s="4"/>
      <c r="E1636" s="4" t="str">
        <f t="array" ref="E1636">XLOOKUP(A1636,'Fintech, Regulatory Arbitrage, '!A:A,'Fintech, Regulatory Arbitrage, '!C:C,"")</f>
        <v/>
      </c>
    </row>
    <row r="1637">
      <c r="A1637" s="1" t="s">
        <v>1656</v>
      </c>
      <c r="B1637" s="2">
        <v>59.0</v>
      </c>
      <c r="C1637" s="4"/>
      <c r="E1637" s="4" t="str">
        <f t="array" ref="E1637">XLOOKUP(A1637,'Fintech, Regulatory Arbitrage, '!A:A,'Fintech, Regulatory Arbitrage, '!C:C,"")</f>
        <v/>
      </c>
    </row>
    <row r="1638">
      <c r="A1638" s="1" t="s">
        <v>1657</v>
      </c>
      <c r="B1638" s="2">
        <v>59.0</v>
      </c>
      <c r="C1638" s="4"/>
      <c r="E1638" s="4" t="str">
        <f t="array" ref="E1638">XLOOKUP(A1638,'Fintech, Regulatory Arbitrage, '!A:A,'Fintech, Regulatory Arbitrage, '!C:C,"")</f>
        <v/>
      </c>
    </row>
    <row r="1639">
      <c r="A1639" s="1" t="s">
        <v>1658</v>
      </c>
      <c r="B1639" s="2">
        <v>59.0</v>
      </c>
      <c r="C1639" s="4"/>
      <c r="E1639" s="4" t="str">
        <f t="array" ref="E1639">XLOOKUP(A1639,'Fintech, Regulatory Arbitrage, '!A:A,'Fintech, Regulatory Arbitrage, '!C:C,"")</f>
        <v/>
      </c>
    </row>
    <row r="1640">
      <c r="A1640" s="1" t="s">
        <v>1659</v>
      </c>
      <c r="B1640" s="2">
        <v>59.0</v>
      </c>
      <c r="C1640" s="4"/>
      <c r="E1640" s="4" t="str">
        <f t="array" ref="E1640">XLOOKUP(A1640,'Fintech, Regulatory Arbitrage, '!A:A,'Fintech, Regulatory Arbitrage, '!C:C,"")</f>
        <v/>
      </c>
    </row>
    <row r="1641">
      <c r="A1641" s="1" t="s">
        <v>1660</v>
      </c>
      <c r="B1641" s="2">
        <v>59.0</v>
      </c>
      <c r="C1641" s="4"/>
      <c r="E1641" s="4" t="str">
        <f t="array" ref="E1641">XLOOKUP(A1641,'Fintech, Regulatory Arbitrage, '!A:A,'Fintech, Regulatory Arbitrage, '!C:C,"")</f>
        <v/>
      </c>
    </row>
    <row r="1642">
      <c r="A1642" s="1" t="s">
        <v>1661</v>
      </c>
      <c r="B1642" s="2">
        <v>59.0</v>
      </c>
      <c r="C1642" s="4"/>
      <c r="E1642" s="4" t="str">
        <f t="array" ref="E1642">XLOOKUP(A1642,'Fintech, Regulatory Arbitrage, '!A:A,'Fintech, Regulatory Arbitrage, '!C:C,"")</f>
        <v/>
      </c>
    </row>
    <row r="1643">
      <c r="A1643" s="1" t="s">
        <v>1662</v>
      </c>
      <c r="B1643" s="2">
        <v>59.0</v>
      </c>
      <c r="C1643" s="4"/>
      <c r="E1643" s="4" t="str">
        <f t="array" ref="E1643">XLOOKUP(A1643,'Fintech, Regulatory Arbitrage, '!A:A,'Fintech, Regulatory Arbitrage, '!C:C,"")</f>
        <v/>
      </c>
    </row>
    <row r="1644">
      <c r="A1644" s="1" t="s">
        <v>1663</v>
      </c>
      <c r="B1644" s="2">
        <v>59.0</v>
      </c>
      <c r="C1644" s="4"/>
      <c r="E1644" s="4" t="str">
        <f t="array" ref="E1644">XLOOKUP(A1644,'Fintech, Regulatory Arbitrage, '!A:A,'Fintech, Regulatory Arbitrage, '!C:C,"")</f>
        <v/>
      </c>
    </row>
    <row r="1645">
      <c r="A1645" s="1" t="s">
        <v>1664</v>
      </c>
      <c r="B1645" s="2">
        <v>59.0</v>
      </c>
      <c r="C1645" s="4"/>
      <c r="E1645" s="4" t="str">
        <f t="array" ref="E1645">XLOOKUP(A1645,'Fintech, Regulatory Arbitrage, '!A:A,'Fintech, Regulatory Arbitrage, '!C:C,"")</f>
        <v/>
      </c>
    </row>
    <row r="1646">
      <c r="A1646" s="1" t="s">
        <v>1665</v>
      </c>
      <c r="B1646" s="2">
        <v>59.0</v>
      </c>
      <c r="C1646" s="4"/>
      <c r="E1646" s="4" t="str">
        <f t="array" ref="E1646">XLOOKUP(A1646,'Fintech, Regulatory Arbitrage, '!A:A,'Fintech, Regulatory Arbitrage, '!C:C,"")</f>
        <v/>
      </c>
    </row>
    <row r="1647">
      <c r="A1647" s="1" t="s">
        <v>1666</v>
      </c>
      <c r="B1647" s="2">
        <v>59.0</v>
      </c>
      <c r="C1647" s="4"/>
      <c r="E1647" s="4" t="str">
        <f t="array" ref="E1647">XLOOKUP(A1647,'Fintech, Regulatory Arbitrage, '!A:A,'Fintech, Regulatory Arbitrage, '!C:C,"")</f>
        <v/>
      </c>
    </row>
    <row r="1648">
      <c r="A1648" s="1" t="s">
        <v>1667</v>
      </c>
      <c r="B1648" s="2">
        <v>59.0</v>
      </c>
      <c r="C1648" s="4"/>
      <c r="E1648" s="4" t="str">
        <f t="array" ref="E1648">XLOOKUP(A1648,'Fintech, Regulatory Arbitrage, '!A:A,'Fintech, Regulatory Arbitrage, '!C:C,"")</f>
        <v/>
      </c>
    </row>
    <row r="1649">
      <c r="A1649" s="1" t="s">
        <v>1668</v>
      </c>
      <c r="B1649" s="2">
        <v>59.0</v>
      </c>
      <c r="C1649" s="4"/>
      <c r="E1649" s="4" t="str">
        <f t="array" ref="E1649">XLOOKUP(A1649,'Fintech, Regulatory Arbitrage, '!A:A,'Fintech, Regulatory Arbitrage, '!C:C,"")</f>
        <v/>
      </c>
    </row>
    <row r="1650">
      <c r="A1650" s="1" t="s">
        <v>1669</v>
      </c>
      <c r="B1650" s="2">
        <v>59.0</v>
      </c>
      <c r="C1650" s="4"/>
      <c r="E1650" s="4" t="str">
        <f t="array" ref="E1650">XLOOKUP(A1650,'Fintech, Regulatory Arbitrage, '!A:A,'Fintech, Regulatory Arbitrage, '!C:C,"")</f>
        <v/>
      </c>
    </row>
    <row r="1651">
      <c r="A1651" s="1" t="s">
        <v>1670</v>
      </c>
      <c r="B1651" s="2">
        <v>59.0</v>
      </c>
      <c r="C1651" s="4"/>
      <c r="E1651" s="4" t="str">
        <f t="array" ref="E1651">XLOOKUP(A1651,'Fintech, Regulatory Arbitrage, '!A:A,'Fintech, Regulatory Arbitrage, '!C:C,"")</f>
        <v/>
      </c>
    </row>
    <row r="1652">
      <c r="A1652" s="1" t="s">
        <v>1671</v>
      </c>
      <c r="B1652" s="2">
        <v>58.0</v>
      </c>
      <c r="C1652" s="4"/>
      <c r="E1652" s="4" t="str">
        <f t="array" ref="E1652">XLOOKUP(A1652,'Fintech, Regulatory Arbitrage, '!A:A,'Fintech, Regulatory Arbitrage, '!C:C,"")</f>
        <v/>
      </c>
    </row>
    <row r="1653">
      <c r="A1653" s="1" t="s">
        <v>1672</v>
      </c>
      <c r="B1653" s="2">
        <v>58.0</v>
      </c>
      <c r="C1653" s="4"/>
      <c r="E1653" s="4" t="str">
        <f t="array" ref="E1653">XLOOKUP(A1653,'Fintech, Regulatory Arbitrage, '!A:A,'Fintech, Regulatory Arbitrage, '!C:C,"")</f>
        <v/>
      </c>
    </row>
    <row r="1654">
      <c r="A1654" s="1" t="s">
        <v>1673</v>
      </c>
      <c r="B1654" s="2">
        <v>58.0</v>
      </c>
      <c r="C1654" s="4"/>
      <c r="E1654" s="4" t="str">
        <f t="array" ref="E1654">XLOOKUP(A1654,'Fintech, Regulatory Arbitrage, '!A:A,'Fintech, Regulatory Arbitrage, '!C:C,"")</f>
        <v/>
      </c>
    </row>
    <row r="1655">
      <c r="A1655" s="1" t="s">
        <v>1674</v>
      </c>
      <c r="B1655" s="2">
        <v>58.0</v>
      </c>
      <c r="C1655" s="4"/>
      <c r="E1655" s="4" t="str">
        <f t="array" ref="E1655">XLOOKUP(A1655,'Fintech, Regulatory Arbitrage, '!A:A,'Fintech, Regulatory Arbitrage, '!C:C,"")</f>
        <v/>
      </c>
    </row>
    <row r="1656">
      <c r="A1656" s="1" t="s">
        <v>1675</v>
      </c>
      <c r="B1656" s="2">
        <v>58.0</v>
      </c>
      <c r="C1656" s="4"/>
      <c r="E1656" s="4" t="str">
        <f t="array" ref="E1656">XLOOKUP(A1656,'Fintech, Regulatory Arbitrage, '!A:A,'Fintech, Regulatory Arbitrage, '!C:C,"")</f>
        <v/>
      </c>
    </row>
    <row r="1657">
      <c r="A1657" s="1" t="s">
        <v>1676</v>
      </c>
      <c r="B1657" s="2">
        <v>58.0</v>
      </c>
      <c r="C1657" s="4"/>
      <c r="E1657" s="4" t="str">
        <f t="array" ref="E1657">XLOOKUP(A1657,'Fintech, Regulatory Arbitrage, '!A:A,'Fintech, Regulatory Arbitrage, '!C:C,"")</f>
        <v/>
      </c>
    </row>
    <row r="1658">
      <c r="A1658" s="1" t="s">
        <v>1677</v>
      </c>
      <c r="B1658" s="2">
        <v>58.0</v>
      </c>
      <c r="C1658" s="4"/>
      <c r="E1658" s="4" t="str">
        <f t="array" ref="E1658">XLOOKUP(A1658,'Fintech, Regulatory Arbitrage, '!A:A,'Fintech, Regulatory Arbitrage, '!C:C,"")</f>
        <v/>
      </c>
    </row>
    <row r="1659">
      <c r="A1659" s="1" t="s">
        <v>1678</v>
      </c>
      <c r="B1659" s="2">
        <v>58.0</v>
      </c>
      <c r="C1659" s="4"/>
      <c r="E1659" s="4" t="str">
        <f t="array" ref="E1659">XLOOKUP(A1659,'Fintech, Regulatory Arbitrage, '!A:A,'Fintech, Regulatory Arbitrage, '!C:C,"")</f>
        <v/>
      </c>
    </row>
    <row r="1660">
      <c r="A1660" s="1" t="s">
        <v>1679</v>
      </c>
      <c r="B1660" s="2">
        <v>58.0</v>
      </c>
      <c r="C1660" s="4"/>
      <c r="E1660" s="4" t="str">
        <f t="array" ref="E1660">XLOOKUP(A1660,'Fintech, Regulatory Arbitrage, '!A:A,'Fintech, Regulatory Arbitrage, '!C:C,"")</f>
        <v/>
      </c>
    </row>
    <row r="1661">
      <c r="A1661" s="1" t="s">
        <v>1680</v>
      </c>
      <c r="B1661" s="2">
        <v>58.0</v>
      </c>
      <c r="C1661" s="4"/>
      <c r="E1661" s="4" t="str">
        <f t="array" ref="E1661">XLOOKUP(A1661,'Fintech, Regulatory Arbitrage, '!A:A,'Fintech, Regulatory Arbitrage, '!C:C,"")</f>
        <v/>
      </c>
    </row>
    <row r="1662">
      <c r="A1662" s="1" t="s">
        <v>1681</v>
      </c>
      <c r="B1662" s="2">
        <v>58.0</v>
      </c>
      <c r="C1662" s="4"/>
      <c r="E1662" s="4" t="str">
        <f t="array" ref="E1662">XLOOKUP(A1662,'Fintech, Regulatory Arbitrage, '!A:A,'Fintech, Regulatory Arbitrage, '!C:C,"")</f>
        <v/>
      </c>
    </row>
    <row r="1663">
      <c r="A1663" s="1" t="s">
        <v>1682</v>
      </c>
      <c r="B1663" s="2">
        <v>58.0</v>
      </c>
      <c r="C1663" s="4"/>
      <c r="E1663" s="4" t="str">
        <f t="array" ref="E1663">XLOOKUP(A1663,'Fintech, Regulatory Arbitrage, '!A:A,'Fintech, Regulatory Arbitrage, '!C:C,"")</f>
        <v/>
      </c>
    </row>
    <row r="1664">
      <c r="A1664" s="1" t="s">
        <v>1683</v>
      </c>
      <c r="B1664" s="2">
        <v>58.0</v>
      </c>
      <c r="C1664" s="4"/>
      <c r="E1664" s="4" t="str">
        <f t="array" ref="E1664">XLOOKUP(A1664,'Fintech, Regulatory Arbitrage, '!A:A,'Fintech, Regulatory Arbitrage, '!C:C,"")</f>
        <v/>
      </c>
    </row>
    <row r="1665">
      <c r="A1665" s="1" t="s">
        <v>1684</v>
      </c>
      <c r="B1665" s="2">
        <v>58.0</v>
      </c>
      <c r="C1665" s="4"/>
      <c r="E1665" s="4" t="str">
        <f t="array" ref="E1665">XLOOKUP(A1665,'Fintech, Regulatory Arbitrage, '!A:A,'Fintech, Regulatory Arbitrage, '!C:C,"")</f>
        <v/>
      </c>
    </row>
    <row r="1666">
      <c r="A1666" s="1" t="s">
        <v>1685</v>
      </c>
      <c r="B1666" s="2">
        <v>57.0</v>
      </c>
      <c r="C1666" s="4"/>
      <c r="E1666" s="4" t="str">
        <f t="array" ref="E1666">XLOOKUP(A1666,'Fintech, Regulatory Arbitrage, '!A:A,'Fintech, Regulatory Arbitrage, '!C:C,"")</f>
        <v/>
      </c>
    </row>
    <row r="1667">
      <c r="A1667" s="1" t="s">
        <v>1686</v>
      </c>
      <c r="B1667" s="2">
        <v>57.0</v>
      </c>
      <c r="C1667" s="4"/>
      <c r="E1667" s="4" t="str">
        <f t="array" ref="E1667">XLOOKUP(A1667,'Fintech, Regulatory Arbitrage, '!A:A,'Fintech, Regulatory Arbitrage, '!C:C,"")</f>
        <v/>
      </c>
    </row>
    <row r="1668">
      <c r="A1668" s="1" t="s">
        <v>1687</v>
      </c>
      <c r="B1668" s="2">
        <v>57.0</v>
      </c>
      <c r="C1668" s="4"/>
      <c r="E1668" s="4" t="str">
        <f t="array" ref="E1668">XLOOKUP(A1668,'Fintech, Regulatory Arbitrage, '!A:A,'Fintech, Regulatory Arbitrage, '!C:C,"")</f>
        <v/>
      </c>
    </row>
    <row r="1669">
      <c r="A1669" s="1" t="s">
        <v>1688</v>
      </c>
      <c r="B1669" s="2">
        <v>57.0</v>
      </c>
      <c r="C1669" s="4"/>
      <c r="E1669" s="4" t="str">
        <f t="array" ref="E1669">XLOOKUP(A1669,'Fintech, Regulatory Arbitrage, '!A:A,'Fintech, Regulatory Arbitrage, '!C:C,"")</f>
        <v/>
      </c>
    </row>
    <row r="1670">
      <c r="A1670" s="1" t="s">
        <v>1689</v>
      </c>
      <c r="B1670" s="2">
        <v>57.0</v>
      </c>
      <c r="C1670" s="4"/>
      <c r="E1670" s="4" t="str">
        <f t="array" ref="E1670">XLOOKUP(A1670,'Fintech, Regulatory Arbitrage, '!A:A,'Fintech, Regulatory Arbitrage, '!C:C,"")</f>
        <v/>
      </c>
    </row>
    <row r="1671">
      <c r="A1671" s="1" t="s">
        <v>1690</v>
      </c>
      <c r="B1671" s="2">
        <v>57.0</v>
      </c>
      <c r="C1671" s="4"/>
      <c r="E1671" s="4" t="str">
        <f t="array" ref="E1671">XLOOKUP(A1671,'Fintech, Regulatory Arbitrage, '!A:A,'Fintech, Regulatory Arbitrage, '!C:C,"")</f>
        <v/>
      </c>
    </row>
    <row r="1672">
      <c r="A1672" s="1" t="s">
        <v>1691</v>
      </c>
      <c r="B1672" s="2">
        <v>57.0</v>
      </c>
      <c r="C1672" s="4"/>
      <c r="E1672" s="4" t="str">
        <f t="array" ref="E1672">XLOOKUP(A1672,'Fintech, Regulatory Arbitrage, '!A:A,'Fintech, Regulatory Arbitrage, '!C:C,"")</f>
        <v/>
      </c>
    </row>
    <row r="1673">
      <c r="A1673" s="1" t="s">
        <v>1692</v>
      </c>
      <c r="B1673" s="2">
        <v>57.0</v>
      </c>
      <c r="C1673" s="4"/>
      <c r="E1673" s="4" t="str">
        <f t="array" ref="E1673">XLOOKUP(A1673,'Fintech, Regulatory Arbitrage, '!A:A,'Fintech, Regulatory Arbitrage, '!C:C,"")</f>
        <v/>
      </c>
    </row>
    <row r="1674">
      <c r="A1674" s="1" t="s">
        <v>1693</v>
      </c>
      <c r="B1674" s="2">
        <v>56.0</v>
      </c>
      <c r="C1674" s="4"/>
      <c r="E1674" s="4" t="str">
        <f t="array" ref="E1674">XLOOKUP(A1674,'Fintech, Regulatory Arbitrage, '!A:A,'Fintech, Regulatory Arbitrage, '!C:C,"")</f>
        <v/>
      </c>
    </row>
    <row r="1675">
      <c r="A1675" s="1" t="s">
        <v>1694</v>
      </c>
      <c r="B1675" s="2">
        <v>56.0</v>
      </c>
      <c r="C1675" s="4"/>
      <c r="E1675" s="4" t="str">
        <f t="array" ref="E1675">XLOOKUP(A1675,'Fintech, Regulatory Arbitrage, '!A:A,'Fintech, Regulatory Arbitrage, '!C:C,"")</f>
        <v/>
      </c>
    </row>
    <row r="1676">
      <c r="A1676" s="1" t="s">
        <v>1695</v>
      </c>
      <c r="B1676" s="2">
        <v>56.0</v>
      </c>
      <c r="C1676" s="4"/>
      <c r="E1676" s="4" t="str">
        <f t="array" ref="E1676">XLOOKUP(A1676,'Fintech, Regulatory Arbitrage, '!A:A,'Fintech, Regulatory Arbitrage, '!C:C,"")</f>
        <v/>
      </c>
    </row>
    <row r="1677">
      <c r="A1677" s="1" t="s">
        <v>1696</v>
      </c>
      <c r="B1677" s="2">
        <v>56.0</v>
      </c>
      <c r="C1677" s="4"/>
      <c r="E1677" s="4" t="str">
        <f t="array" ref="E1677">XLOOKUP(A1677,'Fintech, Regulatory Arbitrage, '!A:A,'Fintech, Regulatory Arbitrage, '!C:C,"")</f>
        <v/>
      </c>
    </row>
    <row r="1678">
      <c r="A1678" s="1" t="s">
        <v>1697</v>
      </c>
      <c r="B1678" s="2">
        <v>56.0</v>
      </c>
      <c r="C1678" s="4"/>
      <c r="E1678" s="4" t="str">
        <f t="array" ref="E1678">XLOOKUP(A1678,'Fintech, Regulatory Arbitrage, '!A:A,'Fintech, Regulatory Arbitrage, '!C:C,"")</f>
        <v/>
      </c>
    </row>
    <row r="1679">
      <c r="A1679" s="1" t="s">
        <v>1698</v>
      </c>
      <c r="B1679" s="2">
        <v>56.0</v>
      </c>
      <c r="C1679" s="4"/>
      <c r="E1679" s="4" t="str">
        <f t="array" ref="E1679">XLOOKUP(A1679,'Fintech, Regulatory Arbitrage, '!A:A,'Fintech, Regulatory Arbitrage, '!C:C,"")</f>
        <v/>
      </c>
    </row>
    <row r="1680">
      <c r="A1680" s="1" t="s">
        <v>1699</v>
      </c>
      <c r="B1680" s="2">
        <v>56.0</v>
      </c>
      <c r="C1680" s="4"/>
      <c r="E1680" s="4" t="str">
        <f t="array" ref="E1680">XLOOKUP(A1680,'Fintech, Regulatory Arbitrage, '!A:A,'Fintech, Regulatory Arbitrage, '!C:C,"")</f>
        <v/>
      </c>
    </row>
    <row r="1681">
      <c r="A1681" s="1" t="s">
        <v>1700</v>
      </c>
      <c r="B1681" s="2">
        <v>56.0</v>
      </c>
      <c r="C1681" s="4"/>
      <c r="E1681" s="4" t="str">
        <f t="array" ref="E1681">XLOOKUP(A1681,'Fintech, Regulatory Arbitrage, '!A:A,'Fintech, Regulatory Arbitrage, '!C:C,"")</f>
        <v/>
      </c>
    </row>
    <row r="1682">
      <c r="A1682" s="1" t="s">
        <v>1701</v>
      </c>
      <c r="B1682" s="2">
        <v>56.0</v>
      </c>
      <c r="C1682" s="4"/>
      <c r="E1682" s="4" t="str">
        <f t="array" ref="E1682">XLOOKUP(A1682,'Fintech, Regulatory Arbitrage, '!A:A,'Fintech, Regulatory Arbitrage, '!C:C,"")</f>
        <v/>
      </c>
    </row>
    <row r="1683">
      <c r="A1683" s="1" t="s">
        <v>1702</v>
      </c>
      <c r="B1683" s="2">
        <v>56.0</v>
      </c>
      <c r="C1683" s="4"/>
      <c r="E1683" s="4" t="str">
        <f t="array" ref="E1683">XLOOKUP(A1683,'Fintech, Regulatory Arbitrage, '!A:A,'Fintech, Regulatory Arbitrage, '!C:C,"")</f>
        <v/>
      </c>
    </row>
    <row r="1684">
      <c r="A1684" s="1" t="s">
        <v>1703</v>
      </c>
      <c r="B1684" s="2">
        <v>56.0</v>
      </c>
      <c r="C1684" s="4"/>
      <c r="E1684" s="4" t="str">
        <f t="array" ref="E1684">XLOOKUP(A1684,'Fintech, Regulatory Arbitrage, '!A:A,'Fintech, Regulatory Arbitrage, '!C:C,"")</f>
        <v/>
      </c>
    </row>
    <row r="1685">
      <c r="A1685" s="1" t="s">
        <v>1704</v>
      </c>
      <c r="B1685" s="2">
        <v>56.0</v>
      </c>
      <c r="C1685" s="4"/>
      <c r="E1685" s="4" t="str">
        <f t="array" ref="E1685">XLOOKUP(A1685,'Fintech, Regulatory Arbitrage, '!A:A,'Fintech, Regulatory Arbitrage, '!C:C,"")</f>
        <v/>
      </c>
    </row>
    <row r="1686">
      <c r="A1686" s="1" t="s">
        <v>1705</v>
      </c>
      <c r="B1686" s="2">
        <v>56.0</v>
      </c>
      <c r="C1686" s="4"/>
      <c r="E1686" s="4" t="str">
        <f t="array" ref="E1686">XLOOKUP(A1686,'Fintech, Regulatory Arbitrage, '!A:A,'Fintech, Regulatory Arbitrage, '!C:C,"")</f>
        <v/>
      </c>
    </row>
    <row r="1687">
      <c r="A1687" s="1" t="s">
        <v>1706</v>
      </c>
      <c r="B1687" s="2">
        <v>56.0</v>
      </c>
      <c r="C1687" s="4"/>
      <c r="E1687" s="4" t="str">
        <f t="array" ref="E1687">XLOOKUP(A1687,'Fintech, Regulatory Arbitrage, '!A:A,'Fintech, Regulatory Arbitrage, '!C:C,"")</f>
        <v/>
      </c>
    </row>
    <row r="1688">
      <c r="A1688" s="1" t="s">
        <v>1707</v>
      </c>
      <c r="B1688" s="2">
        <v>56.0</v>
      </c>
      <c r="C1688" s="4"/>
      <c r="E1688" s="4" t="str">
        <f t="array" ref="E1688">XLOOKUP(A1688,'Fintech, Regulatory Arbitrage, '!A:A,'Fintech, Regulatory Arbitrage, '!C:C,"")</f>
        <v/>
      </c>
    </row>
    <row r="1689">
      <c r="A1689" s="1" t="s">
        <v>1708</v>
      </c>
      <c r="B1689" s="2">
        <v>56.0</v>
      </c>
      <c r="C1689" s="4"/>
      <c r="E1689" s="4" t="str">
        <f t="array" ref="E1689">XLOOKUP(A1689,'Fintech, Regulatory Arbitrage, '!A:A,'Fintech, Regulatory Arbitrage, '!C:C,"")</f>
        <v/>
      </c>
    </row>
    <row r="1690">
      <c r="A1690" s="1" t="s">
        <v>1709</v>
      </c>
      <c r="B1690" s="2">
        <v>56.0</v>
      </c>
      <c r="C1690" s="4"/>
      <c r="E1690" s="4" t="str">
        <f t="array" ref="E1690">XLOOKUP(A1690,'Fintech, Regulatory Arbitrage, '!A:A,'Fintech, Regulatory Arbitrage, '!C:C,"")</f>
        <v/>
      </c>
    </row>
    <row r="1691">
      <c r="A1691" s="1" t="s">
        <v>1710</v>
      </c>
      <c r="B1691" s="2">
        <v>56.0</v>
      </c>
      <c r="C1691" s="4"/>
      <c r="E1691" s="4" t="str">
        <f t="array" ref="E1691">XLOOKUP(A1691,'Fintech, Regulatory Arbitrage, '!A:A,'Fintech, Regulatory Arbitrage, '!C:C,"")</f>
        <v/>
      </c>
    </row>
    <row r="1692">
      <c r="A1692" s="1" t="s">
        <v>1711</v>
      </c>
      <c r="B1692" s="2">
        <v>56.0</v>
      </c>
      <c r="C1692" s="4"/>
      <c r="E1692" s="4" t="str">
        <f t="array" ref="E1692">XLOOKUP(A1692,'Fintech, Regulatory Arbitrage, '!A:A,'Fintech, Regulatory Arbitrage, '!C:C,"")</f>
        <v/>
      </c>
    </row>
    <row r="1693">
      <c r="A1693" s="1" t="s">
        <v>1712</v>
      </c>
      <c r="B1693" s="2">
        <v>56.0</v>
      </c>
      <c r="C1693" s="4"/>
      <c r="E1693" s="4" t="str">
        <f t="array" ref="E1693">XLOOKUP(A1693,'Fintech, Regulatory Arbitrage, '!A:A,'Fintech, Regulatory Arbitrage, '!C:C,"")</f>
        <v/>
      </c>
    </row>
    <row r="1694">
      <c r="A1694" s="1" t="s">
        <v>1713</v>
      </c>
      <c r="B1694" s="2">
        <v>55.0</v>
      </c>
      <c r="C1694" s="4"/>
      <c r="E1694" s="4" t="str">
        <f t="array" ref="E1694">XLOOKUP(A1694,'Fintech, Regulatory Arbitrage, '!A:A,'Fintech, Regulatory Arbitrage, '!C:C,"")</f>
        <v/>
      </c>
    </row>
    <row r="1695">
      <c r="A1695" s="1" t="s">
        <v>1714</v>
      </c>
      <c r="B1695" s="2">
        <v>55.0</v>
      </c>
      <c r="C1695" s="4"/>
      <c r="E1695" s="4" t="str">
        <f t="array" ref="E1695">XLOOKUP(A1695,'Fintech, Regulatory Arbitrage, '!A:A,'Fintech, Regulatory Arbitrage, '!C:C,"")</f>
        <v/>
      </c>
    </row>
    <row r="1696">
      <c r="A1696" s="1" t="s">
        <v>1715</v>
      </c>
      <c r="B1696" s="2">
        <v>55.0</v>
      </c>
      <c r="C1696" s="4"/>
      <c r="E1696" s="4" t="str">
        <f t="array" ref="E1696">XLOOKUP(A1696,'Fintech, Regulatory Arbitrage, '!A:A,'Fintech, Regulatory Arbitrage, '!C:C,"")</f>
        <v/>
      </c>
    </row>
    <row r="1697">
      <c r="A1697" s="1" t="s">
        <v>1716</v>
      </c>
      <c r="B1697" s="2">
        <v>55.0</v>
      </c>
      <c r="C1697" s="4"/>
      <c r="E1697" s="4" t="str">
        <f t="array" ref="E1697">XLOOKUP(A1697,'Fintech, Regulatory Arbitrage, '!A:A,'Fintech, Regulatory Arbitrage, '!C:C,"")</f>
        <v/>
      </c>
    </row>
    <row r="1698">
      <c r="A1698" s="1" t="s">
        <v>1717</v>
      </c>
      <c r="B1698" s="2">
        <v>55.0</v>
      </c>
      <c r="C1698" s="4"/>
      <c r="E1698" s="4" t="str">
        <f t="array" ref="E1698">XLOOKUP(A1698,'Fintech, Regulatory Arbitrage, '!A:A,'Fintech, Regulatory Arbitrage, '!C:C,"")</f>
        <v/>
      </c>
    </row>
    <row r="1699">
      <c r="A1699" s="1" t="s">
        <v>1718</v>
      </c>
      <c r="B1699" s="2">
        <v>55.0</v>
      </c>
      <c r="C1699" s="4"/>
      <c r="E1699" s="4" t="str">
        <f t="array" ref="E1699">XLOOKUP(A1699,'Fintech, Regulatory Arbitrage, '!A:A,'Fintech, Regulatory Arbitrage, '!C:C,"")</f>
        <v/>
      </c>
    </row>
    <row r="1700">
      <c r="A1700" s="1" t="s">
        <v>1719</v>
      </c>
      <c r="B1700" s="2">
        <v>55.0</v>
      </c>
      <c r="C1700" s="4"/>
      <c r="E1700" s="4" t="str">
        <f t="array" ref="E1700">XLOOKUP(A1700,'Fintech, Regulatory Arbitrage, '!A:A,'Fintech, Regulatory Arbitrage, '!C:C,"")</f>
        <v/>
      </c>
    </row>
    <row r="1701">
      <c r="A1701" s="1" t="s">
        <v>1720</v>
      </c>
      <c r="B1701" s="2">
        <v>55.0</v>
      </c>
      <c r="C1701" s="4"/>
      <c r="E1701" s="4" t="str">
        <f t="array" ref="E1701">XLOOKUP(A1701,'Fintech, Regulatory Arbitrage, '!A:A,'Fintech, Regulatory Arbitrage, '!C:C,"")</f>
        <v/>
      </c>
    </row>
    <row r="1702">
      <c r="A1702" s="1" t="s">
        <v>1721</v>
      </c>
      <c r="B1702" s="2">
        <v>55.0</v>
      </c>
      <c r="C1702" s="4"/>
      <c r="E1702" s="4" t="str">
        <f t="array" ref="E1702">XLOOKUP(A1702,'Fintech, Regulatory Arbitrage, '!A:A,'Fintech, Regulatory Arbitrage, '!C:C,"")</f>
        <v/>
      </c>
    </row>
    <row r="1703">
      <c r="A1703" s="1" t="s">
        <v>1722</v>
      </c>
      <c r="B1703" s="2">
        <v>54.0</v>
      </c>
      <c r="C1703" s="4"/>
      <c r="E1703" s="4" t="str">
        <f t="array" ref="E1703">XLOOKUP(A1703,'Fintech, Regulatory Arbitrage, '!A:A,'Fintech, Regulatory Arbitrage, '!C:C,"")</f>
        <v/>
      </c>
    </row>
    <row r="1704">
      <c r="A1704" s="1" t="s">
        <v>1723</v>
      </c>
      <c r="B1704" s="2">
        <v>54.0</v>
      </c>
      <c r="C1704" s="4"/>
      <c r="E1704" s="4" t="str">
        <f t="array" ref="E1704">XLOOKUP(A1704,'Fintech, Regulatory Arbitrage, '!A:A,'Fintech, Regulatory Arbitrage, '!C:C,"")</f>
        <v/>
      </c>
    </row>
    <row r="1705">
      <c r="A1705" s="1" t="s">
        <v>1724</v>
      </c>
      <c r="B1705" s="2">
        <v>54.0</v>
      </c>
      <c r="C1705" s="4"/>
      <c r="E1705" s="4" t="str">
        <f t="array" ref="E1705">XLOOKUP(A1705,'Fintech, Regulatory Arbitrage, '!A:A,'Fintech, Regulatory Arbitrage, '!C:C,"")</f>
        <v/>
      </c>
    </row>
    <row r="1706">
      <c r="A1706" s="1" t="s">
        <v>1725</v>
      </c>
      <c r="B1706" s="2">
        <v>54.0</v>
      </c>
      <c r="C1706" s="4"/>
      <c r="E1706" s="4" t="str">
        <f t="array" ref="E1706">XLOOKUP(A1706,'Fintech, Regulatory Arbitrage, '!A:A,'Fintech, Regulatory Arbitrage, '!C:C,"")</f>
        <v/>
      </c>
    </row>
    <row r="1707">
      <c r="A1707" s="1" t="s">
        <v>1726</v>
      </c>
      <c r="B1707" s="2">
        <v>54.0</v>
      </c>
      <c r="C1707" s="4"/>
      <c r="E1707" s="4" t="str">
        <f t="array" ref="E1707">XLOOKUP(A1707,'Fintech, Regulatory Arbitrage, '!A:A,'Fintech, Regulatory Arbitrage, '!C:C,"")</f>
        <v/>
      </c>
    </row>
    <row r="1708">
      <c r="A1708" s="1" t="s">
        <v>1727</v>
      </c>
      <c r="B1708" s="2">
        <v>54.0</v>
      </c>
      <c r="C1708" s="4"/>
      <c r="E1708" s="4" t="str">
        <f t="array" ref="E1708">XLOOKUP(A1708,'Fintech, Regulatory Arbitrage, '!A:A,'Fintech, Regulatory Arbitrage, '!C:C,"")</f>
        <v/>
      </c>
    </row>
    <row r="1709">
      <c r="A1709" s="1" t="s">
        <v>1728</v>
      </c>
      <c r="B1709" s="2">
        <v>54.0</v>
      </c>
      <c r="C1709" s="4"/>
      <c r="E1709" s="4" t="str">
        <f t="array" ref="E1709">XLOOKUP(A1709,'Fintech, Regulatory Arbitrage, '!A:A,'Fintech, Regulatory Arbitrage, '!C:C,"")</f>
        <v/>
      </c>
    </row>
    <row r="1710">
      <c r="A1710" s="1" t="s">
        <v>1729</v>
      </c>
      <c r="B1710" s="2">
        <v>54.0</v>
      </c>
      <c r="C1710" s="4"/>
      <c r="E1710" s="4" t="str">
        <f t="array" ref="E1710">XLOOKUP(A1710,'Fintech, Regulatory Arbitrage, '!A:A,'Fintech, Regulatory Arbitrage, '!C:C,"")</f>
        <v/>
      </c>
    </row>
    <row r="1711">
      <c r="A1711" s="1" t="s">
        <v>1730</v>
      </c>
      <c r="B1711" s="2">
        <v>54.0</v>
      </c>
      <c r="C1711" s="4"/>
      <c r="E1711" s="4" t="str">
        <f t="array" ref="E1711">XLOOKUP(A1711,'Fintech, Regulatory Arbitrage, '!A:A,'Fintech, Regulatory Arbitrage, '!C:C,"")</f>
        <v/>
      </c>
    </row>
    <row r="1712">
      <c r="A1712" s="1" t="s">
        <v>1731</v>
      </c>
      <c r="B1712" s="2">
        <v>54.0</v>
      </c>
      <c r="C1712" s="4"/>
      <c r="E1712" s="4" t="str">
        <f t="array" ref="E1712">XLOOKUP(A1712,'Fintech, Regulatory Arbitrage, '!A:A,'Fintech, Regulatory Arbitrage, '!C:C,"")</f>
        <v/>
      </c>
    </row>
    <row r="1713">
      <c r="A1713" s="1" t="s">
        <v>1732</v>
      </c>
      <c r="B1713" s="2">
        <v>54.0</v>
      </c>
      <c r="C1713" s="4"/>
      <c r="E1713" s="4" t="str">
        <f t="array" ref="E1713">XLOOKUP(A1713,'Fintech, Regulatory Arbitrage, '!A:A,'Fintech, Regulatory Arbitrage, '!C:C,"")</f>
        <v/>
      </c>
    </row>
    <row r="1714">
      <c r="A1714" s="1" t="s">
        <v>1733</v>
      </c>
      <c r="B1714" s="2">
        <v>54.0</v>
      </c>
      <c r="C1714" s="4"/>
      <c r="E1714" s="4" t="str">
        <f t="array" ref="E1714">XLOOKUP(A1714,'Fintech, Regulatory Arbitrage, '!A:A,'Fintech, Regulatory Arbitrage, '!C:C,"")</f>
        <v/>
      </c>
    </row>
    <row r="1715">
      <c r="A1715" s="1" t="s">
        <v>1734</v>
      </c>
      <c r="B1715" s="2">
        <v>54.0</v>
      </c>
      <c r="C1715" s="4"/>
      <c r="E1715" s="4" t="str">
        <f t="array" ref="E1715">XLOOKUP(A1715,'Fintech, Regulatory Arbitrage, '!A:A,'Fintech, Regulatory Arbitrage, '!C:C,"")</f>
        <v/>
      </c>
    </row>
    <row r="1716">
      <c r="A1716" s="1" t="s">
        <v>1735</v>
      </c>
      <c r="B1716" s="2">
        <v>54.0</v>
      </c>
      <c r="C1716" s="4"/>
      <c r="E1716" s="4" t="str">
        <f t="array" ref="E1716">XLOOKUP(A1716,'Fintech, Regulatory Arbitrage, '!A:A,'Fintech, Regulatory Arbitrage, '!C:C,"")</f>
        <v/>
      </c>
    </row>
    <row r="1717">
      <c r="A1717" s="1" t="s">
        <v>1736</v>
      </c>
      <c r="B1717" s="2">
        <v>54.0</v>
      </c>
      <c r="C1717" s="4"/>
      <c r="E1717" s="4" t="str">
        <f t="array" ref="E1717">XLOOKUP(A1717,'Fintech, Regulatory Arbitrage, '!A:A,'Fintech, Regulatory Arbitrage, '!C:C,"")</f>
        <v/>
      </c>
    </row>
    <row r="1718">
      <c r="A1718" s="1" t="s">
        <v>1737</v>
      </c>
      <c r="B1718" s="2">
        <v>54.0</v>
      </c>
      <c r="C1718" s="4"/>
      <c r="E1718" s="4" t="str">
        <f t="array" ref="E1718">XLOOKUP(A1718,'Fintech, Regulatory Arbitrage, '!A:A,'Fintech, Regulatory Arbitrage, '!C:C,"")</f>
        <v/>
      </c>
    </row>
    <row r="1719">
      <c r="A1719" s="1" t="s">
        <v>1738</v>
      </c>
      <c r="B1719" s="2">
        <v>54.0</v>
      </c>
      <c r="C1719" s="4"/>
      <c r="E1719" s="4" t="str">
        <f t="array" ref="E1719">XLOOKUP(A1719,'Fintech, Regulatory Arbitrage, '!A:A,'Fintech, Regulatory Arbitrage, '!C:C,"")</f>
        <v/>
      </c>
    </row>
    <row r="1720">
      <c r="A1720" s="1" t="s">
        <v>1739</v>
      </c>
      <c r="B1720" s="2">
        <v>53.0</v>
      </c>
      <c r="C1720" s="4"/>
      <c r="E1720" s="4" t="str">
        <f t="array" ref="E1720">XLOOKUP(A1720,'Fintech, Regulatory Arbitrage, '!A:A,'Fintech, Regulatory Arbitrage, '!C:C,"")</f>
        <v/>
      </c>
    </row>
    <row r="1721">
      <c r="A1721" s="1" t="s">
        <v>1740</v>
      </c>
      <c r="B1721" s="2">
        <v>53.0</v>
      </c>
      <c r="C1721" s="4"/>
      <c r="E1721" s="4" t="str">
        <f t="array" ref="E1721">XLOOKUP(A1721,'Fintech, Regulatory Arbitrage, '!A:A,'Fintech, Regulatory Arbitrage, '!C:C,"")</f>
        <v/>
      </c>
    </row>
    <row r="1722">
      <c r="A1722" s="1" t="s">
        <v>1741</v>
      </c>
      <c r="B1722" s="2">
        <v>53.0</v>
      </c>
      <c r="C1722" s="4"/>
      <c r="E1722" s="4" t="str">
        <f t="array" ref="E1722">XLOOKUP(A1722,'Fintech, Regulatory Arbitrage, '!A:A,'Fintech, Regulatory Arbitrage, '!C:C,"")</f>
        <v/>
      </c>
    </row>
    <row r="1723">
      <c r="A1723" s="1" t="s">
        <v>1742</v>
      </c>
      <c r="B1723" s="2">
        <v>53.0</v>
      </c>
      <c r="C1723" s="4"/>
      <c r="E1723" s="4" t="str">
        <f t="array" ref="E1723">XLOOKUP(A1723,'Fintech, Regulatory Arbitrage, '!A:A,'Fintech, Regulatory Arbitrage, '!C:C,"")</f>
        <v/>
      </c>
    </row>
    <row r="1724">
      <c r="A1724" s="1" t="s">
        <v>1743</v>
      </c>
      <c r="B1724" s="2">
        <v>53.0</v>
      </c>
      <c r="C1724" s="4"/>
      <c r="E1724" s="4" t="str">
        <f t="array" ref="E1724">XLOOKUP(A1724,'Fintech, Regulatory Arbitrage, '!A:A,'Fintech, Regulatory Arbitrage, '!C:C,"")</f>
        <v/>
      </c>
    </row>
    <row r="1725">
      <c r="A1725" s="1" t="s">
        <v>1744</v>
      </c>
      <c r="B1725" s="2">
        <v>53.0</v>
      </c>
      <c r="C1725" s="4"/>
      <c r="E1725" s="4" t="str">
        <f t="array" ref="E1725">XLOOKUP(A1725,'Fintech, Regulatory Arbitrage, '!A:A,'Fintech, Regulatory Arbitrage, '!C:C,"")</f>
        <v/>
      </c>
    </row>
    <row r="1726">
      <c r="A1726" s="1" t="s">
        <v>1745</v>
      </c>
      <c r="B1726" s="2">
        <v>53.0</v>
      </c>
      <c r="C1726" s="4"/>
      <c r="E1726" s="4" t="str">
        <f t="array" ref="E1726">XLOOKUP(A1726,'Fintech, Regulatory Arbitrage, '!A:A,'Fintech, Regulatory Arbitrage, '!C:C,"")</f>
        <v/>
      </c>
    </row>
    <row r="1727">
      <c r="A1727" s="1" t="s">
        <v>1746</v>
      </c>
      <c r="B1727" s="2">
        <v>53.0</v>
      </c>
      <c r="C1727" s="4"/>
      <c r="E1727" s="4" t="str">
        <f t="array" ref="E1727">XLOOKUP(A1727,'Fintech, Regulatory Arbitrage, '!A:A,'Fintech, Regulatory Arbitrage, '!C:C,"")</f>
        <v/>
      </c>
    </row>
    <row r="1728">
      <c r="A1728" s="1" t="s">
        <v>1747</v>
      </c>
      <c r="B1728" s="2">
        <v>53.0</v>
      </c>
      <c r="C1728" s="4"/>
      <c r="E1728" s="4" t="str">
        <f t="array" ref="E1728">XLOOKUP(A1728,'Fintech, Regulatory Arbitrage, '!A:A,'Fintech, Regulatory Arbitrage, '!C:C,"")</f>
        <v/>
      </c>
    </row>
    <row r="1729">
      <c r="A1729" s="1" t="s">
        <v>1748</v>
      </c>
      <c r="B1729" s="2">
        <v>53.0</v>
      </c>
      <c r="C1729" s="4"/>
      <c r="E1729" s="4" t="str">
        <f t="array" ref="E1729">XLOOKUP(A1729,'Fintech, Regulatory Arbitrage, '!A:A,'Fintech, Regulatory Arbitrage, '!C:C,"")</f>
        <v/>
      </c>
    </row>
    <row r="1730">
      <c r="A1730" s="1" t="s">
        <v>1749</v>
      </c>
      <c r="B1730" s="2">
        <v>53.0</v>
      </c>
      <c r="C1730" s="4"/>
      <c r="E1730" s="4" t="str">
        <f t="array" ref="E1730">XLOOKUP(A1730,'Fintech, Regulatory Arbitrage, '!A:A,'Fintech, Regulatory Arbitrage, '!C:C,"")</f>
        <v/>
      </c>
    </row>
    <row r="1731">
      <c r="A1731" s="1" t="s">
        <v>1750</v>
      </c>
      <c r="B1731" s="2">
        <v>53.0</v>
      </c>
      <c r="C1731" s="4"/>
      <c r="E1731" s="4" t="str">
        <f t="array" ref="E1731">XLOOKUP(A1731,'Fintech, Regulatory Arbitrage, '!A:A,'Fintech, Regulatory Arbitrage, '!C:C,"")</f>
        <v/>
      </c>
    </row>
    <row r="1732">
      <c r="A1732" s="1" t="s">
        <v>1751</v>
      </c>
      <c r="B1732" s="2">
        <v>53.0</v>
      </c>
      <c r="C1732" s="4"/>
      <c r="E1732" s="4" t="str">
        <f t="array" ref="E1732">XLOOKUP(A1732,'Fintech, Regulatory Arbitrage, '!A:A,'Fintech, Regulatory Arbitrage, '!C:C,"")</f>
        <v/>
      </c>
    </row>
    <row r="1733">
      <c r="A1733" s="1" t="s">
        <v>1752</v>
      </c>
      <c r="B1733" s="2">
        <v>53.0</v>
      </c>
      <c r="C1733" s="4"/>
      <c r="E1733" s="4" t="str">
        <f t="array" ref="E1733">XLOOKUP(A1733,'Fintech, Regulatory Arbitrage, '!A:A,'Fintech, Regulatory Arbitrage, '!C:C,"")</f>
        <v/>
      </c>
    </row>
    <row r="1734">
      <c r="A1734" s="1" t="s">
        <v>1753</v>
      </c>
      <c r="B1734" s="2">
        <v>53.0</v>
      </c>
      <c r="C1734" s="4"/>
      <c r="E1734" s="4" t="str">
        <f t="array" ref="E1734">XLOOKUP(A1734,'Fintech, Regulatory Arbitrage, '!A:A,'Fintech, Regulatory Arbitrage, '!C:C,"")</f>
        <v/>
      </c>
    </row>
    <row r="1735">
      <c r="A1735" s="1" t="s">
        <v>1754</v>
      </c>
      <c r="B1735" s="2">
        <v>52.0</v>
      </c>
      <c r="C1735" s="4"/>
      <c r="E1735" s="4" t="str">
        <f t="array" ref="E1735">XLOOKUP(A1735,'Fintech, Regulatory Arbitrage, '!A:A,'Fintech, Regulatory Arbitrage, '!C:C,"")</f>
        <v/>
      </c>
    </row>
    <row r="1736">
      <c r="A1736" s="1" t="s">
        <v>1755</v>
      </c>
      <c r="B1736" s="2">
        <v>52.0</v>
      </c>
      <c r="C1736" s="4"/>
      <c r="E1736" s="4" t="str">
        <f t="array" ref="E1736">XLOOKUP(A1736,'Fintech, Regulatory Arbitrage, '!A:A,'Fintech, Regulatory Arbitrage, '!C:C,"")</f>
        <v/>
      </c>
    </row>
    <row r="1737">
      <c r="A1737" s="1" t="s">
        <v>1756</v>
      </c>
      <c r="B1737" s="2">
        <v>52.0</v>
      </c>
      <c r="C1737" s="4"/>
      <c r="E1737" s="4" t="str">
        <f t="array" ref="E1737">XLOOKUP(A1737,'Fintech, Regulatory Arbitrage, '!A:A,'Fintech, Regulatory Arbitrage, '!C:C,"")</f>
        <v/>
      </c>
    </row>
    <row r="1738">
      <c r="A1738" s="1" t="s">
        <v>1757</v>
      </c>
      <c r="B1738" s="2">
        <v>52.0</v>
      </c>
      <c r="C1738" s="4"/>
      <c r="E1738" s="4" t="str">
        <f t="array" ref="E1738">XLOOKUP(A1738,'Fintech, Regulatory Arbitrage, '!A:A,'Fintech, Regulatory Arbitrage, '!C:C,"")</f>
        <v/>
      </c>
    </row>
    <row r="1739">
      <c r="A1739" s="1" t="s">
        <v>1758</v>
      </c>
      <c r="B1739" s="2">
        <v>52.0</v>
      </c>
      <c r="C1739" s="4"/>
      <c r="E1739" s="4" t="str">
        <f t="array" ref="E1739">XLOOKUP(A1739,'Fintech, Regulatory Arbitrage, '!A:A,'Fintech, Regulatory Arbitrage, '!C:C,"")</f>
        <v/>
      </c>
    </row>
    <row r="1740">
      <c r="A1740" s="1" t="s">
        <v>1759</v>
      </c>
      <c r="B1740" s="2">
        <v>52.0</v>
      </c>
      <c r="C1740" s="4"/>
      <c r="E1740" s="4" t="str">
        <f t="array" ref="E1740">XLOOKUP(A1740,'Fintech, Regulatory Arbitrage, '!A:A,'Fintech, Regulatory Arbitrage, '!C:C,"")</f>
        <v/>
      </c>
    </row>
    <row r="1741">
      <c r="A1741" s="1" t="s">
        <v>1760</v>
      </c>
      <c r="B1741" s="2">
        <v>52.0</v>
      </c>
      <c r="C1741" s="4"/>
      <c r="E1741" s="4" t="str">
        <f t="array" ref="E1741">XLOOKUP(A1741,'Fintech, Regulatory Arbitrage, '!A:A,'Fintech, Regulatory Arbitrage, '!C:C,"")</f>
        <v/>
      </c>
    </row>
    <row r="1742">
      <c r="A1742" s="1" t="s">
        <v>1761</v>
      </c>
      <c r="B1742" s="2">
        <v>52.0</v>
      </c>
      <c r="C1742" s="4"/>
      <c r="E1742" s="4" t="str">
        <f t="array" ref="E1742">XLOOKUP(A1742,'Fintech, Regulatory Arbitrage, '!A:A,'Fintech, Regulatory Arbitrage, '!C:C,"")</f>
        <v/>
      </c>
    </row>
    <row r="1743">
      <c r="A1743" s="1" t="s">
        <v>1762</v>
      </c>
      <c r="B1743" s="2">
        <v>52.0</v>
      </c>
      <c r="C1743" s="4"/>
      <c r="E1743" s="4" t="str">
        <f t="array" ref="E1743">XLOOKUP(A1743,'Fintech, Regulatory Arbitrage, '!A:A,'Fintech, Regulatory Arbitrage, '!C:C,"")</f>
        <v/>
      </c>
    </row>
    <row r="1744">
      <c r="A1744" s="1" t="s">
        <v>1763</v>
      </c>
      <c r="B1744" s="2">
        <v>52.0</v>
      </c>
      <c r="C1744" s="4"/>
      <c r="E1744" s="4" t="str">
        <f t="array" ref="E1744">XLOOKUP(A1744,'Fintech, Regulatory Arbitrage, '!A:A,'Fintech, Regulatory Arbitrage, '!C:C,"")</f>
        <v/>
      </c>
    </row>
    <row r="1745">
      <c r="A1745" s="1" t="s">
        <v>1764</v>
      </c>
      <c r="B1745" s="2">
        <v>52.0</v>
      </c>
      <c r="C1745" s="4"/>
      <c r="E1745" s="4" t="str">
        <f t="array" ref="E1745">XLOOKUP(A1745,'Fintech, Regulatory Arbitrage, '!A:A,'Fintech, Regulatory Arbitrage, '!C:C,"")</f>
        <v/>
      </c>
    </row>
    <row r="1746">
      <c r="A1746" s="1" t="s">
        <v>1765</v>
      </c>
      <c r="B1746" s="2">
        <v>52.0</v>
      </c>
      <c r="C1746" s="4"/>
      <c r="E1746" s="4" t="str">
        <f t="array" ref="E1746">XLOOKUP(A1746,'Fintech, Regulatory Arbitrage, '!A:A,'Fintech, Regulatory Arbitrage, '!C:C,"")</f>
        <v/>
      </c>
    </row>
    <row r="1747">
      <c r="A1747" s="1" t="s">
        <v>1766</v>
      </c>
      <c r="B1747" s="2">
        <v>52.0</v>
      </c>
      <c r="C1747" s="4"/>
      <c r="E1747" s="4" t="str">
        <f t="array" ref="E1747">XLOOKUP(A1747,'Fintech, Regulatory Arbitrage, '!A:A,'Fintech, Regulatory Arbitrage, '!C:C,"")</f>
        <v/>
      </c>
    </row>
    <row r="1748">
      <c r="A1748" s="1" t="s">
        <v>1767</v>
      </c>
      <c r="B1748" s="2">
        <v>52.0</v>
      </c>
      <c r="C1748" s="4"/>
      <c r="E1748" s="4" t="str">
        <f t="array" ref="E1748">XLOOKUP(A1748,'Fintech, Regulatory Arbitrage, '!A:A,'Fintech, Regulatory Arbitrage, '!C:C,"")</f>
        <v/>
      </c>
    </row>
    <row r="1749">
      <c r="A1749" s="1" t="s">
        <v>1768</v>
      </c>
      <c r="B1749" s="2">
        <v>51.0</v>
      </c>
      <c r="C1749" s="4"/>
      <c r="E1749" s="4" t="str">
        <f t="array" ref="E1749">XLOOKUP(A1749,'Fintech, Regulatory Arbitrage, '!A:A,'Fintech, Regulatory Arbitrage, '!C:C,"")</f>
        <v/>
      </c>
    </row>
    <row r="1750">
      <c r="A1750" s="1" t="s">
        <v>1769</v>
      </c>
      <c r="B1750" s="2">
        <v>51.0</v>
      </c>
      <c r="C1750" s="4"/>
      <c r="E1750" s="4" t="str">
        <f t="array" ref="E1750">XLOOKUP(A1750,'Fintech, Regulatory Arbitrage, '!A:A,'Fintech, Regulatory Arbitrage, '!C:C,"")</f>
        <v/>
      </c>
    </row>
    <row r="1751">
      <c r="A1751" s="1" t="s">
        <v>1770</v>
      </c>
      <c r="B1751" s="2">
        <v>51.0</v>
      </c>
      <c r="C1751" s="4"/>
      <c r="E1751" s="4" t="str">
        <f t="array" ref="E1751">XLOOKUP(A1751,'Fintech, Regulatory Arbitrage, '!A:A,'Fintech, Regulatory Arbitrage, '!C:C,"")</f>
        <v/>
      </c>
    </row>
    <row r="1752">
      <c r="A1752" s="1" t="s">
        <v>1771</v>
      </c>
      <c r="B1752" s="2">
        <v>51.0</v>
      </c>
      <c r="C1752" s="4"/>
      <c r="E1752" s="4" t="str">
        <f t="array" ref="E1752">XLOOKUP(A1752,'Fintech, Regulatory Arbitrage, '!A:A,'Fintech, Regulatory Arbitrage, '!C:C,"")</f>
        <v/>
      </c>
    </row>
    <row r="1753">
      <c r="A1753" s="1" t="s">
        <v>1772</v>
      </c>
      <c r="B1753" s="2">
        <v>51.0</v>
      </c>
      <c r="C1753" s="4"/>
      <c r="E1753" s="4" t="str">
        <f t="array" ref="E1753">XLOOKUP(A1753,'Fintech, Regulatory Arbitrage, '!A:A,'Fintech, Regulatory Arbitrage, '!C:C,"")</f>
        <v/>
      </c>
    </row>
    <row r="1754">
      <c r="A1754" s="1" t="s">
        <v>1773</v>
      </c>
      <c r="B1754" s="2">
        <v>51.0</v>
      </c>
      <c r="C1754" s="4"/>
      <c r="E1754" s="4" t="str">
        <f t="array" ref="E1754">XLOOKUP(A1754,'Fintech, Regulatory Arbitrage, '!A:A,'Fintech, Regulatory Arbitrage, '!C:C,"")</f>
        <v/>
      </c>
    </row>
    <row r="1755">
      <c r="A1755" s="1" t="s">
        <v>1774</v>
      </c>
      <c r="B1755" s="2">
        <v>51.0</v>
      </c>
      <c r="C1755" s="4"/>
      <c r="E1755" s="4" t="str">
        <f t="array" ref="E1755">XLOOKUP(A1755,'Fintech, Regulatory Arbitrage, '!A:A,'Fintech, Regulatory Arbitrage, '!C:C,"")</f>
        <v/>
      </c>
    </row>
    <row r="1756">
      <c r="A1756" s="1" t="s">
        <v>1775</v>
      </c>
      <c r="B1756" s="2">
        <v>51.0</v>
      </c>
      <c r="C1756" s="4"/>
      <c r="E1756" s="4" t="str">
        <f t="array" ref="E1756">XLOOKUP(A1756,'Fintech, Regulatory Arbitrage, '!A:A,'Fintech, Regulatory Arbitrage, '!C:C,"")</f>
        <v/>
      </c>
    </row>
    <row r="1757">
      <c r="A1757" s="1" t="s">
        <v>1776</v>
      </c>
      <c r="B1757" s="2">
        <v>51.0</v>
      </c>
      <c r="C1757" s="4"/>
      <c r="E1757" s="4" t="str">
        <f t="array" ref="E1757">XLOOKUP(A1757,'Fintech, Regulatory Arbitrage, '!A:A,'Fintech, Regulatory Arbitrage, '!C:C,"")</f>
        <v/>
      </c>
    </row>
    <row r="1758">
      <c r="A1758" s="1" t="s">
        <v>1777</v>
      </c>
      <c r="B1758" s="2">
        <v>51.0</v>
      </c>
      <c r="C1758" s="4"/>
      <c r="E1758" s="4" t="str">
        <f t="array" ref="E1758">XLOOKUP(A1758,'Fintech, Regulatory Arbitrage, '!A:A,'Fintech, Regulatory Arbitrage, '!C:C,"")</f>
        <v/>
      </c>
    </row>
    <row r="1759">
      <c r="A1759" s="1" t="s">
        <v>1778</v>
      </c>
      <c r="B1759" s="2">
        <v>51.0</v>
      </c>
      <c r="C1759" s="4"/>
      <c r="E1759" s="4" t="str">
        <f t="array" ref="E1759">XLOOKUP(A1759,'Fintech, Regulatory Arbitrage, '!A:A,'Fintech, Regulatory Arbitrage, '!C:C,"")</f>
        <v/>
      </c>
    </row>
    <row r="1760">
      <c r="A1760" s="1" t="s">
        <v>1779</v>
      </c>
      <c r="B1760" s="2">
        <v>51.0</v>
      </c>
      <c r="C1760" s="4"/>
      <c r="E1760" s="4" t="str">
        <f t="array" ref="E1760">XLOOKUP(A1760,'Fintech, Regulatory Arbitrage, '!A:A,'Fintech, Regulatory Arbitrage, '!C:C,"")</f>
        <v/>
      </c>
    </row>
    <row r="1761">
      <c r="A1761" s="1" t="s">
        <v>1780</v>
      </c>
      <c r="B1761" s="2">
        <v>51.0</v>
      </c>
      <c r="C1761" s="4"/>
      <c r="E1761" s="4" t="str">
        <f t="array" ref="E1761">XLOOKUP(A1761,'Fintech, Regulatory Arbitrage, '!A:A,'Fintech, Regulatory Arbitrage, '!C:C,"")</f>
        <v/>
      </c>
    </row>
    <row r="1762">
      <c r="A1762" s="1" t="s">
        <v>1781</v>
      </c>
      <c r="B1762" s="2">
        <v>51.0</v>
      </c>
      <c r="C1762" s="4"/>
      <c r="E1762" s="4" t="str">
        <f t="array" ref="E1762">XLOOKUP(A1762,'Fintech, Regulatory Arbitrage, '!A:A,'Fintech, Regulatory Arbitrage, '!C:C,"")</f>
        <v/>
      </c>
    </row>
    <row r="1763">
      <c r="A1763" s="1" t="s">
        <v>1782</v>
      </c>
      <c r="B1763" s="2">
        <v>51.0</v>
      </c>
      <c r="C1763" s="4"/>
      <c r="E1763" s="4" t="str">
        <f t="array" ref="E1763">XLOOKUP(A1763,'Fintech, Regulatory Arbitrage, '!A:A,'Fintech, Regulatory Arbitrage, '!C:C,"")</f>
        <v/>
      </c>
    </row>
    <row r="1764">
      <c r="A1764" s="1" t="s">
        <v>1783</v>
      </c>
      <c r="B1764" s="2">
        <v>51.0</v>
      </c>
      <c r="C1764" s="4"/>
      <c r="E1764" s="4" t="str">
        <f t="array" ref="E1764">XLOOKUP(A1764,'Fintech, Regulatory Arbitrage, '!A:A,'Fintech, Regulatory Arbitrage, '!C:C,"")</f>
        <v/>
      </c>
    </row>
    <row r="1765">
      <c r="A1765" s="1" t="s">
        <v>1784</v>
      </c>
      <c r="B1765" s="2">
        <v>51.0</v>
      </c>
      <c r="C1765" s="4"/>
      <c r="E1765" s="4" t="str">
        <f t="array" ref="E1765">XLOOKUP(A1765,'Fintech, Regulatory Arbitrage, '!A:A,'Fintech, Regulatory Arbitrage, '!C:C,"")</f>
        <v/>
      </c>
    </row>
    <row r="1766">
      <c r="A1766" s="1" t="s">
        <v>1785</v>
      </c>
      <c r="B1766" s="2">
        <v>51.0</v>
      </c>
      <c r="C1766" s="4"/>
      <c r="E1766" s="4" t="str">
        <f t="array" ref="E1766">XLOOKUP(A1766,'Fintech, Regulatory Arbitrage, '!A:A,'Fintech, Regulatory Arbitrage, '!C:C,"")</f>
        <v/>
      </c>
    </row>
    <row r="1767">
      <c r="A1767" s="1" t="s">
        <v>1786</v>
      </c>
      <c r="B1767" s="2">
        <v>51.0</v>
      </c>
      <c r="C1767" s="4"/>
      <c r="E1767" s="4" t="str">
        <f t="array" ref="E1767">XLOOKUP(A1767,'Fintech, Regulatory Arbitrage, '!A:A,'Fintech, Regulatory Arbitrage, '!C:C,"")</f>
        <v/>
      </c>
    </row>
    <row r="1768">
      <c r="A1768" s="1" t="s">
        <v>1787</v>
      </c>
      <c r="B1768" s="2">
        <v>51.0</v>
      </c>
      <c r="C1768" s="4"/>
      <c r="E1768" s="4" t="str">
        <f t="array" ref="E1768">XLOOKUP(A1768,'Fintech, Regulatory Arbitrage, '!A:A,'Fintech, Regulatory Arbitrage, '!C:C,"")</f>
        <v/>
      </c>
    </row>
    <row r="1769">
      <c r="A1769" s="1" t="s">
        <v>1788</v>
      </c>
      <c r="B1769" s="2">
        <v>51.0</v>
      </c>
      <c r="C1769" s="4"/>
      <c r="E1769" s="4" t="str">
        <f t="array" ref="E1769">XLOOKUP(A1769,'Fintech, Regulatory Arbitrage, '!A:A,'Fintech, Regulatory Arbitrage, '!C:C,"")</f>
        <v/>
      </c>
    </row>
    <row r="1770">
      <c r="A1770" s="1" t="s">
        <v>1789</v>
      </c>
      <c r="B1770" s="2">
        <v>51.0</v>
      </c>
      <c r="C1770" s="4"/>
      <c r="E1770" s="4" t="str">
        <f t="array" ref="E1770">XLOOKUP(A1770,'Fintech, Regulatory Arbitrage, '!A:A,'Fintech, Regulatory Arbitrage, '!C:C,"")</f>
        <v/>
      </c>
    </row>
    <row r="1771">
      <c r="A1771" s="1" t="s">
        <v>1790</v>
      </c>
      <c r="B1771" s="2">
        <v>51.0</v>
      </c>
      <c r="C1771" s="4"/>
      <c r="E1771" s="4" t="str">
        <f t="array" ref="E1771">XLOOKUP(A1771,'Fintech, Regulatory Arbitrage, '!A:A,'Fintech, Regulatory Arbitrage, '!C:C,"")</f>
        <v/>
      </c>
    </row>
    <row r="1772">
      <c r="A1772" s="1" t="s">
        <v>1791</v>
      </c>
      <c r="B1772" s="2">
        <v>51.0</v>
      </c>
      <c r="C1772" s="4"/>
      <c r="E1772" s="4" t="str">
        <f t="array" ref="E1772">XLOOKUP(A1772,'Fintech, Regulatory Arbitrage, '!A:A,'Fintech, Regulatory Arbitrage, '!C:C,"")</f>
        <v/>
      </c>
    </row>
    <row r="1773">
      <c r="A1773" s="1" t="s">
        <v>1792</v>
      </c>
      <c r="B1773" s="2">
        <v>51.0</v>
      </c>
      <c r="C1773" s="4"/>
      <c r="E1773" s="4" t="str">
        <f t="array" ref="E1773">XLOOKUP(A1773,'Fintech, Regulatory Arbitrage, '!A:A,'Fintech, Regulatory Arbitrage, '!C:C,"")</f>
        <v/>
      </c>
    </row>
    <row r="1774">
      <c r="A1774" s="1" t="s">
        <v>1793</v>
      </c>
      <c r="B1774" s="2">
        <v>50.0</v>
      </c>
      <c r="C1774" s="4"/>
      <c r="E1774" s="4" t="str">
        <f t="array" ref="E1774">XLOOKUP(A1774,'Fintech, Regulatory Arbitrage, '!A:A,'Fintech, Regulatory Arbitrage, '!C:C,"")</f>
        <v/>
      </c>
    </row>
    <row r="1775">
      <c r="A1775" s="1" t="s">
        <v>1794</v>
      </c>
      <c r="B1775" s="2">
        <v>50.0</v>
      </c>
      <c r="C1775" s="4"/>
      <c r="E1775" s="4" t="str">
        <f t="array" ref="E1775">XLOOKUP(A1775,'Fintech, Regulatory Arbitrage, '!A:A,'Fintech, Regulatory Arbitrage, '!C:C,"")</f>
        <v/>
      </c>
    </row>
    <row r="1776">
      <c r="A1776" s="1" t="s">
        <v>1795</v>
      </c>
      <c r="B1776" s="2">
        <v>50.0</v>
      </c>
      <c r="C1776" s="4"/>
      <c r="E1776" s="4" t="str">
        <f t="array" ref="E1776">XLOOKUP(A1776,'Fintech, Regulatory Arbitrage, '!A:A,'Fintech, Regulatory Arbitrage, '!C:C,"")</f>
        <v/>
      </c>
    </row>
    <row r="1777">
      <c r="A1777" s="1" t="s">
        <v>1796</v>
      </c>
      <c r="B1777" s="2">
        <v>50.0</v>
      </c>
      <c r="C1777" s="4"/>
      <c r="E1777" s="4" t="str">
        <f t="array" ref="E1777">XLOOKUP(A1777,'Fintech, Regulatory Arbitrage, '!A:A,'Fintech, Regulatory Arbitrage, '!C:C,"")</f>
        <v/>
      </c>
    </row>
    <row r="1778">
      <c r="A1778" s="1" t="s">
        <v>1797</v>
      </c>
      <c r="B1778" s="2">
        <v>50.0</v>
      </c>
      <c r="C1778" s="4"/>
      <c r="E1778" s="4" t="str">
        <f t="array" ref="E1778">XLOOKUP(A1778,'Fintech, Regulatory Arbitrage, '!A:A,'Fintech, Regulatory Arbitrage, '!C:C,"")</f>
        <v/>
      </c>
    </row>
    <row r="1779">
      <c r="A1779" s="1" t="s">
        <v>1798</v>
      </c>
      <c r="B1779" s="2">
        <v>50.0</v>
      </c>
      <c r="C1779" s="4"/>
      <c r="E1779" s="4" t="str">
        <f t="array" ref="E1779">XLOOKUP(A1779,'Fintech, Regulatory Arbitrage, '!A:A,'Fintech, Regulatory Arbitrage, '!C:C,"")</f>
        <v/>
      </c>
    </row>
    <row r="1780">
      <c r="A1780" s="1" t="s">
        <v>1799</v>
      </c>
      <c r="B1780" s="2">
        <v>50.0</v>
      </c>
      <c r="C1780" s="4"/>
      <c r="E1780" s="4" t="str">
        <f t="array" ref="E1780">XLOOKUP(A1780,'Fintech, Regulatory Arbitrage, '!A:A,'Fintech, Regulatory Arbitrage, '!C:C,"")</f>
        <v/>
      </c>
    </row>
    <row r="1781">
      <c r="A1781" s="1" t="s">
        <v>1800</v>
      </c>
      <c r="B1781" s="2">
        <v>50.0</v>
      </c>
      <c r="C1781" s="4"/>
      <c r="E1781" s="4" t="str">
        <f t="array" ref="E1781">XLOOKUP(A1781,'Fintech, Regulatory Arbitrage, '!A:A,'Fintech, Regulatory Arbitrage, '!C:C,"")</f>
        <v/>
      </c>
    </row>
    <row r="1782">
      <c r="A1782" s="1" t="s">
        <v>1801</v>
      </c>
      <c r="B1782" s="2">
        <v>50.0</v>
      </c>
      <c r="C1782" s="4"/>
      <c r="E1782" s="4" t="str">
        <f t="array" ref="E1782">XLOOKUP(A1782,'Fintech, Regulatory Arbitrage, '!A:A,'Fintech, Regulatory Arbitrage, '!C:C,"")</f>
        <v/>
      </c>
    </row>
    <row r="1783">
      <c r="A1783" s="1" t="s">
        <v>1802</v>
      </c>
      <c r="B1783" s="2">
        <v>50.0</v>
      </c>
      <c r="C1783" s="4"/>
      <c r="E1783" s="4" t="str">
        <f t="array" ref="E1783">XLOOKUP(A1783,'Fintech, Regulatory Arbitrage, '!A:A,'Fintech, Regulatory Arbitrage, '!C:C,"")</f>
        <v/>
      </c>
    </row>
    <row r="1784">
      <c r="A1784" s="1" t="s">
        <v>1803</v>
      </c>
      <c r="B1784" s="2">
        <v>50.0</v>
      </c>
      <c r="C1784" s="4"/>
      <c r="E1784" s="4" t="str">
        <f t="array" ref="E1784">XLOOKUP(A1784,'Fintech, Regulatory Arbitrage, '!A:A,'Fintech, Regulatory Arbitrage, '!C:C,"")</f>
        <v/>
      </c>
    </row>
    <row r="1785">
      <c r="A1785" s="1" t="s">
        <v>1804</v>
      </c>
      <c r="B1785" s="2">
        <v>50.0</v>
      </c>
      <c r="C1785" s="4"/>
      <c r="E1785" s="4" t="str">
        <f t="array" ref="E1785">XLOOKUP(A1785,'Fintech, Regulatory Arbitrage, '!A:A,'Fintech, Regulatory Arbitrage, '!C:C,"")</f>
        <v/>
      </c>
    </row>
    <row r="1786">
      <c r="A1786" s="1" t="s">
        <v>1805</v>
      </c>
      <c r="B1786" s="2">
        <v>50.0</v>
      </c>
      <c r="C1786" s="4"/>
      <c r="E1786" s="4" t="str">
        <f t="array" ref="E1786">XLOOKUP(A1786,'Fintech, Regulatory Arbitrage, '!A:A,'Fintech, Regulatory Arbitrage, '!C:C,"")</f>
        <v/>
      </c>
    </row>
    <row r="1787">
      <c r="A1787" s="1" t="s">
        <v>1806</v>
      </c>
      <c r="B1787" s="2">
        <v>50.0</v>
      </c>
      <c r="C1787" s="4"/>
      <c r="E1787" s="4" t="str">
        <f t="array" ref="E1787">XLOOKUP(A1787,'Fintech, Regulatory Arbitrage, '!A:A,'Fintech, Regulatory Arbitrage, '!C:C,"")</f>
        <v/>
      </c>
    </row>
    <row r="1788">
      <c r="A1788" s="1" t="s">
        <v>1807</v>
      </c>
      <c r="B1788" s="2">
        <v>50.0</v>
      </c>
      <c r="C1788" s="4"/>
      <c r="E1788" s="4" t="str">
        <f t="array" ref="E1788">XLOOKUP(A1788,'Fintech, Regulatory Arbitrage, '!A:A,'Fintech, Regulatory Arbitrage, '!C:C,"")</f>
        <v/>
      </c>
    </row>
    <row r="1789">
      <c r="A1789" s="1" t="s">
        <v>1808</v>
      </c>
      <c r="B1789" s="2">
        <v>50.0</v>
      </c>
      <c r="C1789" s="4"/>
      <c r="E1789" s="4" t="str">
        <f t="array" ref="E1789">XLOOKUP(A1789,'Fintech, Regulatory Arbitrage, '!A:A,'Fintech, Regulatory Arbitrage, '!C:C,"")</f>
        <v/>
      </c>
    </row>
    <row r="1790">
      <c r="A1790" s="1" t="s">
        <v>1809</v>
      </c>
      <c r="B1790" s="2">
        <v>50.0</v>
      </c>
      <c r="C1790" s="4"/>
      <c r="E1790" s="4" t="str">
        <f t="array" ref="E1790">XLOOKUP(A1790,'Fintech, Regulatory Arbitrage, '!A:A,'Fintech, Regulatory Arbitrage, '!C:C,"")</f>
        <v/>
      </c>
    </row>
    <row r="1791">
      <c r="A1791" s="1" t="s">
        <v>1810</v>
      </c>
      <c r="B1791" s="2">
        <v>50.0</v>
      </c>
      <c r="C1791" s="4"/>
      <c r="E1791" s="4" t="str">
        <f t="array" ref="E1791">XLOOKUP(A1791,'Fintech, Regulatory Arbitrage, '!A:A,'Fintech, Regulatory Arbitrage, '!C:C,"")</f>
        <v/>
      </c>
    </row>
    <row r="1792">
      <c r="A1792" s="1" t="s">
        <v>1811</v>
      </c>
      <c r="B1792" s="2">
        <v>50.0</v>
      </c>
      <c r="C1792" s="4"/>
      <c r="E1792" s="4" t="str">
        <f t="array" ref="E1792">XLOOKUP(A1792,'Fintech, Regulatory Arbitrage, '!A:A,'Fintech, Regulatory Arbitrage, '!C:C,"")</f>
        <v/>
      </c>
    </row>
    <row r="1793">
      <c r="A1793" s="1" t="s">
        <v>1812</v>
      </c>
      <c r="B1793" s="2">
        <v>50.0</v>
      </c>
      <c r="C1793" s="4"/>
      <c r="E1793" s="4" t="str">
        <f t="array" ref="E1793">XLOOKUP(A1793,'Fintech, Regulatory Arbitrage, '!A:A,'Fintech, Regulatory Arbitrage, '!C:C,"")</f>
        <v/>
      </c>
    </row>
    <row r="1794">
      <c r="A1794" s="1" t="s">
        <v>1813</v>
      </c>
      <c r="B1794" s="2">
        <v>50.0</v>
      </c>
      <c r="C1794" s="4"/>
      <c r="E1794" s="4" t="str">
        <f t="array" ref="E1794">XLOOKUP(A1794,'Fintech, Regulatory Arbitrage, '!A:A,'Fintech, Regulatory Arbitrage, '!C:C,"")</f>
        <v/>
      </c>
    </row>
    <row r="1795">
      <c r="A1795" s="1" t="s">
        <v>1814</v>
      </c>
      <c r="B1795" s="2">
        <v>50.0</v>
      </c>
      <c r="C1795" s="4"/>
      <c r="E1795" s="4" t="str">
        <f t="array" ref="E1795">XLOOKUP(A1795,'Fintech, Regulatory Arbitrage, '!A:A,'Fintech, Regulatory Arbitrage, '!C:C,"")</f>
        <v/>
      </c>
    </row>
    <row r="1796">
      <c r="A1796" s="1" t="s">
        <v>1815</v>
      </c>
      <c r="B1796" s="2">
        <v>50.0</v>
      </c>
      <c r="C1796" s="4"/>
      <c r="E1796" s="4" t="str">
        <f t="array" ref="E1796">XLOOKUP(A1796,'Fintech, Regulatory Arbitrage, '!A:A,'Fintech, Regulatory Arbitrage, '!C:C,"")</f>
        <v/>
      </c>
    </row>
    <row r="1797">
      <c r="A1797" s="1" t="s">
        <v>1816</v>
      </c>
      <c r="B1797" s="2">
        <v>50.0</v>
      </c>
      <c r="C1797" s="4"/>
      <c r="E1797" s="4" t="str">
        <f t="array" ref="E1797">XLOOKUP(A1797,'Fintech, Regulatory Arbitrage, '!A:A,'Fintech, Regulatory Arbitrage, '!C:C,"")</f>
        <v/>
      </c>
    </row>
    <row r="1798">
      <c r="A1798" s="1" t="s">
        <v>1817</v>
      </c>
      <c r="B1798" s="2">
        <v>50.0</v>
      </c>
      <c r="C1798" s="4"/>
      <c r="E1798" s="4" t="str">
        <f t="array" ref="E1798">XLOOKUP(A1798,'Fintech, Regulatory Arbitrage, '!A:A,'Fintech, Regulatory Arbitrage, '!C:C,"")</f>
        <v/>
      </c>
    </row>
    <row r="1799">
      <c r="A1799" s="1" t="s">
        <v>1818</v>
      </c>
      <c r="B1799" s="2">
        <v>49.0</v>
      </c>
      <c r="C1799" s="4"/>
      <c r="E1799" s="4" t="str">
        <f t="array" ref="E1799">XLOOKUP(A1799,'Fintech, Regulatory Arbitrage, '!A:A,'Fintech, Regulatory Arbitrage, '!C:C,"")</f>
        <v/>
      </c>
    </row>
    <row r="1800">
      <c r="A1800" s="1" t="s">
        <v>1819</v>
      </c>
      <c r="B1800" s="2">
        <v>49.0</v>
      </c>
      <c r="C1800" s="4"/>
      <c r="E1800" s="4" t="str">
        <f t="array" ref="E1800">XLOOKUP(A1800,'Fintech, Regulatory Arbitrage, '!A:A,'Fintech, Regulatory Arbitrage, '!C:C,"")</f>
        <v/>
      </c>
    </row>
    <row r="1801">
      <c r="A1801" s="1" t="s">
        <v>1820</v>
      </c>
      <c r="B1801" s="2">
        <v>49.0</v>
      </c>
      <c r="C1801" s="4"/>
      <c r="E1801" s="4" t="str">
        <f t="array" ref="E1801">XLOOKUP(A1801,'Fintech, Regulatory Arbitrage, '!A:A,'Fintech, Regulatory Arbitrage, '!C:C,"")</f>
        <v/>
      </c>
    </row>
    <row r="1802">
      <c r="A1802" s="1" t="s">
        <v>1821</v>
      </c>
      <c r="B1802" s="2">
        <v>49.0</v>
      </c>
      <c r="C1802" s="4"/>
      <c r="E1802" s="4" t="str">
        <f t="array" ref="E1802">XLOOKUP(A1802,'Fintech, Regulatory Arbitrage, '!A:A,'Fintech, Regulatory Arbitrage, '!C:C,"")</f>
        <v/>
      </c>
    </row>
    <row r="1803">
      <c r="A1803" s="1" t="s">
        <v>1822</v>
      </c>
      <c r="B1803" s="2">
        <v>49.0</v>
      </c>
      <c r="C1803" s="4"/>
      <c r="E1803" s="4" t="str">
        <f t="array" ref="E1803">XLOOKUP(A1803,'Fintech, Regulatory Arbitrage, '!A:A,'Fintech, Regulatory Arbitrage, '!C:C,"")</f>
        <v/>
      </c>
    </row>
    <row r="1804">
      <c r="A1804" s="1" t="s">
        <v>1823</v>
      </c>
      <c r="B1804" s="2">
        <v>49.0</v>
      </c>
      <c r="C1804" s="4"/>
      <c r="E1804" s="4" t="str">
        <f t="array" ref="E1804">XLOOKUP(A1804,'Fintech, Regulatory Arbitrage, '!A:A,'Fintech, Regulatory Arbitrage, '!C:C,"")</f>
        <v/>
      </c>
    </row>
    <row r="1805">
      <c r="A1805" s="1" t="s">
        <v>1824</v>
      </c>
      <c r="B1805" s="2">
        <v>49.0</v>
      </c>
      <c r="C1805" s="4"/>
      <c r="E1805" s="4" t="str">
        <f t="array" ref="E1805">XLOOKUP(A1805,'Fintech, Regulatory Arbitrage, '!A:A,'Fintech, Regulatory Arbitrage, '!C:C,"")</f>
        <v/>
      </c>
    </row>
    <row r="1806">
      <c r="A1806" s="1" t="s">
        <v>1825</v>
      </c>
      <c r="B1806" s="2">
        <v>49.0</v>
      </c>
      <c r="C1806" s="4"/>
      <c r="E1806" s="4" t="str">
        <f t="array" ref="E1806">XLOOKUP(A1806,'Fintech, Regulatory Arbitrage, '!A:A,'Fintech, Regulatory Arbitrage, '!C:C,"")</f>
        <v/>
      </c>
    </row>
    <row r="1807">
      <c r="A1807" s="1" t="s">
        <v>1826</v>
      </c>
      <c r="B1807" s="2">
        <v>49.0</v>
      </c>
      <c r="C1807" s="4"/>
      <c r="E1807" s="4" t="str">
        <f t="array" ref="E1807">XLOOKUP(A1807,'Fintech, Regulatory Arbitrage, '!A:A,'Fintech, Regulatory Arbitrage, '!C:C,"")</f>
        <v/>
      </c>
    </row>
    <row r="1808">
      <c r="A1808" s="1" t="s">
        <v>1827</v>
      </c>
      <c r="B1808" s="2">
        <v>49.0</v>
      </c>
      <c r="C1808" s="4"/>
      <c r="E1808" s="4" t="str">
        <f t="array" ref="E1808">XLOOKUP(A1808,'Fintech, Regulatory Arbitrage, '!A:A,'Fintech, Regulatory Arbitrage, '!C:C,"")</f>
        <v/>
      </c>
    </row>
    <row r="1809">
      <c r="A1809" s="1" t="s">
        <v>1828</v>
      </c>
      <c r="B1809" s="2">
        <v>49.0</v>
      </c>
      <c r="C1809" s="4"/>
      <c r="E1809" s="4" t="str">
        <f t="array" ref="E1809">XLOOKUP(A1809,'Fintech, Regulatory Arbitrage, '!A:A,'Fintech, Regulatory Arbitrage, '!C:C,"")</f>
        <v/>
      </c>
    </row>
    <row r="1810">
      <c r="A1810" s="1" t="s">
        <v>1829</v>
      </c>
      <c r="B1810" s="2">
        <v>49.0</v>
      </c>
      <c r="C1810" s="4"/>
      <c r="E1810" s="4" t="str">
        <f t="array" ref="E1810">XLOOKUP(A1810,'Fintech, Regulatory Arbitrage, '!A:A,'Fintech, Regulatory Arbitrage, '!C:C,"")</f>
        <v/>
      </c>
    </row>
    <row r="1811">
      <c r="A1811" s="1" t="s">
        <v>1830</v>
      </c>
      <c r="B1811" s="2">
        <v>49.0</v>
      </c>
      <c r="C1811" s="4"/>
      <c r="E1811" s="4" t="str">
        <f t="array" ref="E1811">XLOOKUP(A1811,'Fintech, Regulatory Arbitrage, '!A:A,'Fintech, Regulatory Arbitrage, '!C:C,"")</f>
        <v/>
      </c>
    </row>
    <row r="1812">
      <c r="A1812" s="1" t="s">
        <v>1831</v>
      </c>
      <c r="B1812" s="2">
        <v>49.0</v>
      </c>
      <c r="C1812" s="4"/>
      <c r="E1812" s="4" t="str">
        <f t="array" ref="E1812">XLOOKUP(A1812,'Fintech, Regulatory Arbitrage, '!A:A,'Fintech, Regulatory Arbitrage, '!C:C,"")</f>
        <v/>
      </c>
    </row>
    <row r="1813">
      <c r="A1813" s="1" t="s">
        <v>1832</v>
      </c>
      <c r="B1813" s="2">
        <v>49.0</v>
      </c>
      <c r="C1813" s="4"/>
      <c r="E1813" s="4" t="str">
        <f t="array" ref="E1813">XLOOKUP(A1813,'Fintech, Regulatory Arbitrage, '!A:A,'Fintech, Regulatory Arbitrage, '!C:C,"")</f>
        <v/>
      </c>
    </row>
    <row r="1814">
      <c r="A1814" s="1" t="s">
        <v>1833</v>
      </c>
      <c r="B1814" s="2">
        <v>49.0</v>
      </c>
      <c r="C1814" s="4"/>
      <c r="E1814" s="4" t="str">
        <f t="array" ref="E1814">XLOOKUP(A1814,'Fintech, Regulatory Arbitrage, '!A:A,'Fintech, Regulatory Arbitrage, '!C:C,"")</f>
        <v/>
      </c>
    </row>
    <row r="1815">
      <c r="A1815" s="1" t="s">
        <v>1834</v>
      </c>
      <c r="B1815" s="2">
        <v>49.0</v>
      </c>
      <c r="C1815" s="4"/>
      <c r="E1815" s="4" t="str">
        <f t="array" ref="E1815">XLOOKUP(A1815,'Fintech, Regulatory Arbitrage, '!A:A,'Fintech, Regulatory Arbitrage, '!C:C,"")</f>
        <v/>
      </c>
    </row>
    <row r="1816">
      <c r="A1816" s="1" t="s">
        <v>1835</v>
      </c>
      <c r="B1816" s="2">
        <v>49.0</v>
      </c>
      <c r="C1816" s="4"/>
      <c r="E1816" s="4" t="str">
        <f t="array" ref="E1816">XLOOKUP(A1816,'Fintech, Regulatory Arbitrage, '!A:A,'Fintech, Regulatory Arbitrage, '!C:C,"")</f>
        <v/>
      </c>
    </row>
    <row r="1817">
      <c r="A1817" s="1" t="s">
        <v>1836</v>
      </c>
      <c r="B1817" s="2">
        <v>48.0</v>
      </c>
      <c r="C1817" s="4"/>
      <c r="E1817" s="4" t="str">
        <f t="array" ref="E1817">XLOOKUP(A1817,'Fintech, Regulatory Arbitrage, '!A:A,'Fintech, Regulatory Arbitrage, '!C:C,"")</f>
        <v/>
      </c>
    </row>
    <row r="1818">
      <c r="A1818" s="1" t="s">
        <v>1837</v>
      </c>
      <c r="B1818" s="2">
        <v>48.0</v>
      </c>
      <c r="C1818" s="4"/>
      <c r="E1818" s="4" t="str">
        <f t="array" ref="E1818">XLOOKUP(A1818,'Fintech, Regulatory Arbitrage, '!A:A,'Fintech, Regulatory Arbitrage, '!C:C,"")</f>
        <v/>
      </c>
    </row>
    <row r="1819">
      <c r="A1819" s="1" t="s">
        <v>1838</v>
      </c>
      <c r="B1819" s="2">
        <v>48.0</v>
      </c>
      <c r="C1819" s="4"/>
      <c r="E1819" s="4" t="str">
        <f t="array" ref="E1819">XLOOKUP(A1819,'Fintech, Regulatory Arbitrage, '!A:A,'Fintech, Regulatory Arbitrage, '!C:C,"")</f>
        <v/>
      </c>
    </row>
    <row r="1820">
      <c r="A1820" s="1" t="s">
        <v>1839</v>
      </c>
      <c r="B1820" s="2">
        <v>48.0</v>
      </c>
      <c r="C1820" s="4"/>
      <c r="E1820" s="4" t="str">
        <f t="array" ref="E1820">XLOOKUP(A1820,'Fintech, Regulatory Arbitrage, '!A:A,'Fintech, Regulatory Arbitrage, '!C:C,"")</f>
        <v/>
      </c>
    </row>
    <row r="1821">
      <c r="A1821" s="1" t="s">
        <v>1840</v>
      </c>
      <c r="B1821" s="2">
        <v>48.0</v>
      </c>
      <c r="C1821" s="4"/>
      <c r="E1821" s="4" t="str">
        <f t="array" ref="E1821">XLOOKUP(A1821,'Fintech, Regulatory Arbitrage, '!A:A,'Fintech, Regulatory Arbitrage, '!C:C,"")</f>
        <v/>
      </c>
    </row>
    <row r="1822">
      <c r="A1822" s="1" t="s">
        <v>1841</v>
      </c>
      <c r="B1822" s="2">
        <v>48.0</v>
      </c>
      <c r="C1822" s="4"/>
      <c r="E1822" s="4" t="str">
        <f t="array" ref="E1822">XLOOKUP(A1822,'Fintech, Regulatory Arbitrage, '!A:A,'Fintech, Regulatory Arbitrage, '!C:C,"")</f>
        <v/>
      </c>
    </row>
    <row r="1823">
      <c r="A1823" s="1" t="s">
        <v>1842</v>
      </c>
      <c r="B1823" s="2">
        <v>48.0</v>
      </c>
      <c r="C1823" s="4"/>
      <c r="E1823" s="4" t="str">
        <f t="array" ref="E1823">XLOOKUP(A1823,'Fintech, Regulatory Arbitrage, '!A:A,'Fintech, Regulatory Arbitrage, '!C:C,"")</f>
        <v/>
      </c>
    </row>
    <row r="1824">
      <c r="A1824" s="1" t="s">
        <v>1843</v>
      </c>
      <c r="B1824" s="2">
        <v>48.0</v>
      </c>
      <c r="C1824" s="4"/>
      <c r="E1824" s="4" t="str">
        <f t="array" ref="E1824">XLOOKUP(A1824,'Fintech, Regulatory Arbitrage, '!A:A,'Fintech, Regulatory Arbitrage, '!C:C,"")</f>
        <v/>
      </c>
    </row>
    <row r="1825">
      <c r="A1825" s="1" t="s">
        <v>1844</v>
      </c>
      <c r="B1825" s="2">
        <v>48.0</v>
      </c>
      <c r="C1825" s="4"/>
      <c r="E1825" s="4" t="str">
        <f t="array" ref="E1825">XLOOKUP(A1825,'Fintech, Regulatory Arbitrage, '!A:A,'Fintech, Regulatory Arbitrage, '!C:C,"")</f>
        <v/>
      </c>
    </row>
    <row r="1826">
      <c r="A1826" s="1" t="s">
        <v>1845</v>
      </c>
      <c r="B1826" s="2">
        <v>48.0</v>
      </c>
      <c r="C1826" s="4"/>
      <c r="E1826" s="4" t="str">
        <f t="array" ref="E1826">XLOOKUP(A1826,'Fintech, Regulatory Arbitrage, '!A:A,'Fintech, Regulatory Arbitrage, '!C:C,"")</f>
        <v/>
      </c>
    </row>
    <row r="1827">
      <c r="A1827" s="1" t="s">
        <v>1846</v>
      </c>
      <c r="B1827" s="2">
        <v>48.0</v>
      </c>
      <c r="C1827" s="4"/>
      <c r="E1827" s="4" t="str">
        <f t="array" ref="E1827">XLOOKUP(A1827,'Fintech, Regulatory Arbitrage, '!A:A,'Fintech, Regulatory Arbitrage, '!C:C,"")</f>
        <v/>
      </c>
    </row>
    <row r="1828">
      <c r="A1828" s="1" t="s">
        <v>1847</v>
      </c>
      <c r="B1828" s="2">
        <v>48.0</v>
      </c>
      <c r="C1828" s="4"/>
      <c r="E1828" s="4" t="str">
        <f t="array" ref="E1828">XLOOKUP(A1828,'Fintech, Regulatory Arbitrage, '!A:A,'Fintech, Regulatory Arbitrage, '!C:C,"")</f>
        <v/>
      </c>
    </row>
    <row r="1829">
      <c r="A1829" s="1" t="s">
        <v>1848</v>
      </c>
      <c r="B1829" s="2">
        <v>48.0</v>
      </c>
      <c r="C1829" s="4"/>
      <c r="E1829" s="4" t="str">
        <f t="array" ref="E1829">XLOOKUP(A1829,'Fintech, Regulatory Arbitrage, '!A:A,'Fintech, Regulatory Arbitrage, '!C:C,"")</f>
        <v/>
      </c>
    </row>
    <row r="1830">
      <c r="A1830" s="1" t="s">
        <v>1849</v>
      </c>
      <c r="B1830" s="2">
        <v>48.0</v>
      </c>
      <c r="C1830" s="4"/>
      <c r="E1830" s="4" t="str">
        <f t="array" ref="E1830">XLOOKUP(A1830,'Fintech, Regulatory Arbitrage, '!A:A,'Fintech, Regulatory Arbitrage, '!C:C,"")</f>
        <v/>
      </c>
    </row>
    <row r="1831">
      <c r="A1831" s="1" t="s">
        <v>1850</v>
      </c>
      <c r="B1831" s="2">
        <v>48.0</v>
      </c>
      <c r="C1831" s="4"/>
      <c r="E1831" s="4" t="str">
        <f t="array" ref="E1831">XLOOKUP(A1831,'Fintech, Regulatory Arbitrage, '!A:A,'Fintech, Regulatory Arbitrage, '!C:C,"")</f>
        <v/>
      </c>
    </row>
    <row r="1832">
      <c r="A1832" s="1" t="s">
        <v>1851</v>
      </c>
      <c r="B1832" s="2">
        <v>48.0</v>
      </c>
      <c r="C1832" s="4"/>
      <c r="E1832" s="4" t="str">
        <f t="array" ref="E1832">XLOOKUP(A1832,'Fintech, Regulatory Arbitrage, '!A:A,'Fintech, Regulatory Arbitrage, '!C:C,"")</f>
        <v/>
      </c>
    </row>
    <row r="1833">
      <c r="A1833" s="1" t="s">
        <v>1852</v>
      </c>
      <c r="B1833" s="2">
        <v>48.0</v>
      </c>
      <c r="C1833" s="4"/>
      <c r="E1833" s="4" t="str">
        <f t="array" ref="E1833">XLOOKUP(A1833,'Fintech, Regulatory Arbitrage, '!A:A,'Fintech, Regulatory Arbitrage, '!C:C,"")</f>
        <v/>
      </c>
    </row>
    <row r="1834">
      <c r="A1834" s="1" t="s">
        <v>1853</v>
      </c>
      <c r="B1834" s="2">
        <v>48.0</v>
      </c>
      <c r="C1834" s="4"/>
      <c r="E1834" s="4" t="str">
        <f t="array" ref="E1834">XLOOKUP(A1834,'Fintech, Regulatory Arbitrage, '!A:A,'Fintech, Regulatory Arbitrage, '!C:C,"")</f>
        <v/>
      </c>
    </row>
    <row r="1835">
      <c r="A1835" s="1" t="s">
        <v>1854</v>
      </c>
      <c r="B1835" s="2">
        <v>48.0</v>
      </c>
      <c r="C1835" s="4"/>
      <c r="E1835" s="4" t="str">
        <f t="array" ref="E1835">XLOOKUP(A1835,'Fintech, Regulatory Arbitrage, '!A:A,'Fintech, Regulatory Arbitrage, '!C:C,"")</f>
        <v/>
      </c>
    </row>
    <row r="1836">
      <c r="A1836" s="1" t="s">
        <v>1855</v>
      </c>
      <c r="B1836" s="2">
        <v>48.0</v>
      </c>
      <c r="C1836" s="4"/>
      <c r="E1836" s="4" t="str">
        <f t="array" ref="E1836">XLOOKUP(A1836,'Fintech, Regulatory Arbitrage, '!A:A,'Fintech, Regulatory Arbitrage, '!C:C,"")</f>
        <v/>
      </c>
    </row>
    <row r="1837">
      <c r="A1837" s="1" t="s">
        <v>1856</v>
      </c>
      <c r="B1837" s="2">
        <v>48.0</v>
      </c>
      <c r="C1837" s="4"/>
      <c r="E1837" s="4" t="str">
        <f t="array" ref="E1837">XLOOKUP(A1837,'Fintech, Regulatory Arbitrage, '!A:A,'Fintech, Regulatory Arbitrage, '!C:C,"")</f>
        <v/>
      </c>
    </row>
    <row r="1838">
      <c r="A1838" s="1" t="s">
        <v>1857</v>
      </c>
      <c r="B1838" s="2">
        <v>47.0</v>
      </c>
      <c r="C1838" s="4"/>
      <c r="E1838" s="4" t="str">
        <f t="array" ref="E1838">XLOOKUP(A1838,'Fintech, Regulatory Arbitrage, '!A:A,'Fintech, Regulatory Arbitrage, '!C:C,"")</f>
        <v/>
      </c>
    </row>
    <row r="1839">
      <c r="A1839" s="1" t="s">
        <v>1858</v>
      </c>
      <c r="B1839" s="2">
        <v>47.0</v>
      </c>
      <c r="C1839" s="4"/>
      <c r="E1839" s="4" t="str">
        <f t="array" ref="E1839">XLOOKUP(A1839,'Fintech, Regulatory Arbitrage, '!A:A,'Fintech, Regulatory Arbitrage, '!C:C,"")</f>
        <v/>
      </c>
    </row>
    <row r="1840">
      <c r="A1840" s="1" t="s">
        <v>1859</v>
      </c>
      <c r="B1840" s="2">
        <v>47.0</v>
      </c>
      <c r="C1840" s="4"/>
      <c r="E1840" s="4" t="str">
        <f t="array" ref="E1840">XLOOKUP(A1840,'Fintech, Regulatory Arbitrage, '!A:A,'Fintech, Regulatory Arbitrage, '!C:C,"")</f>
        <v/>
      </c>
    </row>
    <row r="1841">
      <c r="A1841" s="1" t="s">
        <v>1860</v>
      </c>
      <c r="B1841" s="2">
        <v>47.0</v>
      </c>
      <c r="C1841" s="4"/>
      <c r="E1841" s="4" t="str">
        <f t="array" ref="E1841">XLOOKUP(A1841,'Fintech, Regulatory Arbitrage, '!A:A,'Fintech, Regulatory Arbitrage, '!C:C,"")</f>
        <v/>
      </c>
    </row>
    <row r="1842">
      <c r="A1842" s="1" t="s">
        <v>1861</v>
      </c>
      <c r="B1842" s="2">
        <v>47.0</v>
      </c>
      <c r="C1842" s="4"/>
      <c r="E1842" s="4" t="str">
        <f t="array" ref="E1842">XLOOKUP(A1842,'Fintech, Regulatory Arbitrage, '!A:A,'Fintech, Regulatory Arbitrage, '!C:C,"")</f>
        <v/>
      </c>
    </row>
    <row r="1843">
      <c r="A1843" s="1" t="s">
        <v>1862</v>
      </c>
      <c r="B1843" s="2">
        <v>47.0</v>
      </c>
      <c r="C1843" s="4"/>
      <c r="E1843" s="4" t="str">
        <f t="array" ref="E1843">XLOOKUP(A1843,'Fintech, Regulatory Arbitrage, '!A:A,'Fintech, Regulatory Arbitrage, '!C:C,"")</f>
        <v/>
      </c>
    </row>
    <row r="1844">
      <c r="A1844" s="1" t="s">
        <v>1863</v>
      </c>
      <c r="B1844" s="2">
        <v>47.0</v>
      </c>
      <c r="C1844" s="4"/>
      <c r="E1844" s="4" t="str">
        <f t="array" ref="E1844">XLOOKUP(A1844,'Fintech, Regulatory Arbitrage, '!A:A,'Fintech, Regulatory Arbitrage, '!C:C,"")</f>
        <v/>
      </c>
    </row>
    <row r="1845">
      <c r="A1845" s="1" t="s">
        <v>1864</v>
      </c>
      <c r="B1845" s="2">
        <v>47.0</v>
      </c>
      <c r="C1845" s="4"/>
      <c r="E1845" s="4" t="str">
        <f t="array" ref="E1845">XLOOKUP(A1845,'Fintech, Regulatory Arbitrage, '!A:A,'Fintech, Regulatory Arbitrage, '!C:C,"")</f>
        <v/>
      </c>
    </row>
    <row r="1846">
      <c r="A1846" s="1" t="s">
        <v>1865</v>
      </c>
      <c r="B1846" s="2">
        <v>47.0</v>
      </c>
      <c r="C1846" s="4"/>
      <c r="E1846" s="4" t="str">
        <f t="array" ref="E1846">XLOOKUP(A1846,'Fintech, Regulatory Arbitrage, '!A:A,'Fintech, Regulatory Arbitrage, '!C:C,"")</f>
        <v/>
      </c>
    </row>
    <row r="1847">
      <c r="A1847" s="1" t="s">
        <v>1866</v>
      </c>
      <c r="B1847" s="2">
        <v>47.0</v>
      </c>
      <c r="C1847" s="4"/>
      <c r="E1847" s="4" t="str">
        <f t="array" ref="E1847">XLOOKUP(A1847,'Fintech, Regulatory Arbitrage, '!A:A,'Fintech, Regulatory Arbitrage, '!C:C,"")</f>
        <v/>
      </c>
    </row>
    <row r="1848">
      <c r="A1848" s="1" t="s">
        <v>1867</v>
      </c>
      <c r="B1848" s="2">
        <v>47.0</v>
      </c>
      <c r="C1848" s="4"/>
      <c r="E1848" s="4" t="str">
        <f t="array" ref="E1848">XLOOKUP(A1848,'Fintech, Regulatory Arbitrage, '!A:A,'Fintech, Regulatory Arbitrage, '!C:C,"")</f>
        <v/>
      </c>
    </row>
    <row r="1849">
      <c r="A1849" s="1" t="s">
        <v>1868</v>
      </c>
      <c r="B1849" s="2">
        <v>47.0</v>
      </c>
      <c r="C1849" s="4"/>
      <c r="E1849" s="4" t="str">
        <f t="array" ref="E1849">XLOOKUP(A1849,'Fintech, Regulatory Arbitrage, '!A:A,'Fintech, Regulatory Arbitrage, '!C:C,"")</f>
        <v/>
      </c>
    </row>
    <row r="1850">
      <c r="A1850" s="1" t="s">
        <v>1869</v>
      </c>
      <c r="B1850" s="2">
        <v>47.0</v>
      </c>
      <c r="C1850" s="4"/>
      <c r="E1850" s="4" t="str">
        <f t="array" ref="E1850">XLOOKUP(A1850,'Fintech, Regulatory Arbitrage, '!A:A,'Fintech, Regulatory Arbitrage, '!C:C,"")</f>
        <v/>
      </c>
    </row>
    <row r="1851">
      <c r="A1851" s="1" t="s">
        <v>1870</v>
      </c>
      <c r="B1851" s="2">
        <v>47.0</v>
      </c>
      <c r="C1851" s="4"/>
      <c r="E1851" s="4" t="str">
        <f t="array" ref="E1851">XLOOKUP(A1851,'Fintech, Regulatory Arbitrage, '!A:A,'Fintech, Regulatory Arbitrage, '!C:C,"")</f>
        <v/>
      </c>
    </row>
    <row r="1852">
      <c r="A1852" s="1" t="s">
        <v>1871</v>
      </c>
      <c r="B1852" s="2">
        <v>46.0</v>
      </c>
      <c r="C1852" s="4"/>
      <c r="E1852" s="4" t="str">
        <f t="array" ref="E1852">XLOOKUP(A1852,'Fintech, Regulatory Arbitrage, '!A:A,'Fintech, Regulatory Arbitrage, '!C:C,"")</f>
        <v/>
      </c>
    </row>
    <row r="1853">
      <c r="A1853" s="1" t="s">
        <v>1872</v>
      </c>
      <c r="B1853" s="2">
        <v>46.0</v>
      </c>
      <c r="C1853" s="4"/>
      <c r="E1853" s="4" t="str">
        <f t="array" ref="E1853">XLOOKUP(A1853,'Fintech, Regulatory Arbitrage, '!A:A,'Fintech, Regulatory Arbitrage, '!C:C,"")</f>
        <v/>
      </c>
    </row>
    <row r="1854">
      <c r="A1854" s="1" t="s">
        <v>1873</v>
      </c>
      <c r="B1854" s="2">
        <v>46.0</v>
      </c>
      <c r="C1854" s="4"/>
      <c r="E1854" s="4" t="str">
        <f t="array" ref="E1854">XLOOKUP(A1854,'Fintech, Regulatory Arbitrage, '!A:A,'Fintech, Regulatory Arbitrage, '!C:C,"")</f>
        <v/>
      </c>
    </row>
    <row r="1855">
      <c r="A1855" s="1" t="s">
        <v>1874</v>
      </c>
      <c r="B1855" s="2">
        <v>46.0</v>
      </c>
      <c r="C1855" s="4"/>
      <c r="E1855" s="4" t="str">
        <f t="array" ref="E1855">XLOOKUP(A1855,'Fintech, Regulatory Arbitrage, '!A:A,'Fintech, Regulatory Arbitrage, '!C:C,"")</f>
        <v/>
      </c>
    </row>
    <row r="1856">
      <c r="A1856" s="1" t="s">
        <v>1875</v>
      </c>
      <c r="B1856" s="2">
        <v>46.0</v>
      </c>
      <c r="C1856" s="4"/>
      <c r="E1856" s="4" t="str">
        <f t="array" ref="E1856">XLOOKUP(A1856,'Fintech, Regulatory Arbitrage, '!A:A,'Fintech, Regulatory Arbitrage, '!C:C,"")</f>
        <v/>
      </c>
    </row>
    <row r="1857">
      <c r="A1857" s="1" t="s">
        <v>1876</v>
      </c>
      <c r="B1857" s="2">
        <v>46.0</v>
      </c>
      <c r="C1857" s="4"/>
      <c r="E1857" s="4" t="str">
        <f t="array" ref="E1857">XLOOKUP(A1857,'Fintech, Regulatory Arbitrage, '!A:A,'Fintech, Regulatory Arbitrage, '!C:C,"")</f>
        <v/>
      </c>
    </row>
    <row r="1858">
      <c r="A1858" s="1" t="s">
        <v>1877</v>
      </c>
      <c r="B1858" s="2">
        <v>46.0</v>
      </c>
      <c r="C1858" s="4"/>
      <c r="E1858" s="4" t="str">
        <f t="array" ref="E1858">XLOOKUP(A1858,'Fintech, Regulatory Arbitrage, '!A:A,'Fintech, Regulatory Arbitrage, '!C:C,"")</f>
        <v/>
      </c>
    </row>
    <row r="1859">
      <c r="A1859" s="1" t="s">
        <v>1878</v>
      </c>
      <c r="B1859" s="2">
        <v>46.0</v>
      </c>
      <c r="C1859" s="4"/>
      <c r="E1859" s="4" t="str">
        <f t="array" ref="E1859">XLOOKUP(A1859,'Fintech, Regulatory Arbitrage, '!A:A,'Fintech, Regulatory Arbitrage, '!C:C,"")</f>
        <v/>
      </c>
    </row>
    <row r="1860">
      <c r="A1860" s="1" t="s">
        <v>1879</v>
      </c>
      <c r="B1860" s="2">
        <v>46.0</v>
      </c>
      <c r="C1860" s="4"/>
      <c r="E1860" s="4" t="str">
        <f t="array" ref="E1860">XLOOKUP(A1860,'Fintech, Regulatory Arbitrage, '!A:A,'Fintech, Regulatory Arbitrage, '!C:C,"")</f>
        <v/>
      </c>
    </row>
    <row r="1861">
      <c r="A1861" s="1" t="s">
        <v>1880</v>
      </c>
      <c r="B1861" s="2">
        <v>46.0</v>
      </c>
      <c r="C1861" s="4"/>
      <c r="E1861" s="4" t="str">
        <f t="array" ref="E1861">XLOOKUP(A1861,'Fintech, Regulatory Arbitrage, '!A:A,'Fintech, Regulatory Arbitrage, '!C:C,"")</f>
        <v/>
      </c>
    </row>
    <row r="1862">
      <c r="A1862" s="1" t="s">
        <v>1881</v>
      </c>
      <c r="B1862" s="2">
        <v>45.0</v>
      </c>
      <c r="C1862" s="4"/>
      <c r="E1862" s="4" t="str">
        <f t="array" ref="E1862">XLOOKUP(A1862,'Fintech, Regulatory Arbitrage, '!A:A,'Fintech, Regulatory Arbitrage, '!C:C,"")</f>
        <v/>
      </c>
    </row>
    <row r="1863">
      <c r="A1863" s="1" t="s">
        <v>1882</v>
      </c>
      <c r="B1863" s="2">
        <v>45.0</v>
      </c>
      <c r="C1863" s="4"/>
      <c r="E1863" s="4" t="str">
        <f t="array" ref="E1863">XLOOKUP(A1863,'Fintech, Regulatory Arbitrage, '!A:A,'Fintech, Regulatory Arbitrage, '!C:C,"")</f>
        <v/>
      </c>
    </row>
    <row r="1864">
      <c r="A1864" s="1" t="s">
        <v>1883</v>
      </c>
      <c r="B1864" s="2">
        <v>45.0</v>
      </c>
      <c r="C1864" s="4"/>
      <c r="E1864" s="4" t="str">
        <f t="array" ref="E1864">XLOOKUP(A1864,'Fintech, Regulatory Arbitrage, '!A:A,'Fintech, Regulatory Arbitrage, '!C:C,"")</f>
        <v/>
      </c>
    </row>
    <row r="1865">
      <c r="A1865" s="1" t="s">
        <v>1884</v>
      </c>
      <c r="B1865" s="2">
        <v>45.0</v>
      </c>
      <c r="C1865" s="4"/>
      <c r="E1865" s="4" t="str">
        <f t="array" ref="E1865">XLOOKUP(A1865,'Fintech, Regulatory Arbitrage, '!A:A,'Fintech, Regulatory Arbitrage, '!C:C,"")</f>
        <v/>
      </c>
    </row>
    <row r="1866">
      <c r="A1866" s="1" t="s">
        <v>1885</v>
      </c>
      <c r="B1866" s="2">
        <v>45.0</v>
      </c>
      <c r="C1866" s="4"/>
      <c r="E1866" s="4" t="str">
        <f t="array" ref="E1866">XLOOKUP(A1866,'Fintech, Regulatory Arbitrage, '!A:A,'Fintech, Regulatory Arbitrage, '!C:C,"")</f>
        <v/>
      </c>
    </row>
    <row r="1867">
      <c r="A1867" s="1" t="s">
        <v>1886</v>
      </c>
      <c r="B1867" s="2">
        <v>45.0</v>
      </c>
      <c r="C1867" s="4"/>
      <c r="E1867" s="4" t="str">
        <f t="array" ref="E1867">XLOOKUP(A1867,'Fintech, Regulatory Arbitrage, '!A:A,'Fintech, Regulatory Arbitrage, '!C:C,"")</f>
        <v/>
      </c>
    </row>
    <row r="1868">
      <c r="A1868" s="1" t="s">
        <v>1887</v>
      </c>
      <c r="B1868" s="2">
        <v>45.0</v>
      </c>
      <c r="C1868" s="4"/>
      <c r="E1868" s="4" t="str">
        <f t="array" ref="E1868">XLOOKUP(A1868,'Fintech, Regulatory Arbitrage, '!A:A,'Fintech, Regulatory Arbitrage, '!C:C,"")</f>
        <v/>
      </c>
    </row>
    <row r="1869">
      <c r="A1869" s="1" t="s">
        <v>1888</v>
      </c>
      <c r="B1869" s="2">
        <v>45.0</v>
      </c>
      <c r="C1869" s="4"/>
      <c r="E1869" s="4" t="str">
        <f t="array" ref="E1869">XLOOKUP(A1869,'Fintech, Regulatory Arbitrage, '!A:A,'Fintech, Regulatory Arbitrage, '!C:C,"")</f>
        <v/>
      </c>
    </row>
    <row r="1870">
      <c r="A1870" s="1" t="s">
        <v>1889</v>
      </c>
      <c r="B1870" s="2">
        <v>45.0</v>
      </c>
      <c r="C1870" s="4"/>
      <c r="E1870" s="4" t="str">
        <f t="array" ref="E1870">XLOOKUP(A1870,'Fintech, Regulatory Arbitrage, '!A:A,'Fintech, Regulatory Arbitrage, '!C:C,"")</f>
        <v/>
      </c>
    </row>
    <row r="1871">
      <c r="A1871" s="1" t="s">
        <v>1890</v>
      </c>
      <c r="B1871" s="2">
        <v>45.0</v>
      </c>
      <c r="C1871" s="4"/>
      <c r="E1871" s="4" t="str">
        <f t="array" ref="E1871">XLOOKUP(A1871,'Fintech, Regulatory Arbitrage, '!A:A,'Fintech, Regulatory Arbitrage, '!C:C,"")</f>
        <v/>
      </c>
    </row>
    <row r="1872">
      <c r="A1872" s="1" t="s">
        <v>1891</v>
      </c>
      <c r="B1872" s="2">
        <v>45.0</v>
      </c>
      <c r="C1872" s="4"/>
      <c r="E1872" s="4" t="str">
        <f t="array" ref="E1872">XLOOKUP(A1872,'Fintech, Regulatory Arbitrage, '!A:A,'Fintech, Regulatory Arbitrage, '!C:C,"")</f>
        <v/>
      </c>
    </row>
    <row r="1873">
      <c r="A1873" s="1" t="s">
        <v>1892</v>
      </c>
      <c r="B1873" s="2">
        <v>45.0</v>
      </c>
      <c r="C1873" s="4"/>
      <c r="E1873" s="4" t="str">
        <f t="array" ref="E1873">XLOOKUP(A1873,'Fintech, Regulatory Arbitrage, '!A:A,'Fintech, Regulatory Arbitrage, '!C:C,"")</f>
        <v/>
      </c>
    </row>
    <row r="1874">
      <c r="A1874" s="1" t="s">
        <v>1893</v>
      </c>
      <c r="B1874" s="2">
        <v>45.0</v>
      </c>
      <c r="C1874" s="4"/>
      <c r="E1874" s="4" t="str">
        <f t="array" ref="E1874">XLOOKUP(A1874,'Fintech, Regulatory Arbitrage, '!A:A,'Fintech, Regulatory Arbitrage, '!C:C,"")</f>
        <v/>
      </c>
    </row>
    <row r="1875">
      <c r="A1875" s="1" t="s">
        <v>1894</v>
      </c>
      <c r="B1875" s="2">
        <v>45.0</v>
      </c>
      <c r="C1875" s="4"/>
      <c r="E1875" s="4" t="str">
        <f t="array" ref="E1875">XLOOKUP(A1875,'Fintech, Regulatory Arbitrage, '!A:A,'Fintech, Regulatory Arbitrage, '!C:C,"")</f>
        <v/>
      </c>
    </row>
    <row r="1876">
      <c r="A1876" s="1" t="s">
        <v>1895</v>
      </c>
      <c r="B1876" s="2">
        <v>45.0</v>
      </c>
      <c r="C1876" s="4"/>
      <c r="E1876" s="4" t="str">
        <f t="array" ref="E1876">XLOOKUP(A1876,'Fintech, Regulatory Arbitrage, '!A:A,'Fintech, Regulatory Arbitrage, '!C:C,"")</f>
        <v/>
      </c>
    </row>
    <row r="1877">
      <c r="A1877" s="1" t="s">
        <v>1896</v>
      </c>
      <c r="B1877" s="2">
        <v>45.0</v>
      </c>
      <c r="C1877" s="4"/>
      <c r="E1877" s="4" t="str">
        <f t="array" ref="E1877">XLOOKUP(A1877,'Fintech, Regulatory Arbitrage, '!A:A,'Fintech, Regulatory Arbitrage, '!C:C,"")</f>
        <v/>
      </c>
    </row>
    <row r="1878">
      <c r="A1878" s="1" t="s">
        <v>1897</v>
      </c>
      <c r="B1878" s="2">
        <v>45.0</v>
      </c>
      <c r="C1878" s="4"/>
      <c r="E1878" s="4" t="str">
        <f t="array" ref="E1878">XLOOKUP(A1878,'Fintech, Regulatory Arbitrage, '!A:A,'Fintech, Regulatory Arbitrage, '!C:C,"")</f>
        <v/>
      </c>
    </row>
    <row r="1879">
      <c r="A1879" s="1" t="s">
        <v>1898</v>
      </c>
      <c r="B1879" s="2">
        <v>45.0</v>
      </c>
      <c r="C1879" s="4"/>
      <c r="E1879" s="4" t="str">
        <f t="array" ref="E1879">XLOOKUP(A1879,'Fintech, Regulatory Arbitrage, '!A:A,'Fintech, Regulatory Arbitrage, '!C:C,"")</f>
        <v/>
      </c>
    </row>
    <row r="1880">
      <c r="A1880" s="1" t="s">
        <v>1899</v>
      </c>
      <c r="B1880" s="2">
        <v>45.0</v>
      </c>
      <c r="C1880" s="4"/>
      <c r="E1880" s="4" t="str">
        <f t="array" ref="E1880">XLOOKUP(A1880,'Fintech, Regulatory Arbitrage, '!A:A,'Fintech, Regulatory Arbitrage, '!C:C,"")</f>
        <v/>
      </c>
    </row>
    <row r="1881">
      <c r="A1881" s="1" t="s">
        <v>1900</v>
      </c>
      <c r="B1881" s="2">
        <v>44.0</v>
      </c>
      <c r="C1881" s="4"/>
      <c r="E1881" s="4" t="str">
        <f t="array" ref="E1881">XLOOKUP(A1881,'Fintech, Regulatory Arbitrage, '!A:A,'Fintech, Regulatory Arbitrage, '!C:C,"")</f>
        <v/>
      </c>
    </row>
    <row r="1882">
      <c r="A1882" s="1" t="s">
        <v>1901</v>
      </c>
      <c r="B1882" s="2">
        <v>44.0</v>
      </c>
      <c r="C1882" s="4"/>
      <c r="E1882" s="4" t="str">
        <f t="array" ref="E1882">XLOOKUP(A1882,'Fintech, Regulatory Arbitrage, '!A:A,'Fintech, Regulatory Arbitrage, '!C:C,"")</f>
        <v/>
      </c>
    </row>
    <row r="1883">
      <c r="A1883" s="1" t="s">
        <v>1902</v>
      </c>
      <c r="B1883" s="2">
        <v>44.0</v>
      </c>
      <c r="C1883" s="4"/>
      <c r="E1883" s="4" t="str">
        <f t="array" ref="E1883">XLOOKUP(A1883,'Fintech, Regulatory Arbitrage, '!A:A,'Fintech, Regulatory Arbitrage, '!C:C,"")</f>
        <v/>
      </c>
    </row>
    <row r="1884">
      <c r="A1884" s="1" t="s">
        <v>1903</v>
      </c>
      <c r="B1884" s="2">
        <v>44.0</v>
      </c>
      <c r="C1884" s="4"/>
      <c r="E1884" s="4" t="str">
        <f t="array" ref="E1884">XLOOKUP(A1884,'Fintech, Regulatory Arbitrage, '!A:A,'Fintech, Regulatory Arbitrage, '!C:C,"")</f>
        <v/>
      </c>
    </row>
    <row r="1885">
      <c r="A1885" s="1" t="s">
        <v>1904</v>
      </c>
      <c r="B1885" s="2">
        <v>44.0</v>
      </c>
      <c r="C1885" s="4"/>
      <c r="E1885" s="4" t="str">
        <f t="array" ref="E1885">XLOOKUP(A1885,'Fintech, Regulatory Arbitrage, '!A:A,'Fintech, Regulatory Arbitrage, '!C:C,"")</f>
        <v/>
      </c>
    </row>
    <row r="1886">
      <c r="A1886" s="1" t="s">
        <v>1905</v>
      </c>
      <c r="B1886" s="2">
        <v>44.0</v>
      </c>
      <c r="C1886" s="4"/>
      <c r="E1886" s="4" t="str">
        <f t="array" ref="E1886">XLOOKUP(A1886,'Fintech, Regulatory Arbitrage, '!A:A,'Fintech, Regulatory Arbitrage, '!C:C,"")</f>
        <v/>
      </c>
    </row>
    <row r="1887">
      <c r="A1887" s="1" t="s">
        <v>1906</v>
      </c>
      <c r="B1887" s="2">
        <v>44.0</v>
      </c>
      <c r="C1887" s="4"/>
      <c r="E1887" s="4" t="str">
        <f t="array" ref="E1887">XLOOKUP(A1887,'Fintech, Regulatory Arbitrage, '!A:A,'Fintech, Regulatory Arbitrage, '!C:C,"")</f>
        <v/>
      </c>
    </row>
    <row r="1888">
      <c r="A1888" s="1" t="s">
        <v>1907</v>
      </c>
      <c r="B1888" s="2">
        <v>44.0</v>
      </c>
      <c r="C1888" s="4"/>
      <c r="E1888" s="4" t="str">
        <f t="array" ref="E1888">XLOOKUP(A1888,'Fintech, Regulatory Arbitrage, '!A:A,'Fintech, Regulatory Arbitrage, '!C:C,"")</f>
        <v/>
      </c>
    </row>
    <row r="1889">
      <c r="A1889" s="1" t="s">
        <v>1908</v>
      </c>
      <c r="B1889" s="2">
        <v>44.0</v>
      </c>
      <c r="C1889" s="4"/>
      <c r="E1889" s="4" t="str">
        <f t="array" ref="E1889">XLOOKUP(A1889,'Fintech, Regulatory Arbitrage, '!A:A,'Fintech, Regulatory Arbitrage, '!C:C,"")</f>
        <v/>
      </c>
    </row>
    <row r="1890">
      <c r="A1890" s="1" t="s">
        <v>1909</v>
      </c>
      <c r="B1890" s="2">
        <v>44.0</v>
      </c>
      <c r="C1890" s="4"/>
      <c r="E1890" s="4" t="str">
        <f t="array" ref="E1890">XLOOKUP(A1890,'Fintech, Regulatory Arbitrage, '!A:A,'Fintech, Regulatory Arbitrage, '!C:C,"")</f>
        <v/>
      </c>
    </row>
    <row r="1891">
      <c r="A1891" s="1" t="s">
        <v>1910</v>
      </c>
      <c r="B1891" s="2">
        <v>44.0</v>
      </c>
      <c r="C1891" s="4"/>
      <c r="E1891" s="4" t="str">
        <f t="array" ref="E1891">XLOOKUP(A1891,'Fintech, Regulatory Arbitrage, '!A:A,'Fintech, Regulatory Arbitrage, '!C:C,"")</f>
        <v/>
      </c>
    </row>
    <row r="1892">
      <c r="A1892" s="1" t="s">
        <v>1911</v>
      </c>
      <c r="B1892" s="2">
        <v>44.0</v>
      </c>
      <c r="C1892" s="4"/>
      <c r="E1892" s="4" t="str">
        <f t="array" ref="E1892">XLOOKUP(A1892,'Fintech, Regulatory Arbitrage, '!A:A,'Fintech, Regulatory Arbitrage, '!C:C,"")</f>
        <v/>
      </c>
    </row>
    <row r="1893">
      <c r="A1893" s="1" t="s">
        <v>1912</v>
      </c>
      <c r="B1893" s="2">
        <v>44.0</v>
      </c>
      <c r="C1893" s="4"/>
      <c r="E1893" s="4" t="str">
        <f t="array" ref="E1893">XLOOKUP(A1893,'Fintech, Regulatory Arbitrage, '!A:A,'Fintech, Regulatory Arbitrage, '!C:C,"")</f>
        <v/>
      </c>
    </row>
    <row r="1894">
      <c r="A1894" s="1" t="s">
        <v>1913</v>
      </c>
      <c r="B1894" s="2">
        <v>44.0</v>
      </c>
      <c r="C1894" s="4"/>
      <c r="E1894" s="4" t="str">
        <f t="array" ref="E1894">XLOOKUP(A1894,'Fintech, Regulatory Arbitrage, '!A:A,'Fintech, Regulatory Arbitrage, '!C:C,"")</f>
        <v/>
      </c>
    </row>
    <row r="1895">
      <c r="A1895" s="1" t="s">
        <v>1914</v>
      </c>
      <c r="B1895" s="2">
        <v>44.0</v>
      </c>
      <c r="C1895" s="4"/>
      <c r="E1895" s="4" t="str">
        <f t="array" ref="E1895">XLOOKUP(A1895,'Fintech, Regulatory Arbitrage, '!A:A,'Fintech, Regulatory Arbitrage, '!C:C,"")</f>
        <v/>
      </c>
    </row>
    <row r="1896">
      <c r="A1896" s="1" t="s">
        <v>1915</v>
      </c>
      <c r="B1896" s="2">
        <v>44.0</v>
      </c>
      <c r="C1896" s="4"/>
      <c r="E1896" s="4" t="str">
        <f t="array" ref="E1896">XLOOKUP(A1896,'Fintech, Regulatory Arbitrage, '!A:A,'Fintech, Regulatory Arbitrage, '!C:C,"")</f>
        <v/>
      </c>
    </row>
    <row r="1897">
      <c r="A1897" s="1" t="s">
        <v>1916</v>
      </c>
      <c r="B1897" s="2">
        <v>44.0</v>
      </c>
      <c r="C1897" s="4"/>
      <c r="E1897" s="4" t="str">
        <f t="array" ref="E1897">XLOOKUP(A1897,'Fintech, Regulatory Arbitrage, '!A:A,'Fintech, Regulatory Arbitrage, '!C:C,"")</f>
        <v/>
      </c>
    </row>
    <row r="1898">
      <c r="A1898" s="1" t="s">
        <v>1917</v>
      </c>
      <c r="B1898" s="2">
        <v>44.0</v>
      </c>
      <c r="C1898" s="4"/>
      <c r="E1898" s="4" t="str">
        <f t="array" ref="E1898">XLOOKUP(A1898,'Fintech, Regulatory Arbitrage, '!A:A,'Fintech, Regulatory Arbitrage, '!C:C,"")</f>
        <v/>
      </c>
    </row>
    <row r="1899">
      <c r="A1899" s="1" t="s">
        <v>1918</v>
      </c>
      <c r="B1899" s="2">
        <v>44.0</v>
      </c>
      <c r="C1899" s="4"/>
      <c r="E1899" s="4" t="str">
        <f t="array" ref="E1899">XLOOKUP(A1899,'Fintech, Regulatory Arbitrage, '!A:A,'Fintech, Regulatory Arbitrage, '!C:C,"")</f>
        <v/>
      </c>
    </row>
    <row r="1900">
      <c r="A1900" s="1" t="s">
        <v>1919</v>
      </c>
      <c r="B1900" s="2">
        <v>44.0</v>
      </c>
      <c r="C1900" s="4"/>
      <c r="E1900" s="4" t="str">
        <f t="array" ref="E1900">XLOOKUP(A1900,'Fintech, Regulatory Arbitrage, '!A:A,'Fintech, Regulatory Arbitrage, '!C:C,"")</f>
        <v/>
      </c>
    </row>
    <row r="1901">
      <c r="A1901" s="1" t="s">
        <v>1920</v>
      </c>
      <c r="B1901" s="2">
        <v>44.0</v>
      </c>
      <c r="C1901" s="4"/>
      <c r="E1901" s="4" t="str">
        <f t="array" ref="E1901">XLOOKUP(A1901,'Fintech, Regulatory Arbitrage, '!A:A,'Fintech, Regulatory Arbitrage, '!C:C,"")</f>
        <v/>
      </c>
    </row>
    <row r="1902">
      <c r="A1902" s="1" t="s">
        <v>1921</v>
      </c>
      <c r="B1902" s="2">
        <v>44.0</v>
      </c>
      <c r="C1902" s="4"/>
      <c r="E1902" s="4" t="str">
        <f t="array" ref="E1902">XLOOKUP(A1902,'Fintech, Regulatory Arbitrage, '!A:A,'Fintech, Regulatory Arbitrage, '!C:C,"")</f>
        <v/>
      </c>
    </row>
    <row r="1903">
      <c r="A1903" s="1" t="s">
        <v>1922</v>
      </c>
      <c r="B1903" s="2">
        <v>44.0</v>
      </c>
      <c r="C1903" s="4"/>
      <c r="E1903" s="4" t="str">
        <f t="array" ref="E1903">XLOOKUP(A1903,'Fintech, Regulatory Arbitrage, '!A:A,'Fintech, Regulatory Arbitrage, '!C:C,"")</f>
        <v/>
      </c>
    </row>
    <row r="1904">
      <c r="A1904" s="1" t="s">
        <v>1923</v>
      </c>
      <c r="B1904" s="2">
        <v>44.0</v>
      </c>
      <c r="C1904" s="4"/>
      <c r="E1904" s="4" t="str">
        <f t="array" ref="E1904">XLOOKUP(A1904,'Fintech, Regulatory Arbitrage, '!A:A,'Fintech, Regulatory Arbitrage, '!C:C,"")</f>
        <v/>
      </c>
    </row>
    <row r="1905">
      <c r="A1905" s="1" t="s">
        <v>1924</v>
      </c>
      <c r="B1905" s="2">
        <v>44.0</v>
      </c>
      <c r="C1905" s="4"/>
      <c r="E1905" s="4" t="str">
        <f t="array" ref="E1905">XLOOKUP(A1905,'Fintech, Regulatory Arbitrage, '!A:A,'Fintech, Regulatory Arbitrage, '!C:C,"")</f>
        <v/>
      </c>
    </row>
    <row r="1906">
      <c r="A1906" s="1" t="s">
        <v>1925</v>
      </c>
      <c r="B1906" s="2">
        <v>43.0</v>
      </c>
      <c r="C1906" s="4"/>
      <c r="E1906" s="4" t="str">
        <f t="array" ref="E1906">XLOOKUP(A1906,'Fintech, Regulatory Arbitrage, '!A:A,'Fintech, Regulatory Arbitrage, '!C:C,"")</f>
        <v/>
      </c>
    </row>
    <row r="1907">
      <c r="A1907" s="1" t="s">
        <v>1926</v>
      </c>
      <c r="B1907" s="2">
        <v>43.0</v>
      </c>
      <c r="C1907" s="4"/>
      <c r="E1907" s="4" t="str">
        <f t="array" ref="E1907">XLOOKUP(A1907,'Fintech, Regulatory Arbitrage, '!A:A,'Fintech, Regulatory Arbitrage, '!C:C,"")</f>
        <v/>
      </c>
    </row>
    <row r="1908">
      <c r="A1908" s="1" t="s">
        <v>1927</v>
      </c>
      <c r="B1908" s="2">
        <v>43.0</v>
      </c>
      <c r="C1908" s="4"/>
      <c r="E1908" s="4" t="str">
        <f t="array" ref="E1908">XLOOKUP(A1908,'Fintech, Regulatory Arbitrage, '!A:A,'Fintech, Regulatory Arbitrage, '!C:C,"")</f>
        <v/>
      </c>
    </row>
    <row r="1909">
      <c r="A1909" s="1" t="s">
        <v>1928</v>
      </c>
      <c r="B1909" s="2">
        <v>43.0</v>
      </c>
      <c r="C1909" s="4"/>
      <c r="E1909" s="4" t="str">
        <f t="array" ref="E1909">XLOOKUP(A1909,'Fintech, Regulatory Arbitrage, '!A:A,'Fintech, Regulatory Arbitrage, '!C:C,"")</f>
        <v/>
      </c>
    </row>
    <row r="1910">
      <c r="A1910" s="1" t="s">
        <v>1929</v>
      </c>
      <c r="B1910" s="2">
        <v>43.0</v>
      </c>
      <c r="C1910" s="4"/>
      <c r="E1910" s="4" t="str">
        <f t="array" ref="E1910">XLOOKUP(A1910,'Fintech, Regulatory Arbitrage, '!A:A,'Fintech, Regulatory Arbitrage, '!C:C,"")</f>
        <v/>
      </c>
    </row>
    <row r="1911">
      <c r="A1911" s="1" t="s">
        <v>1930</v>
      </c>
      <c r="B1911" s="2">
        <v>43.0</v>
      </c>
      <c r="C1911" s="4"/>
      <c r="E1911" s="4" t="str">
        <f t="array" ref="E1911">XLOOKUP(A1911,'Fintech, Regulatory Arbitrage, '!A:A,'Fintech, Regulatory Arbitrage, '!C:C,"")</f>
        <v/>
      </c>
    </row>
    <row r="1912">
      <c r="A1912" s="1" t="s">
        <v>1931</v>
      </c>
      <c r="B1912" s="2">
        <v>43.0</v>
      </c>
      <c r="C1912" s="4"/>
      <c r="E1912" s="4" t="str">
        <f t="array" ref="E1912">XLOOKUP(A1912,'Fintech, Regulatory Arbitrage, '!A:A,'Fintech, Regulatory Arbitrage, '!C:C,"")</f>
        <v/>
      </c>
    </row>
    <row r="1913">
      <c r="A1913" s="1" t="s">
        <v>1932</v>
      </c>
      <c r="B1913" s="2">
        <v>43.0</v>
      </c>
      <c r="C1913" s="4"/>
      <c r="E1913" s="4" t="str">
        <f t="array" ref="E1913">XLOOKUP(A1913,'Fintech, Regulatory Arbitrage, '!A:A,'Fintech, Regulatory Arbitrage, '!C:C,"")</f>
        <v/>
      </c>
    </row>
    <row r="1914">
      <c r="A1914" s="1" t="s">
        <v>1933</v>
      </c>
      <c r="B1914" s="2">
        <v>43.0</v>
      </c>
      <c r="C1914" s="4"/>
      <c r="E1914" s="4" t="str">
        <f t="array" ref="E1914">XLOOKUP(A1914,'Fintech, Regulatory Arbitrage, '!A:A,'Fintech, Regulatory Arbitrage, '!C:C,"")</f>
        <v/>
      </c>
    </row>
    <row r="1915">
      <c r="A1915" s="1" t="s">
        <v>1934</v>
      </c>
      <c r="B1915" s="2">
        <v>43.0</v>
      </c>
      <c r="C1915" s="4"/>
      <c r="E1915" s="4" t="str">
        <f t="array" ref="E1915">XLOOKUP(A1915,'Fintech, Regulatory Arbitrage, '!A:A,'Fintech, Regulatory Arbitrage, '!C:C,"")</f>
        <v/>
      </c>
    </row>
    <row r="1916">
      <c r="A1916" s="1" t="s">
        <v>1935</v>
      </c>
      <c r="B1916" s="2">
        <v>43.0</v>
      </c>
      <c r="C1916" s="4"/>
      <c r="E1916" s="4" t="str">
        <f t="array" ref="E1916">XLOOKUP(A1916,'Fintech, Regulatory Arbitrage, '!A:A,'Fintech, Regulatory Arbitrage, '!C:C,"")</f>
        <v/>
      </c>
    </row>
    <row r="1917">
      <c r="A1917" s="1" t="s">
        <v>1936</v>
      </c>
      <c r="B1917" s="2">
        <v>43.0</v>
      </c>
      <c r="C1917" s="4"/>
      <c r="E1917" s="4" t="str">
        <f t="array" ref="E1917">XLOOKUP(A1917,'Fintech, Regulatory Arbitrage, '!A:A,'Fintech, Regulatory Arbitrage, '!C:C,"")</f>
        <v/>
      </c>
    </row>
    <row r="1918">
      <c r="A1918" s="1" t="s">
        <v>1937</v>
      </c>
      <c r="B1918" s="2">
        <v>43.0</v>
      </c>
      <c r="C1918" s="4"/>
      <c r="E1918" s="4" t="str">
        <f t="array" ref="E1918">XLOOKUP(A1918,'Fintech, Regulatory Arbitrage, '!A:A,'Fintech, Regulatory Arbitrage, '!C:C,"")</f>
        <v/>
      </c>
    </row>
    <row r="1919">
      <c r="A1919" s="1" t="s">
        <v>1938</v>
      </c>
      <c r="B1919" s="2">
        <v>43.0</v>
      </c>
      <c r="C1919" s="4"/>
      <c r="E1919" s="4" t="str">
        <f t="array" ref="E1919">XLOOKUP(A1919,'Fintech, Regulatory Arbitrage, '!A:A,'Fintech, Regulatory Arbitrage, '!C:C,"")</f>
        <v/>
      </c>
    </row>
    <row r="1920">
      <c r="A1920" s="1" t="s">
        <v>1939</v>
      </c>
      <c r="B1920" s="2">
        <v>43.0</v>
      </c>
      <c r="C1920" s="4"/>
      <c r="E1920" s="4" t="str">
        <f t="array" ref="E1920">XLOOKUP(A1920,'Fintech, Regulatory Arbitrage, '!A:A,'Fintech, Regulatory Arbitrage, '!C:C,"")</f>
        <v/>
      </c>
    </row>
    <row r="1921">
      <c r="A1921" s="1" t="s">
        <v>1940</v>
      </c>
      <c r="B1921" s="2">
        <v>43.0</v>
      </c>
      <c r="C1921" s="4"/>
      <c r="E1921" s="4" t="str">
        <f t="array" ref="E1921">XLOOKUP(A1921,'Fintech, Regulatory Arbitrage, '!A:A,'Fintech, Regulatory Arbitrage, '!C:C,"")</f>
        <v/>
      </c>
    </row>
    <row r="1922">
      <c r="A1922" s="1" t="s">
        <v>1941</v>
      </c>
      <c r="B1922" s="2">
        <v>43.0</v>
      </c>
      <c r="C1922" s="4"/>
      <c r="E1922" s="4" t="str">
        <f t="array" ref="E1922">XLOOKUP(A1922,'Fintech, Regulatory Arbitrage, '!A:A,'Fintech, Regulatory Arbitrage, '!C:C,"")</f>
        <v/>
      </c>
    </row>
    <row r="1923">
      <c r="A1923" s="1" t="s">
        <v>1942</v>
      </c>
      <c r="B1923" s="2">
        <v>43.0</v>
      </c>
      <c r="C1923" s="4"/>
      <c r="E1923" s="4" t="str">
        <f t="array" ref="E1923">XLOOKUP(A1923,'Fintech, Regulatory Arbitrage, '!A:A,'Fintech, Regulatory Arbitrage, '!C:C,"")</f>
        <v/>
      </c>
    </row>
    <row r="1924">
      <c r="A1924" s="1" t="s">
        <v>1943</v>
      </c>
      <c r="B1924" s="2">
        <v>43.0</v>
      </c>
      <c r="C1924" s="4"/>
      <c r="E1924" s="4" t="str">
        <f t="array" ref="E1924">XLOOKUP(A1924,'Fintech, Regulatory Arbitrage, '!A:A,'Fintech, Regulatory Arbitrage, '!C:C,"")</f>
        <v/>
      </c>
    </row>
    <row r="1925">
      <c r="A1925" s="1" t="s">
        <v>1944</v>
      </c>
      <c r="B1925" s="2">
        <v>43.0</v>
      </c>
      <c r="C1925" s="4"/>
      <c r="E1925" s="4" t="str">
        <f t="array" ref="E1925">XLOOKUP(A1925,'Fintech, Regulatory Arbitrage, '!A:A,'Fintech, Regulatory Arbitrage, '!C:C,"")</f>
        <v/>
      </c>
    </row>
    <row r="1926">
      <c r="A1926" s="1" t="s">
        <v>1945</v>
      </c>
      <c r="B1926" s="2">
        <v>43.0</v>
      </c>
      <c r="C1926" s="3" t="s">
        <v>20</v>
      </c>
      <c r="D1926" s="3" t="s">
        <v>56</v>
      </c>
      <c r="E1926" s="4" t="str">
        <f t="array" ref="E1926">XLOOKUP(A1926,'Fintech, Regulatory Arbitrage, '!A:A,'Fintech, Regulatory Arbitrage, '!C:C,"")</f>
        <v/>
      </c>
    </row>
    <row r="1927">
      <c r="A1927" s="1" t="s">
        <v>1946</v>
      </c>
      <c r="B1927" s="2">
        <v>43.0</v>
      </c>
      <c r="C1927" s="4"/>
      <c r="E1927" s="4" t="str">
        <f t="array" ref="E1927">XLOOKUP(A1927,'Fintech, Regulatory Arbitrage, '!A:A,'Fintech, Regulatory Arbitrage, '!C:C,"")</f>
        <v/>
      </c>
    </row>
    <row r="1928">
      <c r="A1928" s="1" t="s">
        <v>1947</v>
      </c>
      <c r="B1928" s="2">
        <v>43.0</v>
      </c>
      <c r="C1928" s="4"/>
      <c r="E1928" s="4" t="str">
        <f t="array" ref="E1928">XLOOKUP(A1928,'Fintech, Regulatory Arbitrage, '!A:A,'Fintech, Regulatory Arbitrage, '!C:C,"")</f>
        <v/>
      </c>
    </row>
    <row r="1929">
      <c r="A1929" s="1" t="s">
        <v>1948</v>
      </c>
      <c r="B1929" s="2">
        <v>43.0</v>
      </c>
      <c r="C1929" s="4"/>
      <c r="E1929" s="4" t="str">
        <f t="array" ref="E1929">XLOOKUP(A1929,'Fintech, Regulatory Arbitrage, '!A:A,'Fintech, Regulatory Arbitrage, '!C:C,"")</f>
        <v/>
      </c>
    </row>
    <row r="1930">
      <c r="A1930" s="1" t="s">
        <v>1949</v>
      </c>
      <c r="B1930" s="2">
        <v>43.0</v>
      </c>
      <c r="C1930" s="4"/>
      <c r="E1930" s="4" t="str">
        <f t="array" ref="E1930">XLOOKUP(A1930,'Fintech, Regulatory Arbitrage, '!A:A,'Fintech, Regulatory Arbitrage, '!C:C,"")</f>
        <v/>
      </c>
    </row>
    <row r="1931">
      <c r="A1931" s="1" t="s">
        <v>1950</v>
      </c>
      <c r="B1931" s="2">
        <v>43.0</v>
      </c>
      <c r="C1931" s="4"/>
      <c r="E1931" s="4" t="str">
        <f t="array" ref="E1931">XLOOKUP(A1931,'Fintech, Regulatory Arbitrage, '!A:A,'Fintech, Regulatory Arbitrage, '!C:C,"")</f>
        <v/>
      </c>
    </row>
    <row r="1932">
      <c r="A1932" s="1" t="s">
        <v>1951</v>
      </c>
      <c r="B1932" s="2">
        <v>42.0</v>
      </c>
      <c r="C1932" s="4"/>
      <c r="E1932" s="4" t="str">
        <f t="array" ref="E1932">XLOOKUP(A1932,'Fintech, Regulatory Arbitrage, '!A:A,'Fintech, Regulatory Arbitrage, '!C:C,"")</f>
        <v/>
      </c>
    </row>
    <row r="1933">
      <c r="A1933" s="1" t="s">
        <v>1952</v>
      </c>
      <c r="B1933" s="2">
        <v>42.0</v>
      </c>
      <c r="C1933" s="4"/>
      <c r="E1933" s="4" t="str">
        <f t="array" ref="E1933">XLOOKUP(A1933,'Fintech, Regulatory Arbitrage, '!A:A,'Fintech, Regulatory Arbitrage, '!C:C,"")</f>
        <v/>
      </c>
    </row>
    <row r="1934">
      <c r="A1934" s="1" t="s">
        <v>1953</v>
      </c>
      <c r="B1934" s="2">
        <v>42.0</v>
      </c>
      <c r="C1934" s="4"/>
      <c r="E1934" s="4" t="str">
        <f t="array" ref="E1934">XLOOKUP(A1934,'Fintech, Regulatory Arbitrage, '!A:A,'Fintech, Regulatory Arbitrage, '!C:C,"")</f>
        <v/>
      </c>
    </row>
    <row r="1935">
      <c r="A1935" s="1" t="s">
        <v>1954</v>
      </c>
      <c r="B1935" s="2">
        <v>42.0</v>
      </c>
      <c r="C1935" s="4"/>
      <c r="E1935" s="4" t="str">
        <f t="array" ref="E1935">XLOOKUP(A1935,'Fintech, Regulatory Arbitrage, '!A:A,'Fintech, Regulatory Arbitrage, '!C:C,"")</f>
        <v/>
      </c>
    </row>
    <row r="1936">
      <c r="A1936" s="1" t="s">
        <v>1955</v>
      </c>
      <c r="B1936" s="2">
        <v>42.0</v>
      </c>
      <c r="C1936" s="4"/>
      <c r="E1936" s="4" t="str">
        <f t="array" ref="E1936">XLOOKUP(A1936,'Fintech, Regulatory Arbitrage, '!A:A,'Fintech, Regulatory Arbitrage, '!C:C,"")</f>
        <v/>
      </c>
    </row>
    <row r="1937">
      <c r="A1937" s="1" t="s">
        <v>1956</v>
      </c>
      <c r="B1937" s="2">
        <v>42.0</v>
      </c>
      <c r="C1937" s="4"/>
      <c r="E1937" s="4" t="str">
        <f t="array" ref="E1937">XLOOKUP(A1937,'Fintech, Regulatory Arbitrage, '!A:A,'Fintech, Regulatory Arbitrage, '!C:C,"")</f>
        <v/>
      </c>
    </row>
    <row r="1938">
      <c r="A1938" s="1" t="s">
        <v>1957</v>
      </c>
      <c r="B1938" s="2">
        <v>42.0</v>
      </c>
      <c r="C1938" s="4"/>
      <c r="E1938" s="4" t="str">
        <f t="array" ref="E1938">XLOOKUP(A1938,'Fintech, Regulatory Arbitrage, '!A:A,'Fintech, Regulatory Arbitrage, '!C:C,"")</f>
        <v/>
      </c>
    </row>
    <row r="1939">
      <c r="A1939" s="1" t="s">
        <v>1958</v>
      </c>
      <c r="B1939" s="2">
        <v>42.0</v>
      </c>
      <c r="C1939" s="4"/>
      <c r="E1939" s="4" t="str">
        <f t="array" ref="E1939">XLOOKUP(A1939,'Fintech, Regulatory Arbitrage, '!A:A,'Fintech, Regulatory Arbitrage, '!C:C,"")</f>
        <v/>
      </c>
    </row>
    <row r="1940">
      <c r="A1940" s="1" t="s">
        <v>1959</v>
      </c>
      <c r="B1940" s="2">
        <v>42.0</v>
      </c>
      <c r="C1940" s="4"/>
      <c r="E1940" s="4" t="str">
        <f t="array" ref="E1940">XLOOKUP(A1940,'Fintech, Regulatory Arbitrage, '!A:A,'Fintech, Regulatory Arbitrage, '!C:C,"")</f>
        <v/>
      </c>
    </row>
    <row r="1941">
      <c r="A1941" s="1" t="s">
        <v>1960</v>
      </c>
      <c r="B1941" s="2">
        <v>42.0</v>
      </c>
      <c r="C1941" s="4"/>
      <c r="E1941" s="4" t="str">
        <f t="array" ref="E1941">XLOOKUP(A1941,'Fintech, Regulatory Arbitrage, '!A:A,'Fintech, Regulatory Arbitrage, '!C:C,"")</f>
        <v/>
      </c>
    </row>
    <row r="1942">
      <c r="A1942" s="1" t="s">
        <v>1961</v>
      </c>
      <c r="B1942" s="2">
        <v>42.0</v>
      </c>
      <c r="C1942" s="4"/>
      <c r="E1942" s="4" t="str">
        <f t="array" ref="E1942">XLOOKUP(A1942,'Fintech, Regulatory Arbitrage, '!A:A,'Fintech, Regulatory Arbitrage, '!C:C,"")</f>
        <v/>
      </c>
    </row>
    <row r="1943">
      <c r="A1943" s="1" t="s">
        <v>1962</v>
      </c>
      <c r="B1943" s="2">
        <v>42.0</v>
      </c>
      <c r="C1943" s="4"/>
      <c r="E1943" s="4" t="str">
        <f t="array" ref="E1943">XLOOKUP(A1943,'Fintech, Regulatory Arbitrage, '!A:A,'Fintech, Regulatory Arbitrage, '!C:C,"")</f>
        <v/>
      </c>
    </row>
    <row r="1944">
      <c r="A1944" s="1" t="s">
        <v>1963</v>
      </c>
      <c r="B1944" s="2">
        <v>42.0</v>
      </c>
      <c r="C1944" s="4"/>
      <c r="E1944" s="4" t="str">
        <f t="array" ref="E1944">XLOOKUP(A1944,'Fintech, Regulatory Arbitrage, '!A:A,'Fintech, Regulatory Arbitrage, '!C:C,"")</f>
        <v/>
      </c>
    </row>
    <row r="1945">
      <c r="A1945" s="1" t="s">
        <v>1964</v>
      </c>
      <c r="B1945" s="2">
        <v>42.0</v>
      </c>
      <c r="C1945" s="4"/>
      <c r="E1945" s="4" t="str">
        <f t="array" ref="E1945">XLOOKUP(A1945,'Fintech, Regulatory Arbitrage, '!A:A,'Fintech, Regulatory Arbitrage, '!C:C,"")</f>
        <v/>
      </c>
    </row>
    <row r="1946">
      <c r="A1946" s="1" t="s">
        <v>1965</v>
      </c>
      <c r="B1946" s="2">
        <v>42.0</v>
      </c>
      <c r="C1946" s="4"/>
      <c r="E1946" s="4" t="str">
        <f t="array" ref="E1946">XLOOKUP(A1946,'Fintech, Regulatory Arbitrage, '!A:A,'Fintech, Regulatory Arbitrage, '!C:C,"")</f>
        <v/>
      </c>
    </row>
    <row r="1947">
      <c r="A1947" s="1" t="s">
        <v>1966</v>
      </c>
      <c r="B1947" s="2">
        <v>42.0</v>
      </c>
      <c r="C1947" s="4"/>
      <c r="E1947" s="4" t="str">
        <f t="array" ref="E1947">XLOOKUP(A1947,'Fintech, Regulatory Arbitrage, '!A:A,'Fintech, Regulatory Arbitrage, '!C:C,"")</f>
        <v/>
      </c>
    </row>
    <row r="1948">
      <c r="A1948" s="1" t="s">
        <v>1967</v>
      </c>
      <c r="B1948" s="2">
        <v>42.0</v>
      </c>
      <c r="C1948" s="4"/>
      <c r="E1948" s="4" t="str">
        <f t="array" ref="E1948">XLOOKUP(A1948,'Fintech, Regulatory Arbitrage, '!A:A,'Fintech, Regulatory Arbitrage, '!C:C,"")</f>
        <v/>
      </c>
    </row>
    <row r="1949">
      <c r="A1949" s="1" t="s">
        <v>1968</v>
      </c>
      <c r="B1949" s="2">
        <v>42.0</v>
      </c>
      <c r="C1949" s="4"/>
      <c r="E1949" s="4" t="str">
        <f t="array" ref="E1949">XLOOKUP(A1949,'Fintech, Regulatory Arbitrage, '!A:A,'Fintech, Regulatory Arbitrage, '!C:C,"")</f>
        <v/>
      </c>
    </row>
    <row r="1950">
      <c r="A1950" s="1" t="s">
        <v>1969</v>
      </c>
      <c r="B1950" s="2">
        <v>42.0</v>
      </c>
      <c r="C1950" s="4"/>
      <c r="E1950" s="4" t="str">
        <f t="array" ref="E1950">XLOOKUP(A1950,'Fintech, Regulatory Arbitrage, '!A:A,'Fintech, Regulatory Arbitrage, '!C:C,"")</f>
        <v/>
      </c>
    </row>
    <row r="1951">
      <c r="A1951" s="1" t="s">
        <v>1970</v>
      </c>
      <c r="B1951" s="2">
        <v>42.0</v>
      </c>
      <c r="C1951" s="4"/>
      <c r="E1951" s="4" t="str">
        <f t="array" ref="E1951">XLOOKUP(A1951,'Fintech, Regulatory Arbitrage, '!A:A,'Fintech, Regulatory Arbitrage, '!C:C,"")</f>
        <v/>
      </c>
    </row>
    <row r="1952">
      <c r="A1952" s="1" t="s">
        <v>1971</v>
      </c>
      <c r="B1952" s="2">
        <v>41.0</v>
      </c>
      <c r="C1952" s="4"/>
      <c r="E1952" s="4" t="str">
        <f t="array" ref="E1952">XLOOKUP(A1952,'Fintech, Regulatory Arbitrage, '!A:A,'Fintech, Regulatory Arbitrage, '!C:C,"")</f>
        <v/>
      </c>
    </row>
    <row r="1953">
      <c r="A1953" s="1" t="s">
        <v>1972</v>
      </c>
      <c r="B1953" s="2">
        <v>41.0</v>
      </c>
      <c r="C1953" s="4"/>
      <c r="E1953" s="4" t="str">
        <f t="array" ref="E1953">XLOOKUP(A1953,'Fintech, Regulatory Arbitrage, '!A:A,'Fintech, Regulatory Arbitrage, '!C:C,"")</f>
        <v/>
      </c>
    </row>
    <row r="1954">
      <c r="A1954" s="1" t="s">
        <v>1973</v>
      </c>
      <c r="B1954" s="2">
        <v>41.0</v>
      </c>
      <c r="C1954" s="4"/>
      <c r="E1954" s="4" t="str">
        <f t="array" ref="E1954">XLOOKUP(A1954,'Fintech, Regulatory Arbitrage, '!A:A,'Fintech, Regulatory Arbitrage, '!C:C,"")</f>
        <v/>
      </c>
    </row>
    <row r="1955">
      <c r="A1955" s="1" t="s">
        <v>1974</v>
      </c>
      <c r="B1955" s="2">
        <v>41.0</v>
      </c>
      <c r="C1955" s="4"/>
      <c r="E1955" s="4" t="str">
        <f t="array" ref="E1955">XLOOKUP(A1955,'Fintech, Regulatory Arbitrage, '!A:A,'Fintech, Regulatory Arbitrage, '!C:C,"")</f>
        <v/>
      </c>
    </row>
    <row r="1956">
      <c r="A1956" s="1" t="s">
        <v>1975</v>
      </c>
      <c r="B1956" s="2">
        <v>41.0</v>
      </c>
      <c r="C1956" s="4"/>
      <c r="E1956" s="4" t="str">
        <f t="array" ref="E1956">XLOOKUP(A1956,'Fintech, Regulatory Arbitrage, '!A:A,'Fintech, Regulatory Arbitrage, '!C:C,"")</f>
        <v/>
      </c>
    </row>
    <row r="1957">
      <c r="A1957" s="1" t="s">
        <v>1976</v>
      </c>
      <c r="B1957" s="2">
        <v>41.0</v>
      </c>
      <c r="C1957" s="4"/>
      <c r="E1957" s="4" t="str">
        <f t="array" ref="E1957">XLOOKUP(A1957,'Fintech, Regulatory Arbitrage, '!A:A,'Fintech, Regulatory Arbitrage, '!C:C,"")</f>
        <v/>
      </c>
    </row>
    <row r="1958">
      <c r="A1958" s="1" t="s">
        <v>1977</v>
      </c>
      <c r="B1958" s="2">
        <v>41.0</v>
      </c>
      <c r="C1958" s="4"/>
      <c r="E1958" s="4" t="str">
        <f t="array" ref="E1958">XLOOKUP(A1958,'Fintech, Regulatory Arbitrage, '!A:A,'Fintech, Regulatory Arbitrage, '!C:C,"")</f>
        <v/>
      </c>
    </row>
    <row r="1959">
      <c r="A1959" s="1" t="s">
        <v>1978</v>
      </c>
      <c r="B1959" s="2">
        <v>41.0</v>
      </c>
      <c r="C1959" s="4"/>
      <c r="E1959" s="4" t="str">
        <f t="array" ref="E1959">XLOOKUP(A1959,'Fintech, Regulatory Arbitrage, '!A:A,'Fintech, Regulatory Arbitrage, '!C:C,"")</f>
        <v/>
      </c>
    </row>
    <row r="1960">
      <c r="A1960" s="1" t="s">
        <v>1979</v>
      </c>
      <c r="B1960" s="2">
        <v>41.0</v>
      </c>
      <c r="C1960" s="4"/>
      <c r="E1960" s="4" t="str">
        <f t="array" ref="E1960">XLOOKUP(A1960,'Fintech, Regulatory Arbitrage, '!A:A,'Fintech, Regulatory Arbitrage, '!C:C,"")</f>
        <v/>
      </c>
    </row>
    <row r="1961">
      <c r="A1961" s="1" t="s">
        <v>1980</v>
      </c>
      <c r="B1961" s="2">
        <v>41.0</v>
      </c>
      <c r="C1961" s="4"/>
      <c r="E1961" s="4" t="str">
        <f t="array" ref="E1961">XLOOKUP(A1961,'Fintech, Regulatory Arbitrage, '!A:A,'Fintech, Regulatory Arbitrage, '!C:C,"")</f>
        <v/>
      </c>
    </row>
    <row r="1962">
      <c r="A1962" s="1" t="s">
        <v>1981</v>
      </c>
      <c r="B1962" s="2">
        <v>41.0</v>
      </c>
      <c r="C1962" s="4"/>
      <c r="E1962" s="4" t="str">
        <f t="array" ref="E1962">XLOOKUP(A1962,'Fintech, Regulatory Arbitrage, '!A:A,'Fintech, Regulatory Arbitrage, '!C:C,"")</f>
        <v/>
      </c>
    </row>
    <row r="1963">
      <c r="A1963" s="1" t="s">
        <v>1982</v>
      </c>
      <c r="B1963" s="2">
        <v>41.0</v>
      </c>
      <c r="C1963" s="4"/>
      <c r="E1963" s="4" t="str">
        <f t="array" ref="E1963">XLOOKUP(A1963,'Fintech, Regulatory Arbitrage, '!A:A,'Fintech, Regulatory Arbitrage, '!C:C,"")</f>
        <v/>
      </c>
    </row>
    <row r="1964">
      <c r="A1964" s="1" t="s">
        <v>1983</v>
      </c>
      <c r="B1964" s="2">
        <v>41.0</v>
      </c>
      <c r="C1964" s="4"/>
      <c r="E1964" s="4" t="str">
        <f t="array" ref="E1964">XLOOKUP(A1964,'Fintech, Regulatory Arbitrage, '!A:A,'Fintech, Regulatory Arbitrage, '!C:C,"")</f>
        <v/>
      </c>
    </row>
    <row r="1965">
      <c r="A1965" s="1" t="s">
        <v>1984</v>
      </c>
      <c r="B1965" s="2">
        <v>41.0</v>
      </c>
      <c r="C1965" s="4"/>
      <c r="E1965" s="4" t="str">
        <f t="array" ref="E1965">XLOOKUP(A1965,'Fintech, Regulatory Arbitrage, '!A:A,'Fintech, Regulatory Arbitrage, '!C:C,"")</f>
        <v/>
      </c>
    </row>
    <row r="1966">
      <c r="A1966" s="1" t="s">
        <v>1985</v>
      </c>
      <c r="B1966" s="2">
        <v>41.0</v>
      </c>
      <c r="C1966" s="4"/>
      <c r="E1966" s="4" t="str">
        <f t="array" ref="E1966">XLOOKUP(A1966,'Fintech, Regulatory Arbitrage, '!A:A,'Fintech, Regulatory Arbitrage, '!C:C,"")</f>
        <v/>
      </c>
    </row>
    <row r="1967">
      <c r="A1967" s="1" t="s">
        <v>1986</v>
      </c>
      <c r="B1967" s="2">
        <v>41.0</v>
      </c>
      <c r="C1967" s="4"/>
      <c r="E1967" s="4" t="str">
        <f t="array" ref="E1967">XLOOKUP(A1967,'Fintech, Regulatory Arbitrage, '!A:A,'Fintech, Regulatory Arbitrage, '!C:C,"")</f>
        <v/>
      </c>
    </row>
    <row r="1968">
      <c r="A1968" s="1" t="s">
        <v>1987</v>
      </c>
      <c r="B1968" s="2">
        <v>41.0</v>
      </c>
      <c r="C1968" s="4"/>
      <c r="E1968" s="4" t="str">
        <f t="array" ref="E1968">XLOOKUP(A1968,'Fintech, Regulatory Arbitrage, '!A:A,'Fintech, Regulatory Arbitrage, '!C:C,"")</f>
        <v/>
      </c>
    </row>
    <row r="1969">
      <c r="A1969" s="1" t="s">
        <v>1988</v>
      </c>
      <c r="B1969" s="2">
        <v>41.0</v>
      </c>
      <c r="C1969" s="4"/>
      <c r="E1969" s="4" t="str">
        <f t="array" ref="E1969">XLOOKUP(A1969,'Fintech, Regulatory Arbitrage, '!A:A,'Fintech, Regulatory Arbitrage, '!C:C,"")</f>
        <v/>
      </c>
    </row>
    <row r="1970">
      <c r="A1970" s="1" t="s">
        <v>1989</v>
      </c>
      <c r="B1970" s="2">
        <v>41.0</v>
      </c>
      <c r="C1970" s="4"/>
      <c r="E1970" s="4" t="str">
        <f t="array" ref="E1970">XLOOKUP(A1970,'Fintech, Regulatory Arbitrage, '!A:A,'Fintech, Regulatory Arbitrage, '!C:C,"")</f>
        <v/>
      </c>
    </row>
    <row r="1971">
      <c r="A1971" s="1" t="s">
        <v>1990</v>
      </c>
      <c r="B1971" s="2">
        <v>41.0</v>
      </c>
      <c r="C1971" s="4"/>
      <c r="E1971" s="4" t="str">
        <f t="array" ref="E1971">XLOOKUP(A1971,'Fintech, Regulatory Arbitrage, '!A:A,'Fintech, Regulatory Arbitrage, '!C:C,"")</f>
        <v/>
      </c>
    </row>
    <row r="1972">
      <c r="A1972" s="1" t="s">
        <v>1991</v>
      </c>
      <c r="B1972" s="2">
        <v>41.0</v>
      </c>
      <c r="C1972" s="4"/>
      <c r="E1972" s="4" t="str">
        <f t="array" ref="E1972">XLOOKUP(A1972,'Fintech, Regulatory Arbitrage, '!A:A,'Fintech, Regulatory Arbitrage, '!C:C,"")</f>
        <v/>
      </c>
    </row>
    <row r="1973">
      <c r="A1973" s="1" t="s">
        <v>1992</v>
      </c>
      <c r="B1973" s="2">
        <v>41.0</v>
      </c>
      <c r="C1973" s="4"/>
      <c r="E1973" s="4" t="str">
        <f t="array" ref="E1973">XLOOKUP(A1973,'Fintech, Regulatory Arbitrage, '!A:A,'Fintech, Regulatory Arbitrage, '!C:C,"")</f>
        <v/>
      </c>
    </row>
    <row r="1974">
      <c r="A1974" s="1" t="s">
        <v>1993</v>
      </c>
      <c r="B1974" s="2">
        <v>41.0</v>
      </c>
      <c r="C1974" s="4"/>
      <c r="E1974" s="4" t="str">
        <f t="array" ref="E1974">XLOOKUP(A1974,'Fintech, Regulatory Arbitrage, '!A:A,'Fintech, Regulatory Arbitrage, '!C:C,"")</f>
        <v/>
      </c>
    </row>
    <row r="1975">
      <c r="A1975" s="1" t="s">
        <v>1994</v>
      </c>
      <c r="B1975" s="2">
        <v>41.0</v>
      </c>
      <c r="C1975" s="4"/>
      <c r="E1975" s="4" t="str">
        <f t="array" ref="E1975">XLOOKUP(A1975,'Fintech, Regulatory Arbitrage, '!A:A,'Fintech, Regulatory Arbitrage, '!C:C,"")</f>
        <v/>
      </c>
    </row>
    <row r="1976">
      <c r="A1976" s="1" t="s">
        <v>1995</v>
      </c>
      <c r="B1976" s="2">
        <v>41.0</v>
      </c>
      <c r="C1976" s="4"/>
      <c r="E1976" s="4" t="str">
        <f t="array" ref="E1976">XLOOKUP(A1976,'Fintech, Regulatory Arbitrage, '!A:A,'Fintech, Regulatory Arbitrage, '!C:C,"")</f>
        <v/>
      </c>
    </row>
    <row r="1977">
      <c r="A1977" s="1" t="s">
        <v>1996</v>
      </c>
      <c r="B1977" s="2">
        <v>40.0</v>
      </c>
      <c r="C1977" s="4"/>
      <c r="E1977" s="4" t="str">
        <f t="array" ref="E1977">XLOOKUP(A1977,'Fintech, Regulatory Arbitrage, '!A:A,'Fintech, Regulatory Arbitrage, '!C:C,"")</f>
        <v/>
      </c>
    </row>
    <row r="1978">
      <c r="A1978" s="1" t="s">
        <v>1997</v>
      </c>
      <c r="B1978" s="2">
        <v>40.0</v>
      </c>
      <c r="C1978" s="4"/>
      <c r="E1978" s="4" t="str">
        <f t="array" ref="E1978">XLOOKUP(A1978,'Fintech, Regulatory Arbitrage, '!A:A,'Fintech, Regulatory Arbitrage, '!C:C,"")</f>
        <v/>
      </c>
    </row>
    <row r="1979">
      <c r="A1979" s="1" t="s">
        <v>1998</v>
      </c>
      <c r="B1979" s="2">
        <v>40.0</v>
      </c>
      <c r="C1979" s="4"/>
      <c r="E1979" s="4" t="str">
        <f t="array" ref="E1979">XLOOKUP(A1979,'Fintech, Regulatory Arbitrage, '!A:A,'Fintech, Regulatory Arbitrage, '!C:C,"")</f>
        <v/>
      </c>
    </row>
    <row r="1980">
      <c r="A1980" s="1" t="s">
        <v>1999</v>
      </c>
      <c r="B1980" s="2">
        <v>40.0</v>
      </c>
      <c r="C1980" s="4"/>
      <c r="E1980" s="4" t="str">
        <f t="array" ref="E1980">XLOOKUP(A1980,'Fintech, Regulatory Arbitrage, '!A:A,'Fintech, Regulatory Arbitrage, '!C:C,"")</f>
        <v/>
      </c>
    </row>
    <row r="1981">
      <c r="A1981" s="1" t="s">
        <v>2000</v>
      </c>
      <c r="B1981" s="2">
        <v>40.0</v>
      </c>
      <c r="C1981" s="4"/>
      <c r="E1981" s="4" t="str">
        <f t="array" ref="E1981">XLOOKUP(A1981,'Fintech, Regulatory Arbitrage, '!A:A,'Fintech, Regulatory Arbitrage, '!C:C,"")</f>
        <v/>
      </c>
    </row>
    <row r="1982">
      <c r="A1982" s="1" t="s">
        <v>2001</v>
      </c>
      <c r="B1982" s="2">
        <v>40.0</v>
      </c>
      <c r="C1982" s="4"/>
      <c r="E1982" s="4" t="str">
        <f t="array" ref="E1982">XLOOKUP(A1982,'Fintech, Regulatory Arbitrage, '!A:A,'Fintech, Regulatory Arbitrage, '!C:C,"")</f>
        <v/>
      </c>
    </row>
    <row r="1983">
      <c r="A1983" s="1" t="s">
        <v>2002</v>
      </c>
      <c r="B1983" s="2">
        <v>40.0</v>
      </c>
      <c r="C1983" s="4"/>
      <c r="E1983" s="4" t="str">
        <f t="array" ref="E1983">XLOOKUP(A1983,'Fintech, Regulatory Arbitrage, '!A:A,'Fintech, Regulatory Arbitrage, '!C:C,"")</f>
        <v/>
      </c>
    </row>
    <row r="1984">
      <c r="A1984" s="1" t="s">
        <v>2003</v>
      </c>
      <c r="B1984" s="2">
        <v>40.0</v>
      </c>
      <c r="C1984" s="3" t="s">
        <v>12</v>
      </c>
      <c r="E1984" s="4" t="str">
        <f t="array" ref="E1984">XLOOKUP(A1984,'Fintech, Regulatory Arbitrage, '!A:A,'Fintech, Regulatory Arbitrage, '!C:C,"")</f>
        <v/>
      </c>
    </row>
    <row r="1985">
      <c r="A1985" s="1" t="s">
        <v>2004</v>
      </c>
      <c r="B1985" s="2">
        <v>40.0</v>
      </c>
      <c r="C1985" s="4"/>
      <c r="E1985" s="4" t="str">
        <f t="array" ref="E1985">XLOOKUP(A1985,'Fintech, Regulatory Arbitrage, '!A:A,'Fintech, Regulatory Arbitrage, '!C:C,"")</f>
        <v/>
      </c>
    </row>
    <row r="1986">
      <c r="A1986" s="1" t="s">
        <v>2005</v>
      </c>
      <c r="B1986" s="2">
        <v>40.0</v>
      </c>
      <c r="C1986" s="4"/>
      <c r="E1986" s="4" t="str">
        <f t="array" ref="E1986">XLOOKUP(A1986,'Fintech, Regulatory Arbitrage, '!A:A,'Fintech, Regulatory Arbitrage, '!C:C,"")</f>
        <v/>
      </c>
    </row>
    <row r="1987">
      <c r="A1987" s="1" t="s">
        <v>2006</v>
      </c>
      <c r="B1987" s="2">
        <v>40.0</v>
      </c>
      <c r="C1987" s="4"/>
      <c r="E1987" s="4" t="str">
        <f t="array" ref="E1987">XLOOKUP(A1987,'Fintech, Regulatory Arbitrage, '!A:A,'Fintech, Regulatory Arbitrage, '!C:C,"")</f>
        <v/>
      </c>
    </row>
    <row r="1988">
      <c r="A1988" s="1" t="s">
        <v>2007</v>
      </c>
      <c r="B1988" s="2">
        <v>40.0</v>
      </c>
      <c r="C1988" s="4"/>
      <c r="E1988" s="4" t="str">
        <f t="array" ref="E1988">XLOOKUP(A1988,'Fintech, Regulatory Arbitrage, '!A:A,'Fintech, Regulatory Arbitrage, '!C:C,"")</f>
        <v/>
      </c>
    </row>
    <row r="1989">
      <c r="A1989" s="1" t="s">
        <v>2008</v>
      </c>
      <c r="B1989" s="2">
        <v>40.0</v>
      </c>
      <c r="C1989" s="4"/>
      <c r="E1989" s="4" t="str">
        <f t="array" ref="E1989">XLOOKUP(A1989,'Fintech, Regulatory Arbitrage, '!A:A,'Fintech, Regulatory Arbitrage, '!C:C,"")</f>
        <v/>
      </c>
    </row>
    <row r="1990">
      <c r="A1990" s="1" t="s">
        <v>2009</v>
      </c>
      <c r="B1990" s="2">
        <v>40.0</v>
      </c>
      <c r="C1990" s="4"/>
      <c r="E1990" s="4" t="str">
        <f t="array" ref="E1990">XLOOKUP(A1990,'Fintech, Regulatory Arbitrage, '!A:A,'Fintech, Regulatory Arbitrage, '!C:C,"")</f>
        <v/>
      </c>
    </row>
    <row r="1991">
      <c r="A1991" s="1" t="s">
        <v>2010</v>
      </c>
      <c r="B1991" s="2">
        <v>40.0</v>
      </c>
      <c r="C1991" s="4"/>
      <c r="E1991" s="4" t="str">
        <f t="array" ref="E1991">XLOOKUP(A1991,'Fintech, Regulatory Arbitrage, '!A:A,'Fintech, Regulatory Arbitrage, '!C:C,"")</f>
        <v/>
      </c>
    </row>
    <row r="1992">
      <c r="A1992" s="1" t="s">
        <v>2011</v>
      </c>
      <c r="B1992" s="2">
        <v>40.0</v>
      </c>
      <c r="C1992" s="4"/>
      <c r="E1992" s="4" t="str">
        <f t="array" ref="E1992">XLOOKUP(A1992,'Fintech, Regulatory Arbitrage, '!A:A,'Fintech, Regulatory Arbitrage, '!C:C,"")</f>
        <v/>
      </c>
    </row>
    <row r="1993">
      <c r="A1993" s="1" t="s">
        <v>2012</v>
      </c>
      <c r="B1993" s="2">
        <v>40.0</v>
      </c>
      <c r="C1993" s="4"/>
      <c r="E1993" s="4" t="str">
        <f t="array" ref="E1993">XLOOKUP(A1993,'Fintech, Regulatory Arbitrage, '!A:A,'Fintech, Regulatory Arbitrage, '!C:C,"")</f>
        <v/>
      </c>
    </row>
    <row r="1994">
      <c r="A1994" s="1" t="s">
        <v>2013</v>
      </c>
      <c r="B1994" s="2">
        <v>40.0</v>
      </c>
      <c r="C1994" s="4"/>
      <c r="E1994" s="4" t="str">
        <f t="array" ref="E1994">XLOOKUP(A1994,'Fintech, Regulatory Arbitrage, '!A:A,'Fintech, Regulatory Arbitrage, '!C:C,"")</f>
        <v/>
      </c>
    </row>
    <row r="1995">
      <c r="A1995" s="1" t="s">
        <v>2014</v>
      </c>
      <c r="B1995" s="2">
        <v>40.0</v>
      </c>
      <c r="C1995" s="4"/>
      <c r="E1995" s="4" t="str">
        <f t="array" ref="E1995">XLOOKUP(A1995,'Fintech, Regulatory Arbitrage, '!A:A,'Fintech, Regulatory Arbitrage, '!C:C,"")</f>
        <v/>
      </c>
    </row>
    <row r="1996">
      <c r="A1996" s="1" t="s">
        <v>2015</v>
      </c>
      <c r="B1996" s="2">
        <v>40.0</v>
      </c>
      <c r="C1996" s="4"/>
      <c r="E1996" s="4" t="str">
        <f t="array" ref="E1996">XLOOKUP(A1996,'Fintech, Regulatory Arbitrage, '!A:A,'Fintech, Regulatory Arbitrage, '!C:C,"")</f>
        <v/>
      </c>
    </row>
    <row r="1997">
      <c r="A1997" s="1" t="s">
        <v>2016</v>
      </c>
      <c r="B1997" s="2">
        <v>40.0</v>
      </c>
      <c r="C1997" s="4"/>
      <c r="E1997" s="4" t="str">
        <f t="array" ref="E1997">XLOOKUP(A1997,'Fintech, Regulatory Arbitrage, '!A:A,'Fintech, Regulatory Arbitrage, '!C:C,"")</f>
        <v/>
      </c>
    </row>
    <row r="1998">
      <c r="A1998" s="1" t="s">
        <v>2017</v>
      </c>
      <c r="B1998" s="2">
        <v>40.0</v>
      </c>
      <c r="C1998" s="4"/>
      <c r="E1998" s="4" t="str">
        <f t="array" ref="E1998">XLOOKUP(A1998,'Fintech, Regulatory Arbitrage, '!A:A,'Fintech, Regulatory Arbitrage, '!C:C,"")</f>
        <v/>
      </c>
    </row>
    <row r="1999">
      <c r="A1999" s="1" t="s">
        <v>2018</v>
      </c>
      <c r="B1999" s="2">
        <v>40.0</v>
      </c>
      <c r="C1999" s="4"/>
      <c r="E1999" s="4" t="str">
        <f t="array" ref="E1999">XLOOKUP(A1999,'Fintech, Regulatory Arbitrage, '!A:A,'Fintech, Regulatory Arbitrage, '!C:C,"")</f>
        <v/>
      </c>
    </row>
    <row r="2000">
      <c r="A2000" s="1" t="s">
        <v>2019</v>
      </c>
      <c r="B2000" s="2">
        <v>40.0</v>
      </c>
      <c r="C2000" s="4"/>
      <c r="E2000" s="4" t="str">
        <f t="array" ref="E2000">XLOOKUP(A2000,'Fintech, Regulatory Arbitrage, '!A:A,'Fintech, Regulatory Arbitrage, '!C:C,"")</f>
        <v/>
      </c>
    </row>
    <row r="2001">
      <c r="A2001" s="1" t="s">
        <v>2020</v>
      </c>
      <c r="B2001" s="2">
        <v>40.0</v>
      </c>
      <c r="C2001" s="4"/>
      <c r="E2001" s="4" t="str">
        <f t="array" ref="E2001">XLOOKUP(A2001,'Fintech, Regulatory Arbitrage, '!A:A,'Fintech, Regulatory Arbitrage, '!C:C,"")</f>
        <v/>
      </c>
    </row>
    <row r="2002">
      <c r="A2002" s="1" t="s">
        <v>2021</v>
      </c>
      <c r="B2002" s="2">
        <v>40.0</v>
      </c>
      <c r="C2002" s="4"/>
      <c r="E2002" s="4" t="str">
        <f t="array" ref="E2002">XLOOKUP(A2002,'Fintech, Regulatory Arbitrage, '!A:A,'Fintech, Regulatory Arbitrage, '!C:C,"")</f>
        <v/>
      </c>
    </row>
    <row r="2003">
      <c r="A2003" s="1" t="s">
        <v>2022</v>
      </c>
      <c r="B2003" s="2">
        <v>40.0</v>
      </c>
      <c r="C2003" s="4"/>
      <c r="E2003" s="4" t="str">
        <f t="array" ref="E2003">XLOOKUP(A2003,'Fintech, Regulatory Arbitrage, '!A:A,'Fintech, Regulatory Arbitrage, '!C:C,"")</f>
        <v/>
      </c>
    </row>
    <row r="2004">
      <c r="A2004" s="1" t="s">
        <v>2023</v>
      </c>
      <c r="B2004" s="2">
        <v>40.0</v>
      </c>
      <c r="C2004" s="4"/>
      <c r="E2004" s="4" t="str">
        <f t="array" ref="E2004">XLOOKUP(A2004,'Fintech, Regulatory Arbitrage, '!A:A,'Fintech, Regulatory Arbitrage, '!C:C,"")</f>
        <v/>
      </c>
    </row>
    <row r="2005">
      <c r="A2005" s="1" t="s">
        <v>2024</v>
      </c>
      <c r="B2005" s="2">
        <v>40.0</v>
      </c>
      <c r="C2005" s="4"/>
      <c r="E2005" s="4" t="str">
        <f t="array" ref="E2005">XLOOKUP(A2005,'Fintech, Regulatory Arbitrage, '!A:A,'Fintech, Regulatory Arbitrage, '!C:C,"")</f>
        <v/>
      </c>
    </row>
    <row r="2006">
      <c r="A2006" s="1" t="s">
        <v>2025</v>
      </c>
      <c r="B2006" s="2">
        <v>39.0</v>
      </c>
      <c r="C2006" s="4"/>
      <c r="E2006" s="4" t="str">
        <f t="array" ref="E2006">XLOOKUP(A2006,'Fintech, Regulatory Arbitrage, '!A:A,'Fintech, Regulatory Arbitrage, '!C:C,"")</f>
        <v/>
      </c>
    </row>
    <row r="2007">
      <c r="A2007" s="1" t="s">
        <v>2026</v>
      </c>
      <c r="B2007" s="2">
        <v>39.0</v>
      </c>
      <c r="C2007" s="4"/>
      <c r="E2007" s="4" t="str">
        <f t="array" ref="E2007">XLOOKUP(A2007,'Fintech, Regulatory Arbitrage, '!A:A,'Fintech, Regulatory Arbitrage, '!C:C,"")</f>
        <v/>
      </c>
    </row>
    <row r="2008">
      <c r="A2008" s="1" t="s">
        <v>2027</v>
      </c>
      <c r="B2008" s="2">
        <v>39.0</v>
      </c>
      <c r="C2008" s="4"/>
      <c r="E2008" s="4" t="str">
        <f t="array" ref="E2008">XLOOKUP(A2008,'Fintech, Regulatory Arbitrage, '!A:A,'Fintech, Regulatory Arbitrage, '!C:C,"")</f>
        <v/>
      </c>
    </row>
    <row r="2009">
      <c r="A2009" s="1" t="s">
        <v>2028</v>
      </c>
      <c r="B2009" s="2">
        <v>39.0</v>
      </c>
      <c r="C2009" s="4"/>
      <c r="E2009" s="4" t="str">
        <f t="array" ref="E2009">XLOOKUP(A2009,'Fintech, Regulatory Arbitrage, '!A:A,'Fintech, Regulatory Arbitrage, '!C:C,"")</f>
        <v/>
      </c>
    </row>
    <row r="2010">
      <c r="A2010" s="1" t="s">
        <v>2029</v>
      </c>
      <c r="B2010" s="2">
        <v>39.0</v>
      </c>
      <c r="C2010" s="4"/>
      <c r="E2010" s="4" t="str">
        <f t="array" ref="E2010">XLOOKUP(A2010,'Fintech, Regulatory Arbitrage, '!A:A,'Fintech, Regulatory Arbitrage, '!C:C,"")</f>
        <v/>
      </c>
    </row>
    <row r="2011">
      <c r="A2011" s="1" t="s">
        <v>2030</v>
      </c>
      <c r="B2011" s="2">
        <v>39.0</v>
      </c>
      <c r="C2011" s="4"/>
      <c r="E2011" s="4" t="str">
        <f t="array" ref="E2011">XLOOKUP(A2011,'Fintech, Regulatory Arbitrage, '!A:A,'Fintech, Regulatory Arbitrage, '!C:C,"")</f>
        <v/>
      </c>
    </row>
    <row r="2012">
      <c r="A2012" s="1" t="s">
        <v>2031</v>
      </c>
      <c r="B2012" s="2">
        <v>39.0</v>
      </c>
      <c r="C2012" s="4"/>
      <c r="E2012" s="4" t="str">
        <f t="array" ref="E2012">XLOOKUP(A2012,'Fintech, Regulatory Arbitrage, '!A:A,'Fintech, Regulatory Arbitrage, '!C:C,"")</f>
        <v/>
      </c>
    </row>
    <row r="2013">
      <c r="A2013" s="1" t="s">
        <v>2032</v>
      </c>
      <c r="B2013" s="2">
        <v>39.0</v>
      </c>
      <c r="C2013" s="4"/>
      <c r="E2013" s="4" t="str">
        <f t="array" ref="E2013">XLOOKUP(A2013,'Fintech, Regulatory Arbitrage, '!A:A,'Fintech, Regulatory Arbitrage, '!C:C,"")</f>
        <v/>
      </c>
    </row>
    <row r="2014">
      <c r="A2014" s="1" t="s">
        <v>2033</v>
      </c>
      <c r="B2014" s="2">
        <v>39.0</v>
      </c>
      <c r="C2014" s="4"/>
      <c r="E2014" s="4" t="str">
        <f t="array" ref="E2014">XLOOKUP(A2014,'Fintech, Regulatory Arbitrage, '!A:A,'Fintech, Regulatory Arbitrage, '!C:C,"")</f>
        <v/>
      </c>
    </row>
    <row r="2015">
      <c r="A2015" s="1" t="s">
        <v>2034</v>
      </c>
      <c r="B2015" s="2">
        <v>39.0</v>
      </c>
      <c r="C2015" s="4"/>
      <c r="E2015" s="4" t="str">
        <f t="array" ref="E2015">XLOOKUP(A2015,'Fintech, Regulatory Arbitrage, '!A:A,'Fintech, Regulatory Arbitrage, '!C:C,"")</f>
        <v/>
      </c>
    </row>
    <row r="2016">
      <c r="A2016" s="1" t="s">
        <v>2035</v>
      </c>
      <c r="B2016" s="2">
        <v>39.0</v>
      </c>
      <c r="C2016" s="4"/>
      <c r="E2016" s="4" t="str">
        <f t="array" ref="E2016">XLOOKUP(A2016,'Fintech, Regulatory Arbitrage, '!A:A,'Fintech, Regulatory Arbitrage, '!C:C,"")</f>
        <v/>
      </c>
    </row>
    <row r="2017">
      <c r="A2017" s="1" t="s">
        <v>2036</v>
      </c>
      <c r="B2017" s="2">
        <v>39.0</v>
      </c>
      <c r="C2017" s="4"/>
      <c r="E2017" s="4" t="str">
        <f t="array" ref="E2017">XLOOKUP(A2017,'Fintech, Regulatory Arbitrage, '!A:A,'Fintech, Regulatory Arbitrage, '!C:C,"")</f>
        <v/>
      </c>
    </row>
    <row r="2018">
      <c r="A2018" s="1" t="s">
        <v>2037</v>
      </c>
      <c r="B2018" s="2">
        <v>39.0</v>
      </c>
      <c r="C2018" s="4"/>
      <c r="E2018" s="4" t="str">
        <f t="array" ref="E2018">XLOOKUP(A2018,'Fintech, Regulatory Arbitrage, '!A:A,'Fintech, Regulatory Arbitrage, '!C:C,"")</f>
        <v/>
      </c>
    </row>
    <row r="2019">
      <c r="A2019" s="1" t="s">
        <v>2038</v>
      </c>
      <c r="B2019" s="2">
        <v>39.0</v>
      </c>
      <c r="C2019" s="4"/>
      <c r="E2019" s="4" t="str">
        <f t="array" ref="E2019">XLOOKUP(A2019,'Fintech, Regulatory Arbitrage, '!A:A,'Fintech, Regulatory Arbitrage, '!C:C,"")</f>
        <v/>
      </c>
    </row>
    <row r="2020">
      <c r="A2020" s="1" t="s">
        <v>2039</v>
      </c>
      <c r="B2020" s="2">
        <v>39.0</v>
      </c>
      <c r="C2020" s="4"/>
      <c r="E2020" s="4" t="str">
        <f t="array" ref="E2020">XLOOKUP(A2020,'Fintech, Regulatory Arbitrage, '!A:A,'Fintech, Regulatory Arbitrage, '!C:C,"")</f>
        <v/>
      </c>
    </row>
    <row r="2021">
      <c r="A2021" s="1" t="s">
        <v>2040</v>
      </c>
      <c r="B2021" s="2">
        <v>39.0</v>
      </c>
      <c r="C2021" s="4"/>
      <c r="E2021" s="4" t="str">
        <f t="array" ref="E2021">XLOOKUP(A2021,'Fintech, Regulatory Arbitrage, '!A:A,'Fintech, Regulatory Arbitrage, '!C:C,"")</f>
        <v/>
      </c>
    </row>
    <row r="2022">
      <c r="A2022" s="1" t="s">
        <v>2041</v>
      </c>
      <c r="B2022" s="2">
        <v>39.0</v>
      </c>
      <c r="C2022" s="4"/>
      <c r="E2022" s="4" t="str">
        <f t="array" ref="E2022">XLOOKUP(A2022,'Fintech, Regulatory Arbitrage, '!A:A,'Fintech, Regulatory Arbitrage, '!C:C,"")</f>
        <v/>
      </c>
    </row>
    <row r="2023">
      <c r="A2023" s="1" t="s">
        <v>2042</v>
      </c>
      <c r="B2023" s="2">
        <v>39.0</v>
      </c>
      <c r="C2023" s="4"/>
      <c r="E2023" s="4" t="str">
        <f t="array" ref="E2023">XLOOKUP(A2023,'Fintech, Regulatory Arbitrage, '!A:A,'Fintech, Regulatory Arbitrage, '!C:C,"")</f>
        <v/>
      </c>
    </row>
    <row r="2024">
      <c r="A2024" s="1" t="s">
        <v>2043</v>
      </c>
      <c r="B2024" s="2">
        <v>39.0</v>
      </c>
      <c r="C2024" s="4"/>
      <c r="E2024" s="4" t="str">
        <f t="array" ref="E2024">XLOOKUP(A2024,'Fintech, Regulatory Arbitrage, '!A:A,'Fintech, Regulatory Arbitrage, '!C:C,"")</f>
        <v/>
      </c>
    </row>
    <row r="2025">
      <c r="A2025" s="1" t="s">
        <v>2044</v>
      </c>
      <c r="B2025" s="2">
        <v>39.0</v>
      </c>
      <c r="C2025" s="4"/>
      <c r="E2025" s="4" t="str">
        <f t="array" ref="E2025">XLOOKUP(A2025,'Fintech, Regulatory Arbitrage, '!A:A,'Fintech, Regulatory Arbitrage, '!C:C,"")</f>
        <v/>
      </c>
    </row>
    <row r="2026">
      <c r="A2026" s="1" t="s">
        <v>2045</v>
      </c>
      <c r="B2026" s="2">
        <v>39.0</v>
      </c>
      <c r="C2026" s="4"/>
      <c r="E2026" s="4" t="str">
        <f t="array" ref="E2026">XLOOKUP(A2026,'Fintech, Regulatory Arbitrage, '!A:A,'Fintech, Regulatory Arbitrage, '!C:C,"")</f>
        <v/>
      </c>
    </row>
    <row r="2027">
      <c r="A2027" s="1" t="s">
        <v>2046</v>
      </c>
      <c r="B2027" s="2">
        <v>39.0</v>
      </c>
      <c r="C2027" s="4"/>
      <c r="E2027" s="4" t="str">
        <f t="array" ref="E2027">XLOOKUP(A2027,'Fintech, Regulatory Arbitrage, '!A:A,'Fintech, Regulatory Arbitrage, '!C:C,"")</f>
        <v/>
      </c>
    </row>
    <row r="2028">
      <c r="A2028" s="1" t="s">
        <v>2047</v>
      </c>
      <c r="B2028" s="2">
        <v>39.0</v>
      </c>
      <c r="C2028" s="4"/>
      <c r="E2028" s="4" t="str">
        <f t="array" ref="E2028">XLOOKUP(A2028,'Fintech, Regulatory Arbitrage, '!A:A,'Fintech, Regulatory Arbitrage, '!C:C,"")</f>
        <v/>
      </c>
    </row>
    <row r="2029">
      <c r="A2029" s="1" t="s">
        <v>2048</v>
      </c>
      <c r="B2029" s="2">
        <v>39.0</v>
      </c>
      <c r="C2029" s="4"/>
      <c r="E2029" s="4" t="str">
        <f t="array" ref="E2029">XLOOKUP(A2029,'Fintech, Regulatory Arbitrage, '!A:A,'Fintech, Regulatory Arbitrage, '!C:C,"")</f>
        <v/>
      </c>
    </row>
    <row r="2030">
      <c r="A2030" s="1" t="s">
        <v>2049</v>
      </c>
      <c r="B2030" s="2">
        <v>39.0</v>
      </c>
      <c r="C2030" s="4"/>
      <c r="E2030" s="4" t="str">
        <f t="array" ref="E2030">XLOOKUP(A2030,'Fintech, Regulatory Arbitrage, '!A:A,'Fintech, Regulatory Arbitrage, '!C:C,"")</f>
        <v/>
      </c>
    </row>
    <row r="2031">
      <c r="A2031" s="1" t="s">
        <v>2050</v>
      </c>
      <c r="B2031" s="2">
        <v>39.0</v>
      </c>
      <c r="C2031" s="4"/>
      <c r="E2031" s="4" t="str">
        <f t="array" ref="E2031">XLOOKUP(A2031,'Fintech, Regulatory Arbitrage, '!A:A,'Fintech, Regulatory Arbitrage, '!C:C,"")</f>
        <v/>
      </c>
    </row>
    <row r="2032">
      <c r="A2032" s="1" t="s">
        <v>2051</v>
      </c>
      <c r="B2032" s="2">
        <v>38.0</v>
      </c>
      <c r="C2032" s="4"/>
      <c r="E2032" s="4" t="str">
        <f t="array" ref="E2032">XLOOKUP(A2032,'Fintech, Regulatory Arbitrage, '!A:A,'Fintech, Regulatory Arbitrage, '!C:C,"")</f>
        <v/>
      </c>
    </row>
    <row r="2033">
      <c r="A2033" s="1" t="s">
        <v>2052</v>
      </c>
      <c r="B2033" s="2">
        <v>38.0</v>
      </c>
      <c r="C2033" s="4"/>
      <c r="E2033" s="4" t="str">
        <f t="array" ref="E2033">XLOOKUP(A2033,'Fintech, Regulatory Arbitrage, '!A:A,'Fintech, Regulatory Arbitrage, '!C:C,"")</f>
        <v/>
      </c>
    </row>
    <row r="2034">
      <c r="A2034" s="1" t="s">
        <v>2053</v>
      </c>
      <c r="B2034" s="2">
        <v>38.0</v>
      </c>
      <c r="C2034" s="4"/>
      <c r="E2034" s="4" t="str">
        <f t="array" ref="E2034">XLOOKUP(A2034,'Fintech, Regulatory Arbitrage, '!A:A,'Fintech, Regulatory Arbitrage, '!C:C,"")</f>
        <v/>
      </c>
    </row>
    <row r="2035">
      <c r="A2035" s="1" t="s">
        <v>2054</v>
      </c>
      <c r="B2035" s="2">
        <v>38.0</v>
      </c>
      <c r="C2035" s="4"/>
      <c r="E2035" s="4" t="str">
        <f t="array" ref="E2035">XLOOKUP(A2035,'Fintech, Regulatory Arbitrage, '!A:A,'Fintech, Regulatory Arbitrage, '!C:C,"")</f>
        <v/>
      </c>
    </row>
    <row r="2036">
      <c r="A2036" s="1" t="s">
        <v>2055</v>
      </c>
      <c r="B2036" s="2">
        <v>38.0</v>
      </c>
      <c r="C2036" s="4"/>
      <c r="E2036" s="4" t="str">
        <f t="array" ref="E2036">XLOOKUP(A2036,'Fintech, Regulatory Arbitrage, '!A:A,'Fintech, Regulatory Arbitrage, '!C:C,"")</f>
        <v/>
      </c>
    </row>
    <row r="2037">
      <c r="A2037" s="1" t="s">
        <v>2056</v>
      </c>
      <c r="B2037" s="2">
        <v>38.0</v>
      </c>
      <c r="C2037" s="4"/>
      <c r="E2037" s="4" t="str">
        <f t="array" ref="E2037">XLOOKUP(A2037,'Fintech, Regulatory Arbitrage, '!A:A,'Fintech, Regulatory Arbitrage, '!C:C,"")</f>
        <v/>
      </c>
    </row>
    <row r="2038">
      <c r="A2038" s="1" t="s">
        <v>2057</v>
      </c>
      <c r="B2038" s="2">
        <v>38.0</v>
      </c>
      <c r="C2038" s="4"/>
      <c r="E2038" s="4" t="str">
        <f t="array" ref="E2038">XLOOKUP(A2038,'Fintech, Regulatory Arbitrage, '!A:A,'Fintech, Regulatory Arbitrage, '!C:C,"")</f>
        <v/>
      </c>
    </row>
    <row r="2039">
      <c r="A2039" s="1" t="s">
        <v>2058</v>
      </c>
      <c r="B2039" s="2">
        <v>38.0</v>
      </c>
      <c r="C2039" s="4"/>
      <c r="E2039" s="4" t="str">
        <f t="array" ref="E2039">XLOOKUP(A2039,'Fintech, Regulatory Arbitrage, '!A:A,'Fintech, Regulatory Arbitrage, '!C:C,"")</f>
        <v/>
      </c>
    </row>
    <row r="2040">
      <c r="A2040" s="1" t="s">
        <v>2059</v>
      </c>
      <c r="B2040" s="2">
        <v>38.0</v>
      </c>
      <c r="C2040" s="4"/>
      <c r="E2040" s="4" t="str">
        <f t="array" ref="E2040">XLOOKUP(A2040,'Fintech, Regulatory Arbitrage, '!A:A,'Fintech, Regulatory Arbitrage, '!C:C,"")</f>
        <v/>
      </c>
    </row>
    <row r="2041">
      <c r="A2041" s="1" t="s">
        <v>2060</v>
      </c>
      <c r="B2041" s="2">
        <v>38.0</v>
      </c>
      <c r="C2041" s="4"/>
      <c r="E2041" s="4" t="str">
        <f t="array" ref="E2041">XLOOKUP(A2041,'Fintech, Regulatory Arbitrage, '!A:A,'Fintech, Regulatory Arbitrage, '!C:C,"")</f>
        <v/>
      </c>
    </row>
    <row r="2042">
      <c r="A2042" s="1" t="s">
        <v>2061</v>
      </c>
      <c r="B2042" s="2">
        <v>38.0</v>
      </c>
      <c r="C2042" s="4"/>
      <c r="E2042" s="4" t="str">
        <f t="array" ref="E2042">XLOOKUP(A2042,'Fintech, Regulatory Arbitrage, '!A:A,'Fintech, Regulatory Arbitrage, '!C:C,"")</f>
        <v/>
      </c>
    </row>
    <row r="2043">
      <c r="A2043" s="1" t="s">
        <v>2062</v>
      </c>
      <c r="B2043" s="2">
        <v>38.0</v>
      </c>
      <c r="C2043" s="4"/>
      <c r="E2043" s="4" t="str">
        <f t="array" ref="E2043">XLOOKUP(A2043,'Fintech, Regulatory Arbitrage, '!A:A,'Fintech, Regulatory Arbitrage, '!C:C,"")</f>
        <v/>
      </c>
    </row>
    <row r="2044">
      <c r="A2044" s="1" t="s">
        <v>2063</v>
      </c>
      <c r="B2044" s="2">
        <v>38.0</v>
      </c>
      <c r="C2044" s="4"/>
      <c r="E2044" s="4" t="str">
        <f t="array" ref="E2044">XLOOKUP(A2044,'Fintech, Regulatory Arbitrage, '!A:A,'Fintech, Regulatory Arbitrage, '!C:C,"")</f>
        <v/>
      </c>
    </row>
    <row r="2045">
      <c r="A2045" s="1" t="s">
        <v>2064</v>
      </c>
      <c r="B2045" s="2">
        <v>38.0</v>
      </c>
      <c r="C2045" s="4"/>
      <c r="E2045" s="4" t="str">
        <f t="array" ref="E2045">XLOOKUP(A2045,'Fintech, Regulatory Arbitrage, '!A:A,'Fintech, Regulatory Arbitrage, '!C:C,"")</f>
        <v/>
      </c>
    </row>
    <row r="2046">
      <c r="A2046" s="1" t="s">
        <v>2065</v>
      </c>
      <c r="B2046" s="2">
        <v>38.0</v>
      </c>
      <c r="C2046" s="4"/>
      <c r="E2046" s="4" t="str">
        <f t="array" ref="E2046">XLOOKUP(A2046,'Fintech, Regulatory Arbitrage, '!A:A,'Fintech, Regulatory Arbitrage, '!C:C,"")</f>
        <v/>
      </c>
    </row>
    <row r="2047">
      <c r="A2047" s="1" t="s">
        <v>2066</v>
      </c>
      <c r="B2047" s="2">
        <v>38.0</v>
      </c>
      <c r="C2047" s="4"/>
      <c r="E2047" s="4" t="str">
        <f t="array" ref="E2047">XLOOKUP(A2047,'Fintech, Regulatory Arbitrage, '!A:A,'Fintech, Regulatory Arbitrage, '!C:C,"")</f>
        <v/>
      </c>
    </row>
    <row r="2048">
      <c r="A2048" s="1" t="s">
        <v>2067</v>
      </c>
      <c r="B2048" s="2">
        <v>38.0</v>
      </c>
      <c r="C2048" s="4"/>
      <c r="E2048" s="4" t="str">
        <f t="array" ref="E2048">XLOOKUP(A2048,'Fintech, Regulatory Arbitrage, '!A:A,'Fintech, Regulatory Arbitrage, '!C:C,"")</f>
        <v/>
      </c>
    </row>
    <row r="2049">
      <c r="A2049" s="1" t="s">
        <v>2068</v>
      </c>
      <c r="B2049" s="2">
        <v>38.0</v>
      </c>
      <c r="C2049" s="4"/>
      <c r="E2049" s="4" t="str">
        <f t="array" ref="E2049">XLOOKUP(A2049,'Fintech, Regulatory Arbitrage, '!A:A,'Fintech, Regulatory Arbitrage, '!C:C,"")</f>
        <v/>
      </c>
    </row>
    <row r="2050">
      <c r="A2050" s="1" t="s">
        <v>2069</v>
      </c>
      <c r="B2050" s="2">
        <v>38.0</v>
      </c>
      <c r="C2050" s="4"/>
      <c r="E2050" s="4" t="str">
        <f t="array" ref="E2050">XLOOKUP(A2050,'Fintech, Regulatory Arbitrage, '!A:A,'Fintech, Regulatory Arbitrage, '!C:C,"")</f>
        <v/>
      </c>
    </row>
    <row r="2051">
      <c r="A2051" s="1" t="s">
        <v>2070</v>
      </c>
      <c r="B2051" s="2">
        <v>37.0</v>
      </c>
      <c r="C2051" s="4"/>
      <c r="E2051" s="4" t="str">
        <f t="array" ref="E2051">XLOOKUP(A2051,'Fintech, Regulatory Arbitrage, '!A:A,'Fintech, Regulatory Arbitrage, '!C:C,"")</f>
        <v/>
      </c>
    </row>
    <row r="2052">
      <c r="A2052" s="1" t="s">
        <v>2071</v>
      </c>
      <c r="B2052" s="2">
        <v>37.0</v>
      </c>
      <c r="C2052" s="4"/>
      <c r="E2052" s="4" t="str">
        <f t="array" ref="E2052">XLOOKUP(A2052,'Fintech, Regulatory Arbitrage, '!A:A,'Fintech, Regulatory Arbitrage, '!C:C,"")</f>
        <v/>
      </c>
    </row>
    <row r="2053">
      <c r="A2053" s="1" t="s">
        <v>2072</v>
      </c>
      <c r="B2053" s="2">
        <v>37.0</v>
      </c>
      <c r="C2053" s="4"/>
      <c r="E2053" s="4" t="str">
        <f t="array" ref="E2053">XLOOKUP(A2053,'Fintech, Regulatory Arbitrage, '!A:A,'Fintech, Regulatory Arbitrage, '!C:C,"")</f>
        <v/>
      </c>
    </row>
    <row r="2054">
      <c r="A2054" s="1" t="s">
        <v>2073</v>
      </c>
      <c r="B2054" s="2">
        <v>37.0</v>
      </c>
      <c r="C2054" s="4"/>
      <c r="E2054" s="4" t="str">
        <f t="array" ref="E2054">XLOOKUP(A2054,'Fintech, Regulatory Arbitrage, '!A:A,'Fintech, Regulatory Arbitrage, '!C:C,"")</f>
        <v/>
      </c>
    </row>
    <row r="2055">
      <c r="A2055" s="1" t="s">
        <v>2074</v>
      </c>
      <c r="B2055" s="2">
        <v>37.0</v>
      </c>
      <c r="C2055" s="4"/>
      <c r="E2055" s="4" t="str">
        <f t="array" ref="E2055">XLOOKUP(A2055,'Fintech, Regulatory Arbitrage, '!A:A,'Fintech, Regulatory Arbitrage, '!C:C,"")</f>
        <v/>
      </c>
    </row>
    <row r="2056">
      <c r="A2056" s="1" t="s">
        <v>2075</v>
      </c>
      <c r="B2056" s="2">
        <v>37.0</v>
      </c>
      <c r="C2056" s="4"/>
      <c r="E2056" s="4" t="str">
        <f t="array" ref="E2056">XLOOKUP(A2056,'Fintech, Regulatory Arbitrage, '!A:A,'Fintech, Regulatory Arbitrage, '!C:C,"")</f>
        <v/>
      </c>
    </row>
    <row r="2057">
      <c r="A2057" s="1" t="s">
        <v>2076</v>
      </c>
      <c r="B2057" s="2">
        <v>37.0</v>
      </c>
      <c r="C2057" s="4"/>
      <c r="E2057" s="4" t="str">
        <f t="array" ref="E2057">XLOOKUP(A2057,'Fintech, Regulatory Arbitrage, '!A:A,'Fintech, Regulatory Arbitrage, '!C:C,"")</f>
        <v/>
      </c>
    </row>
    <row r="2058">
      <c r="A2058" s="1" t="s">
        <v>2077</v>
      </c>
      <c r="B2058" s="2">
        <v>37.0</v>
      </c>
      <c r="C2058" s="4"/>
      <c r="E2058" s="4" t="str">
        <f t="array" ref="E2058">XLOOKUP(A2058,'Fintech, Regulatory Arbitrage, '!A:A,'Fintech, Regulatory Arbitrage, '!C:C,"")</f>
        <v/>
      </c>
    </row>
    <row r="2059">
      <c r="A2059" s="1" t="s">
        <v>2078</v>
      </c>
      <c r="B2059" s="2">
        <v>37.0</v>
      </c>
      <c r="C2059" s="4"/>
      <c r="E2059" s="4" t="str">
        <f t="array" ref="E2059">XLOOKUP(A2059,'Fintech, Regulatory Arbitrage, '!A:A,'Fintech, Regulatory Arbitrage, '!C:C,"")</f>
        <v/>
      </c>
    </row>
    <row r="2060">
      <c r="A2060" s="1" t="s">
        <v>2079</v>
      </c>
      <c r="B2060" s="2">
        <v>37.0</v>
      </c>
      <c r="C2060" s="4"/>
      <c r="E2060" s="4" t="str">
        <f t="array" ref="E2060">XLOOKUP(A2060,'Fintech, Regulatory Arbitrage, '!A:A,'Fintech, Regulatory Arbitrage, '!C:C,"")</f>
        <v/>
      </c>
    </row>
    <row r="2061">
      <c r="A2061" s="1" t="s">
        <v>2080</v>
      </c>
      <c r="B2061" s="2">
        <v>37.0</v>
      </c>
      <c r="C2061" s="4"/>
      <c r="E2061" s="4" t="str">
        <f t="array" ref="E2061">XLOOKUP(A2061,'Fintech, Regulatory Arbitrage, '!A:A,'Fintech, Regulatory Arbitrage, '!C:C,"")</f>
        <v/>
      </c>
    </row>
    <row r="2062">
      <c r="A2062" s="1" t="s">
        <v>2081</v>
      </c>
      <c r="B2062" s="2">
        <v>37.0</v>
      </c>
      <c r="C2062" s="4"/>
      <c r="E2062" s="4" t="str">
        <f t="array" ref="E2062">XLOOKUP(A2062,'Fintech, Regulatory Arbitrage, '!A:A,'Fintech, Regulatory Arbitrage, '!C:C,"")</f>
        <v/>
      </c>
    </row>
    <row r="2063">
      <c r="A2063" s="1" t="s">
        <v>2082</v>
      </c>
      <c r="B2063" s="2">
        <v>37.0</v>
      </c>
      <c r="C2063" s="4"/>
      <c r="E2063" s="4" t="str">
        <f t="array" ref="E2063">XLOOKUP(A2063,'Fintech, Regulatory Arbitrage, '!A:A,'Fintech, Regulatory Arbitrage, '!C:C,"")</f>
        <v/>
      </c>
    </row>
    <row r="2064">
      <c r="A2064" s="1" t="s">
        <v>2083</v>
      </c>
      <c r="B2064" s="2">
        <v>37.0</v>
      </c>
      <c r="C2064" s="4"/>
      <c r="E2064" s="4" t="str">
        <f t="array" ref="E2064">XLOOKUP(A2064,'Fintech, Regulatory Arbitrage, '!A:A,'Fintech, Regulatory Arbitrage, '!C:C,"")</f>
        <v/>
      </c>
    </row>
    <row r="2065">
      <c r="A2065" s="1" t="s">
        <v>2084</v>
      </c>
      <c r="B2065" s="2">
        <v>37.0</v>
      </c>
      <c r="C2065" s="4"/>
      <c r="E2065" s="4" t="str">
        <f t="array" ref="E2065">XLOOKUP(A2065,'Fintech, Regulatory Arbitrage, '!A:A,'Fintech, Regulatory Arbitrage, '!C:C,"")</f>
        <v/>
      </c>
    </row>
    <row r="2066">
      <c r="A2066" s="1" t="s">
        <v>2085</v>
      </c>
      <c r="B2066" s="2">
        <v>37.0</v>
      </c>
      <c r="C2066" s="4"/>
      <c r="E2066" s="4" t="str">
        <f t="array" ref="E2066">XLOOKUP(A2066,'Fintech, Regulatory Arbitrage, '!A:A,'Fintech, Regulatory Arbitrage, '!C:C,"")</f>
        <v/>
      </c>
    </row>
    <row r="2067">
      <c r="A2067" s="1" t="s">
        <v>2086</v>
      </c>
      <c r="B2067" s="2">
        <v>37.0</v>
      </c>
      <c r="C2067" s="4"/>
      <c r="E2067" s="4" t="str">
        <f t="array" ref="E2067">XLOOKUP(A2067,'Fintech, Regulatory Arbitrage, '!A:A,'Fintech, Regulatory Arbitrage, '!C:C,"")</f>
        <v/>
      </c>
    </row>
    <row r="2068">
      <c r="A2068" s="1" t="s">
        <v>2087</v>
      </c>
      <c r="B2068" s="2">
        <v>37.0</v>
      </c>
      <c r="C2068" s="4"/>
      <c r="E2068" s="4" t="str">
        <f t="array" ref="E2068">XLOOKUP(A2068,'Fintech, Regulatory Arbitrage, '!A:A,'Fintech, Regulatory Arbitrage, '!C:C,"")</f>
        <v/>
      </c>
    </row>
    <row r="2069">
      <c r="A2069" s="1" t="s">
        <v>2088</v>
      </c>
      <c r="B2069" s="2">
        <v>37.0</v>
      </c>
      <c r="C2069" s="4"/>
      <c r="E2069" s="4" t="str">
        <f t="array" ref="E2069">XLOOKUP(A2069,'Fintech, Regulatory Arbitrage, '!A:A,'Fintech, Regulatory Arbitrage, '!C:C,"")</f>
        <v/>
      </c>
    </row>
    <row r="2070">
      <c r="A2070" s="1" t="s">
        <v>2089</v>
      </c>
      <c r="B2070" s="2">
        <v>37.0</v>
      </c>
      <c r="C2070" s="4"/>
      <c r="E2070" s="4" t="str">
        <f t="array" ref="E2070">XLOOKUP(A2070,'Fintech, Regulatory Arbitrage, '!A:A,'Fintech, Regulatory Arbitrage, '!C:C,"")</f>
        <v/>
      </c>
    </row>
    <row r="2071">
      <c r="A2071" s="1" t="s">
        <v>2090</v>
      </c>
      <c r="B2071" s="2">
        <v>37.0</v>
      </c>
      <c r="C2071" s="4"/>
      <c r="E2071" s="4" t="str">
        <f t="array" ref="E2071">XLOOKUP(A2071,'Fintech, Regulatory Arbitrage, '!A:A,'Fintech, Regulatory Arbitrage, '!C:C,"")</f>
        <v/>
      </c>
    </row>
    <row r="2072">
      <c r="A2072" s="1" t="s">
        <v>2091</v>
      </c>
      <c r="B2072" s="2">
        <v>37.0</v>
      </c>
      <c r="C2072" s="4"/>
      <c r="E2072" s="4" t="str">
        <f t="array" ref="E2072">XLOOKUP(A2072,'Fintech, Regulatory Arbitrage, '!A:A,'Fintech, Regulatory Arbitrage, '!C:C,"")</f>
        <v/>
      </c>
    </row>
    <row r="2073">
      <c r="A2073" s="1" t="s">
        <v>2092</v>
      </c>
      <c r="B2073" s="2">
        <v>37.0</v>
      </c>
      <c r="C2073" s="4"/>
      <c r="E2073" s="4" t="str">
        <f t="array" ref="E2073">XLOOKUP(A2073,'Fintech, Regulatory Arbitrage, '!A:A,'Fintech, Regulatory Arbitrage, '!C:C,"")</f>
        <v/>
      </c>
    </row>
    <row r="2074">
      <c r="A2074" s="1" t="s">
        <v>2093</v>
      </c>
      <c r="B2074" s="2">
        <v>36.0</v>
      </c>
      <c r="C2074" s="4"/>
      <c r="E2074" s="4" t="str">
        <f t="array" ref="E2074">XLOOKUP(A2074,'Fintech, Regulatory Arbitrage, '!A:A,'Fintech, Regulatory Arbitrage, '!C:C,"")</f>
        <v/>
      </c>
    </row>
    <row r="2075">
      <c r="A2075" s="1" t="s">
        <v>2094</v>
      </c>
      <c r="B2075" s="2">
        <v>36.0</v>
      </c>
      <c r="C2075" s="4"/>
      <c r="E2075" s="4" t="str">
        <f t="array" ref="E2075">XLOOKUP(A2075,'Fintech, Regulatory Arbitrage, '!A:A,'Fintech, Regulatory Arbitrage, '!C:C,"")</f>
        <v/>
      </c>
    </row>
    <row r="2076">
      <c r="A2076" s="1" t="s">
        <v>2095</v>
      </c>
      <c r="B2076" s="2">
        <v>36.0</v>
      </c>
      <c r="C2076" s="4"/>
      <c r="E2076" s="4" t="str">
        <f t="array" ref="E2076">XLOOKUP(A2076,'Fintech, Regulatory Arbitrage, '!A:A,'Fintech, Regulatory Arbitrage, '!C:C,"")</f>
        <v/>
      </c>
    </row>
    <row r="2077">
      <c r="A2077" s="1" t="s">
        <v>2096</v>
      </c>
      <c r="B2077" s="2">
        <v>36.0</v>
      </c>
      <c r="C2077" s="4"/>
      <c r="E2077" s="4" t="str">
        <f t="array" ref="E2077">XLOOKUP(A2077,'Fintech, Regulatory Arbitrage, '!A:A,'Fintech, Regulatory Arbitrage, '!C:C,"")</f>
        <v/>
      </c>
    </row>
    <row r="2078">
      <c r="A2078" s="1" t="s">
        <v>2097</v>
      </c>
      <c r="B2078" s="2">
        <v>36.0</v>
      </c>
      <c r="C2078" s="4"/>
      <c r="E2078" s="4" t="str">
        <f t="array" ref="E2078">XLOOKUP(A2078,'Fintech, Regulatory Arbitrage, '!A:A,'Fintech, Regulatory Arbitrage, '!C:C,"")</f>
        <v/>
      </c>
    </row>
    <row r="2079">
      <c r="A2079" s="1" t="s">
        <v>2098</v>
      </c>
      <c r="B2079" s="2">
        <v>36.0</v>
      </c>
      <c r="C2079" s="4"/>
      <c r="E2079" s="4" t="str">
        <f t="array" ref="E2079">XLOOKUP(A2079,'Fintech, Regulatory Arbitrage, '!A:A,'Fintech, Regulatory Arbitrage, '!C:C,"")</f>
        <v/>
      </c>
    </row>
    <row r="2080">
      <c r="A2080" s="1" t="s">
        <v>2099</v>
      </c>
      <c r="B2080" s="2">
        <v>36.0</v>
      </c>
      <c r="C2080" s="4"/>
      <c r="E2080" s="4" t="str">
        <f t="array" ref="E2080">XLOOKUP(A2080,'Fintech, Regulatory Arbitrage, '!A:A,'Fintech, Regulatory Arbitrage, '!C:C,"")</f>
        <v/>
      </c>
    </row>
    <row r="2081">
      <c r="A2081" s="1" t="s">
        <v>2100</v>
      </c>
      <c r="B2081" s="2">
        <v>36.0</v>
      </c>
      <c r="C2081" s="4"/>
      <c r="E2081" s="4" t="str">
        <f t="array" ref="E2081">XLOOKUP(A2081,'Fintech, Regulatory Arbitrage, '!A:A,'Fintech, Regulatory Arbitrage, '!C:C,"")</f>
        <v/>
      </c>
    </row>
    <row r="2082">
      <c r="A2082" s="1" t="s">
        <v>2101</v>
      </c>
      <c r="B2082" s="2">
        <v>36.0</v>
      </c>
      <c r="C2082" s="4"/>
      <c r="E2082" s="4" t="str">
        <f t="array" ref="E2082">XLOOKUP(A2082,'Fintech, Regulatory Arbitrage, '!A:A,'Fintech, Regulatory Arbitrage, '!C:C,"")</f>
        <v/>
      </c>
    </row>
    <row r="2083">
      <c r="A2083" s="1" t="s">
        <v>2102</v>
      </c>
      <c r="B2083" s="2">
        <v>36.0</v>
      </c>
      <c r="C2083" s="4"/>
      <c r="E2083" s="4" t="str">
        <f t="array" ref="E2083">XLOOKUP(A2083,'Fintech, Regulatory Arbitrage, '!A:A,'Fintech, Regulatory Arbitrage, '!C:C,"")</f>
        <v/>
      </c>
    </row>
    <row r="2084">
      <c r="A2084" s="1" t="s">
        <v>2103</v>
      </c>
      <c r="B2084" s="2">
        <v>36.0</v>
      </c>
      <c r="C2084" s="4"/>
      <c r="E2084" s="4" t="str">
        <f t="array" ref="E2084">XLOOKUP(A2084,'Fintech, Regulatory Arbitrage, '!A:A,'Fintech, Regulatory Arbitrage, '!C:C,"")</f>
        <v/>
      </c>
    </row>
    <row r="2085">
      <c r="A2085" s="1" t="s">
        <v>2104</v>
      </c>
      <c r="B2085" s="2">
        <v>36.0</v>
      </c>
      <c r="C2085" s="4"/>
      <c r="E2085" s="4" t="str">
        <f t="array" ref="E2085">XLOOKUP(A2085,'Fintech, Regulatory Arbitrage, '!A:A,'Fintech, Regulatory Arbitrage, '!C:C,"")</f>
        <v/>
      </c>
    </row>
    <row r="2086">
      <c r="A2086" s="1" t="s">
        <v>2105</v>
      </c>
      <c r="B2086" s="2">
        <v>36.0</v>
      </c>
      <c r="C2086" s="4"/>
      <c r="E2086" s="4" t="str">
        <f t="array" ref="E2086">XLOOKUP(A2086,'Fintech, Regulatory Arbitrage, '!A:A,'Fintech, Regulatory Arbitrage, '!C:C,"")</f>
        <v/>
      </c>
    </row>
    <row r="2087">
      <c r="A2087" s="1" t="s">
        <v>2106</v>
      </c>
      <c r="B2087" s="2">
        <v>36.0</v>
      </c>
      <c r="C2087" s="4"/>
      <c r="E2087" s="4" t="str">
        <f t="array" ref="E2087">XLOOKUP(A2087,'Fintech, Regulatory Arbitrage, '!A:A,'Fintech, Regulatory Arbitrage, '!C:C,"")</f>
        <v/>
      </c>
    </row>
    <row r="2088">
      <c r="A2088" s="1" t="s">
        <v>2107</v>
      </c>
      <c r="B2088" s="2">
        <v>36.0</v>
      </c>
      <c r="C2088" s="4"/>
      <c r="E2088" s="4" t="str">
        <f t="array" ref="E2088">XLOOKUP(A2088,'Fintech, Regulatory Arbitrage, '!A:A,'Fintech, Regulatory Arbitrage, '!C:C,"")</f>
        <v/>
      </c>
    </row>
    <row r="2089">
      <c r="A2089" s="1" t="s">
        <v>2108</v>
      </c>
      <c r="B2089" s="2">
        <v>36.0</v>
      </c>
      <c r="C2089" s="4"/>
      <c r="E2089" s="4" t="str">
        <f t="array" ref="E2089">XLOOKUP(A2089,'Fintech, Regulatory Arbitrage, '!A:A,'Fintech, Regulatory Arbitrage, '!C:C,"")</f>
        <v/>
      </c>
    </row>
    <row r="2090">
      <c r="A2090" s="1" t="s">
        <v>2109</v>
      </c>
      <c r="B2090" s="2">
        <v>36.0</v>
      </c>
      <c r="C2090" s="4"/>
      <c r="E2090" s="4" t="str">
        <f t="array" ref="E2090">XLOOKUP(A2090,'Fintech, Regulatory Arbitrage, '!A:A,'Fintech, Regulatory Arbitrage, '!C:C,"")</f>
        <v/>
      </c>
    </row>
    <row r="2091">
      <c r="A2091" s="1" t="s">
        <v>2110</v>
      </c>
      <c r="B2091" s="2">
        <v>36.0</v>
      </c>
      <c r="C2091" s="4"/>
      <c r="E2091" s="4" t="str">
        <f t="array" ref="E2091">XLOOKUP(A2091,'Fintech, Regulatory Arbitrage, '!A:A,'Fintech, Regulatory Arbitrage, '!C:C,"")</f>
        <v/>
      </c>
    </row>
    <row r="2092">
      <c r="A2092" s="1" t="s">
        <v>2111</v>
      </c>
      <c r="B2092" s="2">
        <v>36.0</v>
      </c>
      <c r="C2092" s="4"/>
      <c r="E2092" s="4" t="str">
        <f t="array" ref="E2092">XLOOKUP(A2092,'Fintech, Regulatory Arbitrage, '!A:A,'Fintech, Regulatory Arbitrage, '!C:C,"")</f>
        <v/>
      </c>
    </row>
    <row r="2093">
      <c r="A2093" s="1" t="s">
        <v>2112</v>
      </c>
      <c r="B2093" s="2">
        <v>36.0</v>
      </c>
      <c r="C2093" s="4"/>
      <c r="E2093" s="4" t="str">
        <f t="array" ref="E2093">XLOOKUP(A2093,'Fintech, Regulatory Arbitrage, '!A:A,'Fintech, Regulatory Arbitrage, '!C:C,"")</f>
        <v/>
      </c>
    </row>
    <row r="2094">
      <c r="A2094" s="1" t="s">
        <v>2113</v>
      </c>
      <c r="B2094" s="2">
        <v>36.0</v>
      </c>
      <c r="C2094" s="4"/>
      <c r="E2094" s="4" t="str">
        <f t="array" ref="E2094">XLOOKUP(A2094,'Fintech, Regulatory Arbitrage, '!A:A,'Fintech, Regulatory Arbitrage, '!C:C,"")</f>
        <v/>
      </c>
    </row>
    <row r="2095">
      <c r="A2095" s="1" t="s">
        <v>2114</v>
      </c>
      <c r="B2095" s="2">
        <v>36.0</v>
      </c>
      <c r="C2095" s="4"/>
      <c r="E2095" s="4" t="str">
        <f t="array" ref="E2095">XLOOKUP(A2095,'Fintech, Regulatory Arbitrage, '!A:A,'Fintech, Regulatory Arbitrage, '!C:C,"")</f>
        <v/>
      </c>
    </row>
    <row r="2096">
      <c r="A2096" s="1" t="s">
        <v>2115</v>
      </c>
      <c r="B2096" s="2">
        <v>36.0</v>
      </c>
      <c r="C2096" s="4"/>
      <c r="E2096" s="4" t="str">
        <f t="array" ref="E2096">XLOOKUP(A2096,'Fintech, Regulatory Arbitrage, '!A:A,'Fintech, Regulatory Arbitrage, '!C:C,"")</f>
        <v/>
      </c>
    </row>
    <row r="2097">
      <c r="A2097" s="1" t="s">
        <v>2116</v>
      </c>
      <c r="B2097" s="2">
        <v>36.0</v>
      </c>
      <c r="C2097" s="4"/>
      <c r="E2097" s="4" t="str">
        <f t="array" ref="E2097">XLOOKUP(A2097,'Fintech, Regulatory Arbitrage, '!A:A,'Fintech, Regulatory Arbitrage, '!C:C,"")</f>
        <v/>
      </c>
    </row>
    <row r="2098">
      <c r="A2098" s="1" t="s">
        <v>2117</v>
      </c>
      <c r="B2098" s="2">
        <v>36.0</v>
      </c>
      <c r="C2098" s="4"/>
      <c r="E2098" s="4" t="str">
        <f t="array" ref="E2098">XLOOKUP(A2098,'Fintech, Regulatory Arbitrage, '!A:A,'Fintech, Regulatory Arbitrage, '!C:C,"")</f>
        <v/>
      </c>
    </row>
    <row r="2099">
      <c r="A2099" s="1" t="s">
        <v>2118</v>
      </c>
      <c r="B2099" s="2">
        <v>36.0</v>
      </c>
      <c r="C2099" s="4"/>
      <c r="E2099" s="4" t="str">
        <f t="array" ref="E2099">XLOOKUP(A2099,'Fintech, Regulatory Arbitrage, '!A:A,'Fintech, Regulatory Arbitrage, '!C:C,"")</f>
        <v/>
      </c>
    </row>
    <row r="2100">
      <c r="A2100" s="1" t="s">
        <v>2119</v>
      </c>
      <c r="B2100" s="2">
        <v>36.0</v>
      </c>
      <c r="C2100" s="4"/>
      <c r="E2100" s="4" t="str">
        <f t="array" ref="E2100">XLOOKUP(A2100,'Fintech, Regulatory Arbitrage, '!A:A,'Fintech, Regulatory Arbitrage, '!C:C,"")</f>
        <v/>
      </c>
    </row>
    <row r="2101">
      <c r="A2101" s="1" t="s">
        <v>2120</v>
      </c>
      <c r="B2101" s="2">
        <v>36.0</v>
      </c>
      <c r="C2101" s="4"/>
      <c r="E2101" s="4" t="str">
        <f t="array" ref="E2101">XLOOKUP(A2101,'Fintech, Regulatory Arbitrage, '!A:A,'Fintech, Regulatory Arbitrage, '!C:C,"")</f>
        <v/>
      </c>
    </row>
    <row r="2102">
      <c r="A2102" s="1" t="s">
        <v>2121</v>
      </c>
      <c r="B2102" s="2">
        <v>35.0</v>
      </c>
      <c r="C2102" s="4"/>
      <c r="E2102" s="4" t="str">
        <f t="array" ref="E2102">XLOOKUP(A2102,'Fintech, Regulatory Arbitrage, '!A:A,'Fintech, Regulatory Arbitrage, '!C:C,"")</f>
        <v/>
      </c>
    </row>
    <row r="2103">
      <c r="A2103" s="1" t="s">
        <v>2122</v>
      </c>
      <c r="B2103" s="2">
        <v>35.0</v>
      </c>
      <c r="C2103" s="4"/>
      <c r="E2103" s="4" t="str">
        <f t="array" ref="E2103">XLOOKUP(A2103,'Fintech, Regulatory Arbitrage, '!A:A,'Fintech, Regulatory Arbitrage, '!C:C,"")</f>
        <v/>
      </c>
    </row>
    <row r="2104">
      <c r="A2104" s="1" t="s">
        <v>2123</v>
      </c>
      <c r="B2104" s="2">
        <v>35.0</v>
      </c>
      <c r="C2104" s="4"/>
      <c r="E2104" s="4" t="str">
        <f t="array" ref="E2104">XLOOKUP(A2104,'Fintech, Regulatory Arbitrage, '!A:A,'Fintech, Regulatory Arbitrage, '!C:C,"")</f>
        <v/>
      </c>
    </row>
    <row r="2105">
      <c r="A2105" s="1" t="s">
        <v>2124</v>
      </c>
      <c r="B2105" s="2">
        <v>35.0</v>
      </c>
      <c r="C2105" s="4"/>
      <c r="E2105" s="4" t="str">
        <f t="array" ref="E2105">XLOOKUP(A2105,'Fintech, Regulatory Arbitrage, '!A:A,'Fintech, Regulatory Arbitrage, '!C:C,"")</f>
        <v/>
      </c>
    </row>
    <row r="2106">
      <c r="A2106" s="1" t="s">
        <v>2125</v>
      </c>
      <c r="B2106" s="2">
        <v>35.0</v>
      </c>
      <c r="C2106" s="4"/>
      <c r="E2106" s="4" t="str">
        <f t="array" ref="E2106">XLOOKUP(A2106,'Fintech, Regulatory Arbitrage, '!A:A,'Fintech, Regulatory Arbitrage, '!C:C,"")</f>
        <v/>
      </c>
    </row>
    <row r="2107">
      <c r="A2107" s="1" t="s">
        <v>2126</v>
      </c>
      <c r="B2107" s="2">
        <v>35.0</v>
      </c>
      <c r="C2107" s="4"/>
      <c r="E2107" s="4" t="str">
        <f t="array" ref="E2107">XLOOKUP(A2107,'Fintech, Regulatory Arbitrage, '!A:A,'Fintech, Regulatory Arbitrage, '!C:C,"")</f>
        <v/>
      </c>
    </row>
    <row r="2108">
      <c r="A2108" s="1" t="s">
        <v>2127</v>
      </c>
      <c r="B2108" s="2">
        <v>35.0</v>
      </c>
      <c r="C2108" s="4"/>
      <c r="E2108" s="4" t="str">
        <f t="array" ref="E2108">XLOOKUP(A2108,'Fintech, Regulatory Arbitrage, '!A:A,'Fintech, Regulatory Arbitrage, '!C:C,"")</f>
        <v/>
      </c>
    </row>
    <row r="2109">
      <c r="A2109" s="1" t="s">
        <v>2128</v>
      </c>
      <c r="B2109" s="2">
        <v>35.0</v>
      </c>
      <c r="C2109" s="4"/>
      <c r="E2109" s="4" t="str">
        <f t="array" ref="E2109">XLOOKUP(A2109,'Fintech, Regulatory Arbitrage, '!A:A,'Fintech, Regulatory Arbitrage, '!C:C,"")</f>
        <v/>
      </c>
    </row>
    <row r="2110">
      <c r="A2110" s="1" t="s">
        <v>2129</v>
      </c>
      <c r="B2110" s="2">
        <v>35.0</v>
      </c>
      <c r="C2110" s="4"/>
      <c r="E2110" s="4" t="str">
        <f t="array" ref="E2110">XLOOKUP(A2110,'Fintech, Regulatory Arbitrage, '!A:A,'Fintech, Regulatory Arbitrage, '!C:C,"")</f>
        <v/>
      </c>
    </row>
    <row r="2111">
      <c r="A2111" s="1" t="s">
        <v>2130</v>
      </c>
      <c r="B2111" s="2">
        <v>35.0</v>
      </c>
      <c r="C2111" s="4"/>
      <c r="E2111" s="4" t="str">
        <f t="array" ref="E2111">XLOOKUP(A2111,'Fintech, Regulatory Arbitrage, '!A:A,'Fintech, Regulatory Arbitrage, '!C:C,"")</f>
        <v/>
      </c>
    </row>
    <row r="2112">
      <c r="A2112" s="1" t="s">
        <v>2131</v>
      </c>
      <c r="B2112" s="2">
        <v>35.0</v>
      </c>
      <c r="C2112" s="4"/>
      <c r="E2112" s="4" t="str">
        <f t="array" ref="E2112">XLOOKUP(A2112,'Fintech, Regulatory Arbitrage, '!A:A,'Fintech, Regulatory Arbitrage, '!C:C,"")</f>
        <v/>
      </c>
    </row>
    <row r="2113">
      <c r="A2113" s="1" t="s">
        <v>2132</v>
      </c>
      <c r="B2113" s="2">
        <v>35.0</v>
      </c>
      <c r="C2113" s="4"/>
      <c r="E2113" s="4" t="str">
        <f t="array" ref="E2113">XLOOKUP(A2113,'Fintech, Regulatory Arbitrage, '!A:A,'Fintech, Regulatory Arbitrage, '!C:C,"")</f>
        <v/>
      </c>
    </row>
    <row r="2114">
      <c r="A2114" s="1" t="s">
        <v>2133</v>
      </c>
      <c r="B2114" s="2">
        <v>35.0</v>
      </c>
      <c r="C2114" s="4"/>
      <c r="E2114" s="4" t="str">
        <f t="array" ref="E2114">XLOOKUP(A2114,'Fintech, Regulatory Arbitrage, '!A:A,'Fintech, Regulatory Arbitrage, '!C:C,"")</f>
        <v/>
      </c>
    </row>
    <row r="2115">
      <c r="A2115" s="1" t="s">
        <v>2134</v>
      </c>
      <c r="B2115" s="2">
        <v>35.0</v>
      </c>
      <c r="C2115" s="4"/>
      <c r="E2115" s="4" t="str">
        <f t="array" ref="E2115">XLOOKUP(A2115,'Fintech, Regulatory Arbitrage, '!A:A,'Fintech, Regulatory Arbitrage, '!C:C,"")</f>
        <v/>
      </c>
    </row>
    <row r="2116">
      <c r="A2116" s="1" t="s">
        <v>2135</v>
      </c>
      <c r="B2116" s="2">
        <v>35.0</v>
      </c>
      <c r="C2116" s="4"/>
      <c r="E2116" s="4" t="str">
        <f t="array" ref="E2116">XLOOKUP(A2116,'Fintech, Regulatory Arbitrage, '!A:A,'Fintech, Regulatory Arbitrage, '!C:C,"")</f>
        <v/>
      </c>
    </row>
    <row r="2117">
      <c r="A2117" s="1" t="s">
        <v>2136</v>
      </c>
      <c r="B2117" s="2">
        <v>35.0</v>
      </c>
      <c r="C2117" s="4"/>
      <c r="E2117" s="4" t="str">
        <f t="array" ref="E2117">XLOOKUP(A2117,'Fintech, Regulatory Arbitrage, '!A:A,'Fintech, Regulatory Arbitrage, '!C:C,"")</f>
        <v/>
      </c>
    </row>
    <row r="2118">
      <c r="A2118" s="1" t="s">
        <v>2137</v>
      </c>
      <c r="B2118" s="2">
        <v>35.0</v>
      </c>
      <c r="C2118" s="4"/>
      <c r="E2118" s="4" t="str">
        <f t="array" ref="E2118">XLOOKUP(A2118,'Fintech, Regulatory Arbitrage, '!A:A,'Fintech, Regulatory Arbitrage, '!C:C,"")</f>
        <v/>
      </c>
    </row>
    <row r="2119">
      <c r="A2119" s="1" t="s">
        <v>2138</v>
      </c>
      <c r="B2119" s="2">
        <v>35.0</v>
      </c>
      <c r="C2119" s="4"/>
      <c r="E2119" s="4" t="str">
        <f t="array" ref="E2119">XLOOKUP(A2119,'Fintech, Regulatory Arbitrage, '!A:A,'Fintech, Regulatory Arbitrage, '!C:C,"")</f>
        <v/>
      </c>
    </row>
    <row r="2120">
      <c r="A2120" s="1" t="s">
        <v>2139</v>
      </c>
      <c r="B2120" s="2">
        <v>35.0</v>
      </c>
      <c r="C2120" s="4"/>
      <c r="E2120" s="4" t="str">
        <f t="array" ref="E2120">XLOOKUP(A2120,'Fintech, Regulatory Arbitrage, '!A:A,'Fintech, Regulatory Arbitrage, '!C:C,"")</f>
        <v/>
      </c>
    </row>
    <row r="2121">
      <c r="A2121" s="1" t="s">
        <v>2140</v>
      </c>
      <c r="B2121" s="2">
        <v>35.0</v>
      </c>
      <c r="C2121" s="4"/>
      <c r="E2121" s="4" t="str">
        <f t="array" ref="E2121">XLOOKUP(A2121,'Fintech, Regulatory Arbitrage, '!A:A,'Fintech, Regulatory Arbitrage, '!C:C,"")</f>
        <v/>
      </c>
    </row>
    <row r="2122">
      <c r="A2122" s="1" t="s">
        <v>2141</v>
      </c>
      <c r="B2122" s="2">
        <v>35.0</v>
      </c>
      <c r="C2122" s="4"/>
      <c r="E2122" s="4" t="str">
        <f t="array" ref="E2122">XLOOKUP(A2122,'Fintech, Regulatory Arbitrage, '!A:A,'Fintech, Regulatory Arbitrage, '!C:C,"")</f>
        <v/>
      </c>
    </row>
    <row r="2123">
      <c r="A2123" s="1" t="s">
        <v>2142</v>
      </c>
      <c r="B2123" s="2">
        <v>35.0</v>
      </c>
      <c r="C2123" s="4"/>
      <c r="E2123" s="4" t="str">
        <f t="array" ref="E2123">XLOOKUP(A2123,'Fintech, Regulatory Arbitrage, '!A:A,'Fintech, Regulatory Arbitrage, '!C:C,"")</f>
        <v/>
      </c>
    </row>
    <row r="2124">
      <c r="A2124" s="1" t="s">
        <v>2143</v>
      </c>
      <c r="B2124" s="2">
        <v>35.0</v>
      </c>
      <c r="C2124" s="4"/>
      <c r="E2124" s="4" t="str">
        <f t="array" ref="E2124">XLOOKUP(A2124,'Fintech, Regulatory Arbitrage, '!A:A,'Fintech, Regulatory Arbitrage, '!C:C,"")</f>
        <v/>
      </c>
    </row>
    <row r="2125">
      <c r="A2125" s="1" t="s">
        <v>2144</v>
      </c>
      <c r="B2125" s="2">
        <v>35.0</v>
      </c>
      <c r="C2125" s="4"/>
      <c r="E2125" s="4" t="str">
        <f t="array" ref="E2125">XLOOKUP(A2125,'Fintech, Regulatory Arbitrage, '!A:A,'Fintech, Regulatory Arbitrage, '!C:C,"")</f>
        <v/>
      </c>
    </row>
    <row r="2126">
      <c r="A2126" s="1" t="s">
        <v>2145</v>
      </c>
      <c r="B2126" s="2">
        <v>35.0</v>
      </c>
      <c r="C2126" s="4"/>
      <c r="E2126" s="4" t="str">
        <f t="array" ref="E2126">XLOOKUP(A2126,'Fintech, Regulatory Arbitrage, '!A:A,'Fintech, Regulatory Arbitrage, '!C:C,"")</f>
        <v/>
      </c>
    </row>
    <row r="2127">
      <c r="A2127" s="1" t="s">
        <v>2146</v>
      </c>
      <c r="B2127" s="2">
        <v>35.0</v>
      </c>
      <c r="C2127" s="4"/>
      <c r="E2127" s="4" t="str">
        <f t="array" ref="E2127">XLOOKUP(A2127,'Fintech, Regulatory Arbitrage, '!A:A,'Fintech, Regulatory Arbitrage, '!C:C,"")</f>
        <v/>
      </c>
    </row>
    <row r="2128">
      <c r="A2128" s="1" t="s">
        <v>2147</v>
      </c>
      <c r="B2128" s="2">
        <v>35.0</v>
      </c>
      <c r="C2128" s="4"/>
      <c r="E2128" s="4" t="str">
        <f t="array" ref="E2128">XLOOKUP(A2128,'Fintech, Regulatory Arbitrage, '!A:A,'Fintech, Regulatory Arbitrage, '!C:C,"")</f>
        <v/>
      </c>
    </row>
    <row r="2129">
      <c r="A2129" s="1" t="s">
        <v>2148</v>
      </c>
      <c r="B2129" s="2">
        <v>35.0</v>
      </c>
      <c r="C2129" s="4"/>
      <c r="E2129" s="4" t="str">
        <f t="array" ref="E2129">XLOOKUP(A2129,'Fintech, Regulatory Arbitrage, '!A:A,'Fintech, Regulatory Arbitrage, '!C:C,"")</f>
        <v/>
      </c>
    </row>
    <row r="2130">
      <c r="A2130" s="1" t="s">
        <v>2149</v>
      </c>
      <c r="B2130" s="2">
        <v>35.0</v>
      </c>
      <c r="C2130" s="4"/>
      <c r="E2130" s="4" t="str">
        <f t="array" ref="E2130">XLOOKUP(A2130,'Fintech, Regulatory Arbitrage, '!A:A,'Fintech, Regulatory Arbitrage, '!C:C,"")</f>
        <v/>
      </c>
    </row>
    <row r="2131">
      <c r="A2131" s="1" t="s">
        <v>2150</v>
      </c>
      <c r="B2131" s="2">
        <v>35.0</v>
      </c>
      <c r="C2131" s="4"/>
      <c r="E2131" s="4" t="str">
        <f t="array" ref="E2131">XLOOKUP(A2131,'Fintech, Regulatory Arbitrage, '!A:A,'Fintech, Regulatory Arbitrage, '!C:C,"")</f>
        <v/>
      </c>
    </row>
    <row r="2132">
      <c r="A2132" s="1" t="s">
        <v>2151</v>
      </c>
      <c r="B2132" s="2">
        <v>35.0</v>
      </c>
      <c r="C2132" s="4"/>
      <c r="E2132" s="4" t="str">
        <f t="array" ref="E2132">XLOOKUP(A2132,'Fintech, Regulatory Arbitrage, '!A:A,'Fintech, Regulatory Arbitrage, '!C:C,"")</f>
        <v/>
      </c>
    </row>
    <row r="2133">
      <c r="A2133" s="1" t="s">
        <v>2152</v>
      </c>
      <c r="B2133" s="2">
        <v>35.0</v>
      </c>
      <c r="C2133" s="4"/>
      <c r="E2133" s="4" t="str">
        <f t="array" ref="E2133">XLOOKUP(A2133,'Fintech, Regulatory Arbitrage, '!A:A,'Fintech, Regulatory Arbitrage, '!C:C,"")</f>
        <v/>
      </c>
    </row>
    <row r="2134">
      <c r="A2134" s="1" t="s">
        <v>2153</v>
      </c>
      <c r="B2134" s="2">
        <v>35.0</v>
      </c>
      <c r="C2134" s="4"/>
      <c r="E2134" s="4" t="str">
        <f t="array" ref="E2134">XLOOKUP(A2134,'Fintech, Regulatory Arbitrage, '!A:A,'Fintech, Regulatory Arbitrage, '!C:C,"")</f>
        <v/>
      </c>
    </row>
    <row r="2135">
      <c r="A2135" s="1" t="s">
        <v>2154</v>
      </c>
      <c r="B2135" s="2">
        <v>34.0</v>
      </c>
      <c r="C2135" s="4"/>
      <c r="E2135" s="4" t="str">
        <f t="array" ref="E2135">XLOOKUP(A2135,'Fintech, Regulatory Arbitrage, '!A:A,'Fintech, Regulatory Arbitrage, '!C:C,"")</f>
        <v/>
      </c>
    </row>
    <row r="2136">
      <c r="A2136" s="1" t="s">
        <v>2155</v>
      </c>
      <c r="B2136" s="2">
        <v>34.0</v>
      </c>
      <c r="C2136" s="4"/>
      <c r="E2136" s="4" t="str">
        <f t="array" ref="E2136">XLOOKUP(A2136,'Fintech, Regulatory Arbitrage, '!A:A,'Fintech, Regulatory Arbitrage, '!C:C,"")</f>
        <v/>
      </c>
    </row>
    <row r="2137">
      <c r="A2137" s="1" t="s">
        <v>2156</v>
      </c>
      <c r="B2137" s="2">
        <v>34.0</v>
      </c>
      <c r="C2137" s="4"/>
      <c r="E2137" s="4" t="str">
        <f t="array" ref="E2137">XLOOKUP(A2137,'Fintech, Regulatory Arbitrage, '!A:A,'Fintech, Regulatory Arbitrage, '!C:C,"")</f>
        <v/>
      </c>
    </row>
    <row r="2138">
      <c r="A2138" s="1" t="s">
        <v>2157</v>
      </c>
      <c r="B2138" s="2">
        <v>34.0</v>
      </c>
      <c r="C2138" s="4"/>
      <c r="E2138" s="4" t="str">
        <f t="array" ref="E2138">XLOOKUP(A2138,'Fintech, Regulatory Arbitrage, '!A:A,'Fintech, Regulatory Arbitrage, '!C:C,"")</f>
        <v/>
      </c>
    </row>
    <row r="2139">
      <c r="A2139" s="1" t="s">
        <v>2158</v>
      </c>
      <c r="B2139" s="2">
        <v>34.0</v>
      </c>
      <c r="C2139" s="4"/>
      <c r="E2139" s="4" t="str">
        <f t="array" ref="E2139">XLOOKUP(A2139,'Fintech, Regulatory Arbitrage, '!A:A,'Fintech, Regulatory Arbitrage, '!C:C,"")</f>
        <v/>
      </c>
    </row>
    <row r="2140">
      <c r="A2140" s="1" t="s">
        <v>2159</v>
      </c>
      <c r="B2140" s="2">
        <v>34.0</v>
      </c>
      <c r="C2140" s="4"/>
      <c r="E2140" s="4" t="str">
        <f t="array" ref="E2140">XLOOKUP(A2140,'Fintech, Regulatory Arbitrage, '!A:A,'Fintech, Regulatory Arbitrage, '!C:C,"")</f>
        <v/>
      </c>
    </row>
    <row r="2141">
      <c r="A2141" s="1" t="s">
        <v>2160</v>
      </c>
      <c r="B2141" s="2">
        <v>34.0</v>
      </c>
      <c r="C2141" s="4"/>
      <c r="E2141" s="4" t="str">
        <f t="array" ref="E2141">XLOOKUP(A2141,'Fintech, Regulatory Arbitrage, '!A:A,'Fintech, Regulatory Arbitrage, '!C:C,"")</f>
        <v/>
      </c>
    </row>
    <row r="2142">
      <c r="A2142" s="1" t="s">
        <v>2161</v>
      </c>
      <c r="B2142" s="2">
        <v>34.0</v>
      </c>
      <c r="C2142" s="4"/>
      <c r="E2142" s="4" t="str">
        <f t="array" ref="E2142">XLOOKUP(A2142,'Fintech, Regulatory Arbitrage, '!A:A,'Fintech, Regulatory Arbitrage, '!C:C,"")</f>
        <v/>
      </c>
    </row>
    <row r="2143">
      <c r="A2143" s="1" t="s">
        <v>2162</v>
      </c>
      <c r="B2143" s="2">
        <v>34.0</v>
      </c>
      <c r="C2143" s="4"/>
      <c r="E2143" s="4" t="str">
        <f t="array" ref="E2143">XLOOKUP(A2143,'Fintech, Regulatory Arbitrage, '!A:A,'Fintech, Regulatory Arbitrage, '!C:C,"")</f>
        <v/>
      </c>
    </row>
    <row r="2144">
      <c r="A2144" s="1" t="s">
        <v>2163</v>
      </c>
      <c r="B2144" s="2">
        <v>34.0</v>
      </c>
      <c r="C2144" s="4"/>
      <c r="E2144" s="4" t="str">
        <f t="array" ref="E2144">XLOOKUP(A2144,'Fintech, Regulatory Arbitrage, '!A:A,'Fintech, Regulatory Arbitrage, '!C:C,"")</f>
        <v/>
      </c>
    </row>
    <row r="2145">
      <c r="A2145" s="1" t="s">
        <v>2164</v>
      </c>
      <c r="B2145" s="2">
        <v>34.0</v>
      </c>
      <c r="C2145" s="4"/>
      <c r="E2145" s="4" t="str">
        <f t="array" ref="E2145">XLOOKUP(A2145,'Fintech, Regulatory Arbitrage, '!A:A,'Fintech, Regulatory Arbitrage, '!C:C,"")</f>
        <v/>
      </c>
    </row>
    <row r="2146">
      <c r="A2146" s="1" t="s">
        <v>2165</v>
      </c>
      <c r="B2146" s="2">
        <v>34.0</v>
      </c>
      <c r="C2146" s="4"/>
      <c r="E2146" s="4" t="str">
        <f t="array" ref="E2146">XLOOKUP(A2146,'Fintech, Regulatory Arbitrage, '!A:A,'Fintech, Regulatory Arbitrage, '!C:C,"")</f>
        <v/>
      </c>
    </row>
    <row r="2147">
      <c r="A2147" s="1" t="s">
        <v>2166</v>
      </c>
      <c r="B2147" s="2">
        <v>34.0</v>
      </c>
      <c r="C2147" s="4"/>
      <c r="E2147" s="4" t="str">
        <f t="array" ref="E2147">XLOOKUP(A2147,'Fintech, Regulatory Arbitrage, '!A:A,'Fintech, Regulatory Arbitrage, '!C:C,"")</f>
        <v/>
      </c>
    </row>
    <row r="2148">
      <c r="A2148" s="1" t="s">
        <v>2167</v>
      </c>
      <c r="B2148" s="2">
        <v>34.0</v>
      </c>
      <c r="C2148" s="4"/>
      <c r="E2148" s="4" t="str">
        <f t="array" ref="E2148">XLOOKUP(A2148,'Fintech, Regulatory Arbitrage, '!A:A,'Fintech, Regulatory Arbitrage, '!C:C,"")</f>
        <v/>
      </c>
    </row>
    <row r="2149">
      <c r="A2149" s="1" t="s">
        <v>2168</v>
      </c>
      <c r="B2149" s="2">
        <v>34.0</v>
      </c>
      <c r="C2149" s="4"/>
      <c r="E2149" s="4" t="str">
        <f t="array" ref="E2149">XLOOKUP(A2149,'Fintech, Regulatory Arbitrage, '!A:A,'Fintech, Regulatory Arbitrage, '!C:C,"")</f>
        <v/>
      </c>
    </row>
    <row r="2150">
      <c r="A2150" s="1" t="s">
        <v>2169</v>
      </c>
      <c r="B2150" s="2">
        <v>34.0</v>
      </c>
      <c r="C2150" s="4"/>
      <c r="E2150" s="4" t="str">
        <f t="array" ref="E2150">XLOOKUP(A2150,'Fintech, Regulatory Arbitrage, '!A:A,'Fintech, Regulatory Arbitrage, '!C:C,"")</f>
        <v/>
      </c>
    </row>
    <row r="2151">
      <c r="A2151" s="1" t="s">
        <v>2170</v>
      </c>
      <c r="B2151" s="2">
        <v>34.0</v>
      </c>
      <c r="C2151" s="4"/>
      <c r="E2151" s="4" t="str">
        <f t="array" ref="E2151">XLOOKUP(A2151,'Fintech, Regulatory Arbitrage, '!A:A,'Fintech, Regulatory Arbitrage, '!C:C,"")</f>
        <v/>
      </c>
    </row>
    <row r="2152">
      <c r="A2152" s="1" t="s">
        <v>2171</v>
      </c>
      <c r="B2152" s="2">
        <v>34.0</v>
      </c>
      <c r="C2152" s="4"/>
      <c r="E2152" s="4" t="str">
        <f t="array" ref="E2152">XLOOKUP(A2152,'Fintech, Regulatory Arbitrage, '!A:A,'Fintech, Regulatory Arbitrage, '!C:C,"")</f>
        <v/>
      </c>
    </row>
    <row r="2153">
      <c r="A2153" s="1" t="s">
        <v>2172</v>
      </c>
      <c r="B2153" s="2">
        <v>34.0</v>
      </c>
      <c r="C2153" s="4"/>
      <c r="E2153" s="4" t="str">
        <f t="array" ref="E2153">XLOOKUP(A2153,'Fintech, Regulatory Arbitrage, '!A:A,'Fintech, Regulatory Arbitrage, '!C:C,"")</f>
        <v/>
      </c>
    </row>
    <row r="2154">
      <c r="A2154" s="1" t="s">
        <v>2173</v>
      </c>
      <c r="B2154" s="2">
        <v>34.0</v>
      </c>
      <c r="C2154" s="4"/>
      <c r="E2154" s="4" t="str">
        <f t="array" ref="E2154">XLOOKUP(A2154,'Fintech, Regulatory Arbitrage, '!A:A,'Fintech, Regulatory Arbitrage, '!C:C,"")</f>
        <v/>
      </c>
    </row>
    <row r="2155">
      <c r="A2155" s="1" t="s">
        <v>2174</v>
      </c>
      <c r="B2155" s="2">
        <v>34.0</v>
      </c>
      <c r="C2155" s="4"/>
      <c r="E2155" s="4" t="str">
        <f t="array" ref="E2155">XLOOKUP(A2155,'Fintech, Regulatory Arbitrage, '!A:A,'Fintech, Regulatory Arbitrage, '!C:C,"")</f>
        <v/>
      </c>
    </row>
    <row r="2156">
      <c r="A2156" s="1" t="s">
        <v>2175</v>
      </c>
      <c r="B2156" s="2">
        <v>34.0</v>
      </c>
      <c r="C2156" s="4"/>
      <c r="E2156" s="4" t="str">
        <f t="array" ref="E2156">XLOOKUP(A2156,'Fintech, Regulatory Arbitrage, '!A:A,'Fintech, Regulatory Arbitrage, '!C:C,"")</f>
        <v/>
      </c>
    </row>
    <row r="2157">
      <c r="A2157" s="1" t="s">
        <v>2176</v>
      </c>
      <c r="B2157" s="2">
        <v>34.0</v>
      </c>
      <c r="C2157" s="4"/>
      <c r="E2157" s="4" t="str">
        <f t="array" ref="E2157">XLOOKUP(A2157,'Fintech, Regulatory Arbitrage, '!A:A,'Fintech, Regulatory Arbitrage, '!C:C,"")</f>
        <v/>
      </c>
    </row>
    <row r="2158">
      <c r="A2158" s="1" t="s">
        <v>2177</v>
      </c>
      <c r="B2158" s="2">
        <v>34.0</v>
      </c>
      <c r="C2158" s="4"/>
      <c r="E2158" s="4" t="str">
        <f t="array" ref="E2158">XLOOKUP(A2158,'Fintech, Regulatory Arbitrage, '!A:A,'Fintech, Regulatory Arbitrage, '!C:C,"")</f>
        <v/>
      </c>
    </row>
    <row r="2159">
      <c r="A2159" s="1" t="s">
        <v>2178</v>
      </c>
      <c r="B2159" s="2">
        <v>34.0</v>
      </c>
      <c r="C2159" s="4"/>
      <c r="E2159" s="4" t="str">
        <f t="array" ref="E2159">XLOOKUP(A2159,'Fintech, Regulatory Arbitrage, '!A:A,'Fintech, Regulatory Arbitrage, '!C:C,"")</f>
        <v/>
      </c>
    </row>
    <row r="2160">
      <c r="A2160" s="1" t="s">
        <v>2179</v>
      </c>
      <c r="B2160" s="2">
        <v>34.0</v>
      </c>
      <c r="C2160" s="4"/>
      <c r="E2160" s="4" t="str">
        <f t="array" ref="E2160">XLOOKUP(A2160,'Fintech, Regulatory Arbitrage, '!A:A,'Fintech, Regulatory Arbitrage, '!C:C,"")</f>
        <v/>
      </c>
    </row>
    <row r="2161">
      <c r="A2161" s="1" t="s">
        <v>2180</v>
      </c>
      <c r="B2161" s="2">
        <v>34.0</v>
      </c>
      <c r="C2161" s="4"/>
      <c r="E2161" s="4" t="str">
        <f t="array" ref="E2161">XLOOKUP(A2161,'Fintech, Regulatory Arbitrage, '!A:A,'Fintech, Regulatory Arbitrage, '!C:C,"")</f>
        <v/>
      </c>
    </row>
    <row r="2162">
      <c r="A2162" s="1" t="s">
        <v>2181</v>
      </c>
      <c r="B2162" s="2">
        <v>34.0</v>
      </c>
      <c r="C2162" s="4"/>
      <c r="E2162" s="4" t="str">
        <f t="array" ref="E2162">XLOOKUP(A2162,'Fintech, Regulatory Arbitrage, '!A:A,'Fintech, Regulatory Arbitrage, '!C:C,"")</f>
        <v/>
      </c>
    </row>
    <row r="2163">
      <c r="A2163" s="1" t="s">
        <v>2182</v>
      </c>
      <c r="B2163" s="2">
        <v>34.0</v>
      </c>
      <c r="C2163" s="4"/>
      <c r="E2163" s="4" t="str">
        <f t="array" ref="E2163">XLOOKUP(A2163,'Fintech, Regulatory Arbitrage, '!A:A,'Fintech, Regulatory Arbitrage, '!C:C,"")</f>
        <v/>
      </c>
    </row>
    <row r="2164">
      <c r="A2164" s="1" t="s">
        <v>2183</v>
      </c>
      <c r="B2164" s="2">
        <v>34.0</v>
      </c>
      <c r="C2164" s="4"/>
      <c r="E2164" s="4" t="str">
        <f t="array" ref="E2164">XLOOKUP(A2164,'Fintech, Regulatory Arbitrage, '!A:A,'Fintech, Regulatory Arbitrage, '!C:C,"")</f>
        <v/>
      </c>
    </row>
    <row r="2165">
      <c r="A2165" s="1" t="s">
        <v>2184</v>
      </c>
      <c r="B2165" s="2">
        <v>33.0</v>
      </c>
      <c r="C2165" s="4"/>
      <c r="E2165" s="4" t="str">
        <f t="array" ref="E2165">XLOOKUP(A2165,'Fintech, Regulatory Arbitrage, '!A:A,'Fintech, Regulatory Arbitrage, '!C:C,"")</f>
        <v/>
      </c>
    </row>
    <row r="2166">
      <c r="A2166" s="1" t="s">
        <v>2185</v>
      </c>
      <c r="B2166" s="2">
        <v>33.0</v>
      </c>
      <c r="C2166" s="4"/>
      <c r="E2166" s="4" t="str">
        <f t="array" ref="E2166">XLOOKUP(A2166,'Fintech, Regulatory Arbitrage, '!A:A,'Fintech, Regulatory Arbitrage, '!C:C,"")</f>
        <v/>
      </c>
    </row>
    <row r="2167">
      <c r="A2167" s="1" t="s">
        <v>2186</v>
      </c>
      <c r="B2167" s="2">
        <v>33.0</v>
      </c>
      <c r="C2167" s="4"/>
      <c r="E2167" s="4" t="str">
        <f t="array" ref="E2167">XLOOKUP(A2167,'Fintech, Regulatory Arbitrage, '!A:A,'Fintech, Regulatory Arbitrage, '!C:C,"")</f>
        <v/>
      </c>
    </row>
    <row r="2168">
      <c r="A2168" s="1" t="s">
        <v>2187</v>
      </c>
      <c r="B2168" s="2">
        <v>33.0</v>
      </c>
      <c r="C2168" s="4"/>
      <c r="E2168" s="4" t="str">
        <f t="array" ref="E2168">XLOOKUP(A2168,'Fintech, Regulatory Arbitrage, '!A:A,'Fintech, Regulatory Arbitrage, '!C:C,"")</f>
        <v/>
      </c>
    </row>
    <row r="2169">
      <c r="A2169" s="1" t="s">
        <v>2188</v>
      </c>
      <c r="B2169" s="2">
        <v>33.0</v>
      </c>
      <c r="C2169" s="4"/>
      <c r="E2169" s="4" t="str">
        <f t="array" ref="E2169">XLOOKUP(A2169,'Fintech, Regulatory Arbitrage, '!A:A,'Fintech, Regulatory Arbitrage, '!C:C,"")</f>
        <v/>
      </c>
    </row>
    <row r="2170">
      <c r="A2170" s="1" t="s">
        <v>2189</v>
      </c>
      <c r="B2170" s="2">
        <v>33.0</v>
      </c>
      <c r="C2170" s="4"/>
      <c r="E2170" s="4" t="str">
        <f t="array" ref="E2170">XLOOKUP(A2170,'Fintech, Regulatory Arbitrage, '!A:A,'Fintech, Regulatory Arbitrage, '!C:C,"")</f>
        <v/>
      </c>
    </row>
    <row r="2171">
      <c r="A2171" s="1" t="s">
        <v>2190</v>
      </c>
      <c r="B2171" s="2">
        <v>33.0</v>
      </c>
      <c r="C2171" s="4"/>
      <c r="E2171" s="4" t="str">
        <f t="array" ref="E2171">XLOOKUP(A2171,'Fintech, Regulatory Arbitrage, '!A:A,'Fintech, Regulatory Arbitrage, '!C:C,"")</f>
        <v/>
      </c>
    </row>
    <row r="2172">
      <c r="A2172" s="1" t="s">
        <v>2191</v>
      </c>
      <c r="B2172" s="2">
        <v>33.0</v>
      </c>
      <c r="C2172" s="4"/>
      <c r="E2172" s="4" t="str">
        <f t="array" ref="E2172">XLOOKUP(A2172,'Fintech, Regulatory Arbitrage, '!A:A,'Fintech, Regulatory Arbitrage, '!C:C,"")</f>
        <v/>
      </c>
    </row>
    <row r="2173">
      <c r="A2173" s="1" t="s">
        <v>2192</v>
      </c>
      <c r="B2173" s="2">
        <v>33.0</v>
      </c>
      <c r="C2173" s="4"/>
      <c r="E2173" s="4" t="str">
        <f t="array" ref="E2173">XLOOKUP(A2173,'Fintech, Regulatory Arbitrage, '!A:A,'Fintech, Regulatory Arbitrage, '!C:C,"")</f>
        <v/>
      </c>
    </row>
    <row r="2174">
      <c r="A2174" s="1" t="s">
        <v>2193</v>
      </c>
      <c r="B2174" s="2">
        <v>33.0</v>
      </c>
      <c r="C2174" s="4"/>
      <c r="E2174" s="4" t="str">
        <f t="array" ref="E2174">XLOOKUP(A2174,'Fintech, Regulatory Arbitrage, '!A:A,'Fintech, Regulatory Arbitrage, '!C:C,"")</f>
        <v/>
      </c>
    </row>
    <row r="2175">
      <c r="A2175" s="1" t="s">
        <v>2194</v>
      </c>
      <c r="B2175" s="2">
        <v>33.0</v>
      </c>
      <c r="C2175" s="4"/>
      <c r="E2175" s="4" t="str">
        <f t="array" ref="E2175">XLOOKUP(A2175,'Fintech, Regulatory Arbitrage, '!A:A,'Fintech, Regulatory Arbitrage, '!C:C,"")</f>
        <v/>
      </c>
    </row>
    <row r="2176">
      <c r="A2176" s="1" t="s">
        <v>2195</v>
      </c>
      <c r="B2176" s="2">
        <v>33.0</v>
      </c>
      <c r="C2176" s="4"/>
      <c r="E2176" s="4" t="str">
        <f t="array" ref="E2176">XLOOKUP(A2176,'Fintech, Regulatory Arbitrage, '!A:A,'Fintech, Regulatory Arbitrage, '!C:C,"")</f>
        <v/>
      </c>
    </row>
    <row r="2177">
      <c r="A2177" s="1" t="s">
        <v>2196</v>
      </c>
      <c r="B2177" s="2">
        <v>33.0</v>
      </c>
      <c r="C2177" s="4"/>
      <c r="E2177" s="4" t="str">
        <f t="array" ref="E2177">XLOOKUP(A2177,'Fintech, Regulatory Arbitrage, '!A:A,'Fintech, Regulatory Arbitrage, '!C:C,"")</f>
        <v/>
      </c>
    </row>
    <row r="2178">
      <c r="A2178" s="1" t="s">
        <v>2197</v>
      </c>
      <c r="B2178" s="2">
        <v>33.0</v>
      </c>
      <c r="C2178" s="4"/>
      <c r="E2178" s="4" t="str">
        <f t="array" ref="E2178">XLOOKUP(A2178,'Fintech, Regulatory Arbitrage, '!A:A,'Fintech, Regulatory Arbitrage, '!C:C,"")</f>
        <v/>
      </c>
    </row>
    <row r="2179">
      <c r="A2179" s="1" t="s">
        <v>2198</v>
      </c>
      <c r="B2179" s="2">
        <v>33.0</v>
      </c>
      <c r="C2179" s="4"/>
      <c r="E2179" s="4" t="str">
        <f t="array" ref="E2179">XLOOKUP(A2179,'Fintech, Regulatory Arbitrage, '!A:A,'Fintech, Regulatory Arbitrage, '!C:C,"")</f>
        <v/>
      </c>
    </row>
    <row r="2180">
      <c r="A2180" s="1" t="s">
        <v>2199</v>
      </c>
      <c r="B2180" s="2">
        <v>33.0</v>
      </c>
      <c r="C2180" s="4"/>
      <c r="E2180" s="4" t="str">
        <f t="array" ref="E2180">XLOOKUP(A2180,'Fintech, Regulatory Arbitrage, '!A:A,'Fintech, Regulatory Arbitrage, '!C:C,"")</f>
        <v/>
      </c>
    </row>
    <row r="2181">
      <c r="A2181" s="1" t="s">
        <v>2200</v>
      </c>
      <c r="B2181" s="2">
        <v>33.0</v>
      </c>
      <c r="C2181" s="4"/>
      <c r="E2181" s="4" t="str">
        <f t="array" ref="E2181">XLOOKUP(A2181,'Fintech, Regulatory Arbitrage, '!A:A,'Fintech, Regulatory Arbitrage, '!C:C,"")</f>
        <v/>
      </c>
    </row>
    <row r="2182">
      <c r="A2182" s="1" t="s">
        <v>2201</v>
      </c>
      <c r="B2182" s="2">
        <v>33.0</v>
      </c>
      <c r="C2182" s="4"/>
      <c r="E2182" s="4" t="str">
        <f t="array" ref="E2182">XLOOKUP(A2182,'Fintech, Regulatory Arbitrage, '!A:A,'Fintech, Regulatory Arbitrage, '!C:C,"")</f>
        <v/>
      </c>
    </row>
    <row r="2183">
      <c r="A2183" s="1" t="s">
        <v>2202</v>
      </c>
      <c r="B2183" s="2">
        <v>33.0</v>
      </c>
      <c r="C2183" s="4"/>
      <c r="E2183" s="4" t="str">
        <f t="array" ref="E2183">XLOOKUP(A2183,'Fintech, Regulatory Arbitrage, '!A:A,'Fintech, Regulatory Arbitrage, '!C:C,"")</f>
        <v/>
      </c>
    </row>
    <row r="2184">
      <c r="A2184" s="1" t="s">
        <v>2203</v>
      </c>
      <c r="B2184" s="2">
        <v>33.0</v>
      </c>
      <c r="C2184" s="4"/>
      <c r="E2184" s="4" t="str">
        <f t="array" ref="E2184">XLOOKUP(A2184,'Fintech, Regulatory Arbitrage, '!A:A,'Fintech, Regulatory Arbitrage, '!C:C,"")</f>
        <v/>
      </c>
    </row>
    <row r="2185">
      <c r="A2185" s="1" t="s">
        <v>2204</v>
      </c>
      <c r="B2185" s="2">
        <v>33.0</v>
      </c>
      <c r="C2185" s="4"/>
      <c r="E2185" s="4" t="str">
        <f t="array" ref="E2185">XLOOKUP(A2185,'Fintech, Regulatory Arbitrage, '!A:A,'Fintech, Regulatory Arbitrage, '!C:C,"")</f>
        <v/>
      </c>
    </row>
    <row r="2186">
      <c r="A2186" s="1" t="s">
        <v>2205</v>
      </c>
      <c r="B2186" s="2">
        <v>33.0</v>
      </c>
      <c r="C2186" s="4"/>
      <c r="E2186" s="4" t="str">
        <f t="array" ref="E2186">XLOOKUP(A2186,'Fintech, Regulatory Arbitrage, '!A:A,'Fintech, Regulatory Arbitrage, '!C:C,"")</f>
        <v/>
      </c>
    </row>
    <row r="2187">
      <c r="A2187" s="1" t="s">
        <v>2206</v>
      </c>
      <c r="B2187" s="2">
        <v>33.0</v>
      </c>
      <c r="C2187" s="4"/>
      <c r="E2187" s="4" t="str">
        <f t="array" ref="E2187">XLOOKUP(A2187,'Fintech, Regulatory Arbitrage, '!A:A,'Fintech, Regulatory Arbitrage, '!C:C,"")</f>
        <v/>
      </c>
    </row>
    <row r="2188">
      <c r="A2188" s="1" t="s">
        <v>2207</v>
      </c>
      <c r="B2188" s="2">
        <v>33.0</v>
      </c>
      <c r="C2188" s="4"/>
      <c r="E2188" s="4" t="str">
        <f t="array" ref="E2188">XLOOKUP(A2188,'Fintech, Regulatory Arbitrage, '!A:A,'Fintech, Regulatory Arbitrage, '!C:C,"")</f>
        <v/>
      </c>
    </row>
    <row r="2189">
      <c r="A2189" s="1" t="s">
        <v>2208</v>
      </c>
      <c r="B2189" s="2">
        <v>33.0</v>
      </c>
      <c r="C2189" s="4"/>
      <c r="E2189" s="4" t="str">
        <f t="array" ref="E2189">XLOOKUP(A2189,'Fintech, Regulatory Arbitrage, '!A:A,'Fintech, Regulatory Arbitrage, '!C:C,"")</f>
        <v/>
      </c>
    </row>
    <row r="2190">
      <c r="A2190" s="1" t="s">
        <v>2209</v>
      </c>
      <c r="B2190" s="2">
        <v>33.0</v>
      </c>
      <c r="C2190" s="4"/>
      <c r="E2190" s="4" t="str">
        <f t="array" ref="E2190">XLOOKUP(A2190,'Fintech, Regulatory Arbitrage, '!A:A,'Fintech, Regulatory Arbitrage, '!C:C,"")</f>
        <v/>
      </c>
    </row>
    <row r="2191">
      <c r="A2191" s="1" t="s">
        <v>2210</v>
      </c>
      <c r="B2191" s="2">
        <v>33.0</v>
      </c>
      <c r="C2191" s="4"/>
      <c r="E2191" s="4" t="str">
        <f t="array" ref="E2191">XLOOKUP(A2191,'Fintech, Regulatory Arbitrage, '!A:A,'Fintech, Regulatory Arbitrage, '!C:C,"")</f>
        <v/>
      </c>
    </row>
    <row r="2192">
      <c r="A2192" s="1" t="s">
        <v>2211</v>
      </c>
      <c r="B2192" s="2">
        <v>33.0</v>
      </c>
      <c r="C2192" s="4"/>
      <c r="E2192" s="4" t="str">
        <f t="array" ref="E2192">XLOOKUP(A2192,'Fintech, Regulatory Arbitrage, '!A:A,'Fintech, Regulatory Arbitrage, '!C:C,"")</f>
        <v/>
      </c>
    </row>
    <row r="2193">
      <c r="A2193" s="1" t="s">
        <v>2212</v>
      </c>
      <c r="B2193" s="2">
        <v>33.0</v>
      </c>
      <c r="C2193" s="4"/>
      <c r="E2193" s="4" t="str">
        <f t="array" ref="E2193">XLOOKUP(A2193,'Fintech, Regulatory Arbitrage, '!A:A,'Fintech, Regulatory Arbitrage, '!C:C,"")</f>
        <v/>
      </c>
    </row>
    <row r="2194">
      <c r="A2194" s="1" t="s">
        <v>2213</v>
      </c>
      <c r="B2194" s="2">
        <v>33.0</v>
      </c>
      <c r="C2194" s="4"/>
      <c r="E2194" s="4" t="str">
        <f t="array" ref="E2194">XLOOKUP(A2194,'Fintech, Regulatory Arbitrage, '!A:A,'Fintech, Regulatory Arbitrage, '!C:C,"")</f>
        <v/>
      </c>
    </row>
    <row r="2195">
      <c r="A2195" s="1" t="s">
        <v>2214</v>
      </c>
      <c r="B2195" s="2">
        <v>33.0</v>
      </c>
      <c r="C2195" s="4"/>
      <c r="E2195" s="4" t="str">
        <f t="array" ref="E2195">XLOOKUP(A2195,'Fintech, Regulatory Arbitrage, '!A:A,'Fintech, Regulatory Arbitrage, '!C:C,"")</f>
        <v/>
      </c>
    </row>
    <row r="2196">
      <c r="A2196" s="1" t="s">
        <v>2215</v>
      </c>
      <c r="B2196" s="2">
        <v>33.0</v>
      </c>
      <c r="C2196" s="4"/>
      <c r="E2196" s="4" t="str">
        <f t="array" ref="E2196">XLOOKUP(A2196,'Fintech, Regulatory Arbitrage, '!A:A,'Fintech, Regulatory Arbitrage, '!C:C,"")</f>
        <v/>
      </c>
    </row>
    <row r="2197">
      <c r="A2197" s="1" t="s">
        <v>2216</v>
      </c>
      <c r="B2197" s="2">
        <v>32.0</v>
      </c>
      <c r="C2197" s="4"/>
      <c r="E2197" s="4" t="str">
        <f t="array" ref="E2197">XLOOKUP(A2197,'Fintech, Regulatory Arbitrage, '!A:A,'Fintech, Regulatory Arbitrage, '!C:C,"")</f>
        <v/>
      </c>
    </row>
    <row r="2198">
      <c r="A2198" s="1" t="s">
        <v>2217</v>
      </c>
      <c r="B2198" s="2">
        <v>32.0</v>
      </c>
      <c r="C2198" s="4"/>
      <c r="E2198" s="4" t="str">
        <f t="array" ref="E2198">XLOOKUP(A2198,'Fintech, Regulatory Arbitrage, '!A:A,'Fintech, Regulatory Arbitrage, '!C:C,"")</f>
        <v/>
      </c>
    </row>
    <row r="2199">
      <c r="A2199" s="1" t="s">
        <v>2218</v>
      </c>
      <c r="B2199" s="2">
        <v>32.0</v>
      </c>
      <c r="C2199" s="4"/>
      <c r="E2199" s="4" t="str">
        <f t="array" ref="E2199">XLOOKUP(A2199,'Fintech, Regulatory Arbitrage, '!A:A,'Fintech, Regulatory Arbitrage, '!C:C,"")</f>
        <v/>
      </c>
    </row>
    <row r="2200">
      <c r="A2200" s="1" t="s">
        <v>2219</v>
      </c>
      <c r="B2200" s="2">
        <v>32.0</v>
      </c>
      <c r="C2200" s="4"/>
      <c r="E2200" s="4" t="str">
        <f t="array" ref="E2200">XLOOKUP(A2200,'Fintech, Regulatory Arbitrage, '!A:A,'Fintech, Regulatory Arbitrage, '!C:C,"")</f>
        <v/>
      </c>
    </row>
    <row r="2201">
      <c r="A2201" s="1" t="s">
        <v>2220</v>
      </c>
      <c r="B2201" s="2">
        <v>32.0</v>
      </c>
      <c r="C2201" s="4"/>
      <c r="E2201" s="4" t="str">
        <f t="array" ref="E2201">XLOOKUP(A2201,'Fintech, Regulatory Arbitrage, '!A:A,'Fintech, Regulatory Arbitrage, '!C:C,"")</f>
        <v/>
      </c>
    </row>
    <row r="2202">
      <c r="A2202" s="1" t="s">
        <v>2221</v>
      </c>
      <c r="B2202" s="2">
        <v>32.0</v>
      </c>
      <c r="C2202" s="4"/>
      <c r="E2202" s="4" t="str">
        <f t="array" ref="E2202">XLOOKUP(A2202,'Fintech, Regulatory Arbitrage, '!A:A,'Fintech, Regulatory Arbitrage, '!C:C,"")</f>
        <v/>
      </c>
    </row>
    <row r="2203">
      <c r="A2203" s="1" t="s">
        <v>2222</v>
      </c>
      <c r="B2203" s="2">
        <v>32.0</v>
      </c>
      <c r="C2203" s="4"/>
      <c r="E2203" s="4" t="str">
        <f t="array" ref="E2203">XLOOKUP(A2203,'Fintech, Regulatory Arbitrage, '!A:A,'Fintech, Regulatory Arbitrage, '!C:C,"")</f>
        <v/>
      </c>
    </row>
    <row r="2204">
      <c r="A2204" s="1" t="s">
        <v>2223</v>
      </c>
      <c r="B2204" s="2">
        <v>32.0</v>
      </c>
      <c r="C2204" s="4"/>
      <c r="E2204" s="4" t="str">
        <f t="array" ref="E2204">XLOOKUP(A2204,'Fintech, Regulatory Arbitrage, '!A:A,'Fintech, Regulatory Arbitrage, '!C:C,"")</f>
        <v/>
      </c>
    </row>
    <row r="2205">
      <c r="A2205" s="1" t="s">
        <v>2224</v>
      </c>
      <c r="B2205" s="2">
        <v>32.0</v>
      </c>
      <c r="C2205" s="4"/>
      <c r="E2205" s="4" t="str">
        <f t="array" ref="E2205">XLOOKUP(A2205,'Fintech, Regulatory Arbitrage, '!A:A,'Fintech, Regulatory Arbitrage, '!C:C,"")</f>
        <v/>
      </c>
    </row>
    <row r="2206">
      <c r="A2206" s="1" t="s">
        <v>2225</v>
      </c>
      <c r="B2206" s="2">
        <v>32.0</v>
      </c>
      <c r="C2206" s="4"/>
      <c r="E2206" s="4" t="str">
        <f t="array" ref="E2206">XLOOKUP(A2206,'Fintech, Regulatory Arbitrage, '!A:A,'Fintech, Regulatory Arbitrage, '!C:C,"")</f>
        <v/>
      </c>
    </row>
    <row r="2207">
      <c r="A2207" s="1" t="s">
        <v>2226</v>
      </c>
      <c r="B2207" s="2">
        <v>32.0</v>
      </c>
      <c r="C2207" s="4"/>
      <c r="E2207" s="4" t="str">
        <f t="array" ref="E2207">XLOOKUP(A2207,'Fintech, Regulatory Arbitrage, '!A:A,'Fintech, Regulatory Arbitrage, '!C:C,"")</f>
        <v/>
      </c>
    </row>
    <row r="2208">
      <c r="A2208" s="1" t="s">
        <v>2227</v>
      </c>
      <c r="B2208" s="2">
        <v>32.0</v>
      </c>
      <c r="C2208" s="4"/>
      <c r="E2208" s="4" t="str">
        <f t="array" ref="E2208">XLOOKUP(A2208,'Fintech, Regulatory Arbitrage, '!A:A,'Fintech, Regulatory Arbitrage, '!C:C,"")</f>
        <v/>
      </c>
    </row>
    <row r="2209">
      <c r="A2209" s="1" t="s">
        <v>2228</v>
      </c>
      <c r="B2209" s="2">
        <v>32.0</v>
      </c>
      <c r="C2209" s="4"/>
      <c r="E2209" s="4" t="str">
        <f t="array" ref="E2209">XLOOKUP(A2209,'Fintech, Regulatory Arbitrage, '!A:A,'Fintech, Regulatory Arbitrage, '!C:C,"")</f>
        <v/>
      </c>
    </row>
    <row r="2210">
      <c r="A2210" s="1" t="s">
        <v>2229</v>
      </c>
      <c r="B2210" s="2">
        <v>32.0</v>
      </c>
      <c r="C2210" s="4"/>
      <c r="E2210" s="4" t="str">
        <f t="array" ref="E2210">XLOOKUP(A2210,'Fintech, Regulatory Arbitrage, '!A:A,'Fintech, Regulatory Arbitrage, '!C:C,"")</f>
        <v/>
      </c>
    </row>
    <row r="2211">
      <c r="A2211" s="1" t="s">
        <v>2230</v>
      </c>
      <c r="B2211" s="2">
        <v>32.0</v>
      </c>
      <c r="C2211" s="4"/>
      <c r="E2211" s="4" t="str">
        <f t="array" ref="E2211">XLOOKUP(A2211,'Fintech, Regulatory Arbitrage, '!A:A,'Fintech, Regulatory Arbitrage, '!C:C,"")</f>
        <v/>
      </c>
    </row>
    <row r="2212">
      <c r="A2212" s="1" t="s">
        <v>2231</v>
      </c>
      <c r="B2212" s="2">
        <v>32.0</v>
      </c>
      <c r="C2212" s="4"/>
      <c r="E2212" s="4" t="str">
        <f t="array" ref="E2212">XLOOKUP(A2212,'Fintech, Regulatory Arbitrage, '!A:A,'Fintech, Regulatory Arbitrage, '!C:C,"")</f>
        <v/>
      </c>
    </row>
    <row r="2213">
      <c r="A2213" s="1" t="s">
        <v>2232</v>
      </c>
      <c r="B2213" s="2">
        <v>32.0</v>
      </c>
      <c r="C2213" s="4"/>
      <c r="E2213" s="4" t="str">
        <f t="array" ref="E2213">XLOOKUP(A2213,'Fintech, Regulatory Arbitrage, '!A:A,'Fintech, Regulatory Arbitrage, '!C:C,"")</f>
        <v/>
      </c>
    </row>
    <row r="2214">
      <c r="A2214" s="1" t="s">
        <v>2233</v>
      </c>
      <c r="B2214" s="2">
        <v>32.0</v>
      </c>
      <c r="C2214" s="4"/>
      <c r="E2214" s="4" t="str">
        <f t="array" ref="E2214">XLOOKUP(A2214,'Fintech, Regulatory Arbitrage, '!A:A,'Fintech, Regulatory Arbitrage, '!C:C,"")</f>
        <v/>
      </c>
    </row>
    <row r="2215">
      <c r="A2215" s="1" t="s">
        <v>2234</v>
      </c>
      <c r="B2215" s="2">
        <v>32.0</v>
      </c>
      <c r="C2215" s="4"/>
      <c r="E2215" s="4" t="str">
        <f t="array" ref="E2215">XLOOKUP(A2215,'Fintech, Regulatory Arbitrage, '!A:A,'Fintech, Regulatory Arbitrage, '!C:C,"")</f>
        <v/>
      </c>
    </row>
    <row r="2216">
      <c r="A2216" s="1" t="s">
        <v>2235</v>
      </c>
      <c r="B2216" s="2">
        <v>32.0</v>
      </c>
      <c r="C2216" s="4"/>
      <c r="E2216" s="4" t="str">
        <f t="array" ref="E2216">XLOOKUP(A2216,'Fintech, Regulatory Arbitrage, '!A:A,'Fintech, Regulatory Arbitrage, '!C:C,"")</f>
        <v/>
      </c>
    </row>
    <row r="2217">
      <c r="A2217" s="1" t="s">
        <v>2236</v>
      </c>
      <c r="B2217" s="2">
        <v>32.0</v>
      </c>
      <c r="C2217" s="4"/>
      <c r="E2217" s="4" t="str">
        <f t="array" ref="E2217">XLOOKUP(A2217,'Fintech, Regulatory Arbitrage, '!A:A,'Fintech, Regulatory Arbitrage, '!C:C,"")</f>
        <v/>
      </c>
    </row>
    <row r="2218">
      <c r="A2218" s="1" t="s">
        <v>2237</v>
      </c>
      <c r="B2218" s="2">
        <v>32.0</v>
      </c>
      <c r="C2218" s="4"/>
      <c r="E2218" s="4" t="str">
        <f t="array" ref="E2218">XLOOKUP(A2218,'Fintech, Regulatory Arbitrage, '!A:A,'Fintech, Regulatory Arbitrage, '!C:C,"")</f>
        <v/>
      </c>
    </row>
    <row r="2219">
      <c r="A2219" s="1" t="s">
        <v>2238</v>
      </c>
      <c r="B2219" s="2">
        <v>32.0</v>
      </c>
      <c r="C2219" s="4"/>
      <c r="E2219" s="4" t="str">
        <f t="array" ref="E2219">XLOOKUP(A2219,'Fintech, Regulatory Arbitrage, '!A:A,'Fintech, Regulatory Arbitrage, '!C:C,"")</f>
        <v/>
      </c>
    </row>
    <row r="2220">
      <c r="A2220" s="1" t="s">
        <v>2239</v>
      </c>
      <c r="B2220" s="2">
        <v>32.0</v>
      </c>
      <c r="C2220" s="4"/>
      <c r="E2220" s="4" t="str">
        <f t="array" ref="E2220">XLOOKUP(A2220,'Fintech, Regulatory Arbitrage, '!A:A,'Fintech, Regulatory Arbitrage, '!C:C,"")</f>
        <v/>
      </c>
    </row>
    <row r="2221">
      <c r="A2221" s="1" t="s">
        <v>2240</v>
      </c>
      <c r="B2221" s="2">
        <v>32.0</v>
      </c>
      <c r="C2221" s="4"/>
      <c r="E2221" s="4" t="str">
        <f t="array" ref="E2221">XLOOKUP(A2221,'Fintech, Regulatory Arbitrage, '!A:A,'Fintech, Regulatory Arbitrage, '!C:C,"")</f>
        <v/>
      </c>
    </row>
    <row r="2222">
      <c r="A2222" s="1" t="s">
        <v>2241</v>
      </c>
      <c r="B2222" s="2">
        <v>32.0</v>
      </c>
      <c r="C2222" s="4"/>
      <c r="E2222" s="4" t="str">
        <f t="array" ref="E2222">XLOOKUP(A2222,'Fintech, Regulatory Arbitrage, '!A:A,'Fintech, Regulatory Arbitrage, '!C:C,"")</f>
        <v/>
      </c>
    </row>
    <row r="2223">
      <c r="A2223" s="1" t="s">
        <v>2242</v>
      </c>
      <c r="B2223" s="2">
        <v>31.0</v>
      </c>
      <c r="C2223" s="4"/>
      <c r="E2223" s="4" t="str">
        <f t="array" ref="E2223">XLOOKUP(A2223,'Fintech, Regulatory Arbitrage, '!A:A,'Fintech, Regulatory Arbitrage, '!C:C,"")</f>
        <v/>
      </c>
    </row>
    <row r="2224">
      <c r="A2224" s="1" t="s">
        <v>2243</v>
      </c>
      <c r="B2224" s="2">
        <v>31.0</v>
      </c>
      <c r="C2224" s="4"/>
      <c r="E2224" s="4" t="str">
        <f t="array" ref="E2224">XLOOKUP(A2224,'Fintech, Regulatory Arbitrage, '!A:A,'Fintech, Regulatory Arbitrage, '!C:C,"")</f>
        <v/>
      </c>
    </row>
    <row r="2225">
      <c r="A2225" s="1" t="s">
        <v>2244</v>
      </c>
      <c r="B2225" s="2">
        <v>31.0</v>
      </c>
      <c r="C2225" s="4"/>
      <c r="E2225" s="4" t="str">
        <f t="array" ref="E2225">XLOOKUP(A2225,'Fintech, Regulatory Arbitrage, '!A:A,'Fintech, Regulatory Arbitrage, '!C:C,"")</f>
        <v/>
      </c>
    </row>
    <row r="2226">
      <c r="A2226" s="1" t="s">
        <v>2245</v>
      </c>
      <c r="B2226" s="2">
        <v>31.0</v>
      </c>
      <c r="C2226" s="4"/>
      <c r="E2226" s="4" t="str">
        <f t="array" ref="E2226">XLOOKUP(A2226,'Fintech, Regulatory Arbitrage, '!A:A,'Fintech, Regulatory Arbitrage, '!C:C,"")</f>
        <v/>
      </c>
    </row>
    <row r="2227">
      <c r="A2227" s="1" t="s">
        <v>2246</v>
      </c>
      <c r="B2227" s="2">
        <v>31.0</v>
      </c>
      <c r="C2227" s="4"/>
      <c r="E2227" s="4" t="str">
        <f t="array" ref="E2227">XLOOKUP(A2227,'Fintech, Regulatory Arbitrage, '!A:A,'Fintech, Regulatory Arbitrage, '!C:C,"")</f>
        <v/>
      </c>
    </row>
    <row r="2228">
      <c r="A2228" s="1" t="s">
        <v>2247</v>
      </c>
      <c r="B2228" s="2">
        <v>31.0</v>
      </c>
      <c r="C2228" s="4"/>
      <c r="E2228" s="4" t="str">
        <f t="array" ref="E2228">XLOOKUP(A2228,'Fintech, Regulatory Arbitrage, '!A:A,'Fintech, Regulatory Arbitrage, '!C:C,"")</f>
        <v/>
      </c>
    </row>
    <row r="2229">
      <c r="A2229" s="1" t="s">
        <v>2248</v>
      </c>
      <c r="B2229" s="2">
        <v>31.0</v>
      </c>
      <c r="C2229" s="4"/>
      <c r="E2229" s="4" t="str">
        <f t="array" ref="E2229">XLOOKUP(A2229,'Fintech, Regulatory Arbitrage, '!A:A,'Fintech, Regulatory Arbitrage, '!C:C,"")</f>
        <v/>
      </c>
    </row>
    <row r="2230">
      <c r="A2230" s="1" t="s">
        <v>2249</v>
      </c>
      <c r="B2230" s="2">
        <v>31.0</v>
      </c>
      <c r="C2230" s="4"/>
      <c r="E2230" s="4" t="str">
        <f t="array" ref="E2230">XLOOKUP(A2230,'Fintech, Regulatory Arbitrage, '!A:A,'Fintech, Regulatory Arbitrage, '!C:C,"")</f>
        <v/>
      </c>
    </row>
    <row r="2231">
      <c r="A2231" s="1" t="s">
        <v>2250</v>
      </c>
      <c r="B2231" s="2">
        <v>31.0</v>
      </c>
      <c r="C2231" s="4"/>
      <c r="E2231" s="4" t="str">
        <f t="array" ref="E2231">XLOOKUP(A2231,'Fintech, Regulatory Arbitrage, '!A:A,'Fintech, Regulatory Arbitrage, '!C:C,"")</f>
        <v/>
      </c>
    </row>
    <row r="2232">
      <c r="A2232" s="1" t="s">
        <v>2251</v>
      </c>
      <c r="B2232" s="2">
        <v>31.0</v>
      </c>
      <c r="C2232" s="4"/>
      <c r="E2232" s="4" t="str">
        <f t="array" ref="E2232">XLOOKUP(A2232,'Fintech, Regulatory Arbitrage, '!A:A,'Fintech, Regulatory Arbitrage, '!C:C,"")</f>
        <v/>
      </c>
    </row>
    <row r="2233">
      <c r="A2233" s="1" t="s">
        <v>2252</v>
      </c>
      <c r="B2233" s="2">
        <v>31.0</v>
      </c>
      <c r="C2233" s="4"/>
      <c r="E2233" s="4" t="str">
        <f t="array" ref="E2233">XLOOKUP(A2233,'Fintech, Regulatory Arbitrage, '!A:A,'Fintech, Regulatory Arbitrage, '!C:C,"")</f>
        <v/>
      </c>
    </row>
    <row r="2234">
      <c r="A2234" s="19" t="s">
        <v>2253</v>
      </c>
      <c r="B2234" s="2">
        <v>31.0</v>
      </c>
      <c r="C2234" s="4"/>
      <c r="E2234" s="4" t="str">
        <f t="array" ref="E2234">XLOOKUP(A2234,'Fintech, Regulatory Arbitrage, '!A:A,'Fintech, Regulatory Arbitrage, '!C:C,"")</f>
        <v/>
      </c>
    </row>
    <row r="2235">
      <c r="A2235" s="1" t="s">
        <v>2254</v>
      </c>
      <c r="B2235" s="2">
        <v>31.0</v>
      </c>
      <c r="C2235" s="4"/>
      <c r="E2235" s="4" t="str">
        <f t="array" ref="E2235">XLOOKUP(A2235,'Fintech, Regulatory Arbitrage, '!A:A,'Fintech, Regulatory Arbitrage, '!C:C,"")</f>
        <v/>
      </c>
    </row>
    <row r="2236">
      <c r="A2236" s="1" t="s">
        <v>2255</v>
      </c>
      <c r="B2236" s="2">
        <v>31.0</v>
      </c>
      <c r="C2236" s="4"/>
      <c r="E2236" s="4" t="str">
        <f t="array" ref="E2236">XLOOKUP(A2236,'Fintech, Regulatory Arbitrage, '!A:A,'Fintech, Regulatory Arbitrage, '!C:C,"")</f>
        <v/>
      </c>
    </row>
    <row r="2237">
      <c r="A2237" s="1" t="s">
        <v>2256</v>
      </c>
      <c r="B2237" s="2">
        <v>31.0</v>
      </c>
      <c r="C2237" s="4"/>
      <c r="E2237" s="4" t="str">
        <f t="array" ref="E2237">XLOOKUP(A2237,'Fintech, Regulatory Arbitrage, '!A:A,'Fintech, Regulatory Arbitrage, '!C:C,"")</f>
        <v/>
      </c>
    </row>
    <row r="2238">
      <c r="A2238" s="1" t="s">
        <v>2257</v>
      </c>
      <c r="B2238" s="2">
        <v>31.0</v>
      </c>
      <c r="C2238" s="4"/>
      <c r="E2238" s="4" t="str">
        <f t="array" ref="E2238">XLOOKUP(A2238,'Fintech, Regulatory Arbitrage, '!A:A,'Fintech, Regulatory Arbitrage, '!C:C,"")</f>
        <v/>
      </c>
    </row>
    <row r="2239">
      <c r="A2239" s="1" t="s">
        <v>2258</v>
      </c>
      <c r="B2239" s="2">
        <v>31.0</v>
      </c>
      <c r="C2239" s="4"/>
      <c r="E2239" s="4" t="str">
        <f t="array" ref="E2239">XLOOKUP(A2239,'Fintech, Regulatory Arbitrage, '!A:A,'Fintech, Regulatory Arbitrage, '!C:C,"")</f>
        <v/>
      </c>
    </row>
    <row r="2240">
      <c r="A2240" s="1" t="s">
        <v>2259</v>
      </c>
      <c r="B2240" s="2">
        <v>31.0</v>
      </c>
      <c r="C2240" s="4"/>
      <c r="E2240" s="4" t="str">
        <f t="array" ref="E2240">XLOOKUP(A2240,'Fintech, Regulatory Arbitrage, '!A:A,'Fintech, Regulatory Arbitrage, '!C:C,"")</f>
        <v/>
      </c>
    </row>
    <row r="2241">
      <c r="A2241" s="1" t="s">
        <v>2260</v>
      </c>
      <c r="B2241" s="2">
        <v>31.0</v>
      </c>
      <c r="C2241" s="4"/>
      <c r="E2241" s="4" t="str">
        <f t="array" ref="E2241">XLOOKUP(A2241,'Fintech, Regulatory Arbitrage, '!A:A,'Fintech, Regulatory Arbitrage, '!C:C,"")</f>
        <v/>
      </c>
    </row>
    <row r="2242">
      <c r="A2242" s="1" t="s">
        <v>2261</v>
      </c>
      <c r="B2242" s="2">
        <v>31.0</v>
      </c>
      <c r="C2242" s="4"/>
      <c r="E2242" s="4" t="str">
        <f t="array" ref="E2242">XLOOKUP(A2242,'Fintech, Regulatory Arbitrage, '!A:A,'Fintech, Regulatory Arbitrage, '!C:C,"")</f>
        <v/>
      </c>
    </row>
    <row r="2243">
      <c r="A2243" s="1" t="s">
        <v>2262</v>
      </c>
      <c r="B2243" s="2">
        <v>31.0</v>
      </c>
      <c r="C2243" s="4"/>
      <c r="E2243" s="4" t="str">
        <f t="array" ref="E2243">XLOOKUP(A2243,'Fintech, Regulatory Arbitrage, '!A:A,'Fintech, Regulatory Arbitrage, '!C:C,"")</f>
        <v/>
      </c>
    </row>
    <row r="2244">
      <c r="A2244" s="1" t="s">
        <v>2263</v>
      </c>
      <c r="B2244" s="2">
        <v>31.0</v>
      </c>
      <c r="C2244" s="4"/>
      <c r="E2244" s="4" t="str">
        <f t="array" ref="E2244">XLOOKUP(A2244,'Fintech, Regulatory Arbitrage, '!A:A,'Fintech, Regulatory Arbitrage, '!C:C,"")</f>
        <v/>
      </c>
    </row>
    <row r="2245">
      <c r="A2245" s="1" t="s">
        <v>2264</v>
      </c>
      <c r="B2245" s="2">
        <v>31.0</v>
      </c>
      <c r="C2245" s="4"/>
      <c r="E2245" s="4" t="str">
        <f t="array" ref="E2245">XLOOKUP(A2245,'Fintech, Regulatory Arbitrage, '!A:A,'Fintech, Regulatory Arbitrage, '!C:C,"")</f>
        <v/>
      </c>
    </row>
    <row r="2246">
      <c r="A2246" s="1" t="s">
        <v>2265</v>
      </c>
      <c r="B2246" s="2">
        <v>31.0</v>
      </c>
      <c r="C2246" s="4"/>
      <c r="E2246" s="4" t="str">
        <f t="array" ref="E2246">XLOOKUP(A2246,'Fintech, Regulatory Arbitrage, '!A:A,'Fintech, Regulatory Arbitrage, '!C:C,"")</f>
        <v/>
      </c>
    </row>
    <row r="2247">
      <c r="A2247" s="1" t="s">
        <v>2266</v>
      </c>
      <c r="B2247" s="2">
        <v>31.0</v>
      </c>
      <c r="C2247" s="4"/>
      <c r="E2247" s="4" t="str">
        <f t="array" ref="E2247">XLOOKUP(A2247,'Fintech, Regulatory Arbitrage, '!A:A,'Fintech, Regulatory Arbitrage, '!C:C,"")</f>
        <v/>
      </c>
    </row>
    <row r="2248">
      <c r="A2248" s="1" t="s">
        <v>2267</v>
      </c>
      <c r="B2248" s="2">
        <v>31.0</v>
      </c>
      <c r="C2248" s="4"/>
      <c r="E2248" s="4" t="str">
        <f t="array" ref="E2248">XLOOKUP(A2248,'Fintech, Regulatory Arbitrage, '!A:A,'Fintech, Regulatory Arbitrage, '!C:C,"")</f>
        <v/>
      </c>
    </row>
    <row r="2249">
      <c r="A2249" s="1" t="s">
        <v>2268</v>
      </c>
      <c r="B2249" s="2">
        <v>31.0</v>
      </c>
      <c r="C2249" s="4"/>
      <c r="E2249" s="4" t="str">
        <f t="array" ref="E2249">XLOOKUP(A2249,'Fintech, Regulatory Arbitrage, '!A:A,'Fintech, Regulatory Arbitrage, '!C:C,"")</f>
        <v/>
      </c>
    </row>
    <row r="2250">
      <c r="A2250" s="1" t="s">
        <v>2269</v>
      </c>
      <c r="B2250" s="2">
        <v>31.0</v>
      </c>
      <c r="C2250" s="4"/>
      <c r="E2250" s="4" t="str">
        <f t="array" ref="E2250">XLOOKUP(A2250,'Fintech, Regulatory Arbitrage, '!A:A,'Fintech, Regulatory Arbitrage, '!C:C,"")</f>
        <v/>
      </c>
    </row>
    <row r="2251">
      <c r="A2251" s="1" t="s">
        <v>2270</v>
      </c>
      <c r="B2251" s="2">
        <v>30.0</v>
      </c>
      <c r="C2251" s="4"/>
      <c r="E2251" s="4" t="str">
        <f t="array" ref="E2251">XLOOKUP(A2251,'Fintech, Regulatory Arbitrage, '!A:A,'Fintech, Regulatory Arbitrage, '!C:C,"")</f>
        <v/>
      </c>
    </row>
    <row r="2252">
      <c r="A2252" s="1" t="s">
        <v>2271</v>
      </c>
      <c r="B2252" s="2">
        <v>30.0</v>
      </c>
      <c r="C2252" s="4"/>
      <c r="E2252" s="4" t="str">
        <f t="array" ref="E2252">XLOOKUP(A2252,'Fintech, Regulatory Arbitrage, '!A:A,'Fintech, Regulatory Arbitrage, '!C:C,"")</f>
        <v/>
      </c>
    </row>
    <row r="2253">
      <c r="A2253" s="1" t="s">
        <v>2272</v>
      </c>
      <c r="B2253" s="2">
        <v>30.0</v>
      </c>
      <c r="C2253" s="4"/>
      <c r="E2253" s="4" t="str">
        <f t="array" ref="E2253">XLOOKUP(A2253,'Fintech, Regulatory Arbitrage, '!A:A,'Fintech, Regulatory Arbitrage, '!C:C,"")</f>
        <v/>
      </c>
    </row>
    <row r="2254">
      <c r="A2254" s="1" t="s">
        <v>2273</v>
      </c>
      <c r="B2254" s="2">
        <v>30.0</v>
      </c>
      <c r="C2254" s="4"/>
      <c r="E2254" s="4" t="str">
        <f t="array" ref="E2254">XLOOKUP(A2254,'Fintech, Regulatory Arbitrage, '!A:A,'Fintech, Regulatory Arbitrage, '!C:C,"")</f>
        <v/>
      </c>
    </row>
    <row r="2255">
      <c r="A2255" s="1" t="s">
        <v>2274</v>
      </c>
      <c r="B2255" s="2">
        <v>30.0</v>
      </c>
      <c r="C2255" s="4"/>
      <c r="E2255" s="4" t="str">
        <f t="array" ref="E2255">XLOOKUP(A2255,'Fintech, Regulatory Arbitrage, '!A:A,'Fintech, Regulatory Arbitrage, '!C:C,"")</f>
        <v/>
      </c>
    </row>
    <row r="2256">
      <c r="A2256" s="1" t="s">
        <v>2275</v>
      </c>
      <c r="B2256" s="2">
        <v>30.0</v>
      </c>
      <c r="C2256" s="4"/>
      <c r="E2256" s="4" t="str">
        <f t="array" ref="E2256">XLOOKUP(A2256,'Fintech, Regulatory Arbitrage, '!A:A,'Fintech, Regulatory Arbitrage, '!C:C,"")</f>
        <v/>
      </c>
    </row>
    <row r="2257">
      <c r="A2257" s="1" t="s">
        <v>2276</v>
      </c>
      <c r="B2257" s="2">
        <v>30.0</v>
      </c>
      <c r="C2257" s="4"/>
      <c r="E2257" s="4" t="str">
        <f t="array" ref="E2257">XLOOKUP(A2257,'Fintech, Regulatory Arbitrage, '!A:A,'Fintech, Regulatory Arbitrage, '!C:C,"")</f>
        <v/>
      </c>
    </row>
    <row r="2258">
      <c r="A2258" s="1" t="s">
        <v>2277</v>
      </c>
      <c r="B2258" s="2">
        <v>30.0</v>
      </c>
      <c r="C2258" s="4"/>
      <c r="E2258" s="4" t="str">
        <f t="array" ref="E2258">XLOOKUP(A2258,'Fintech, Regulatory Arbitrage, '!A:A,'Fintech, Regulatory Arbitrage, '!C:C,"")</f>
        <v/>
      </c>
    </row>
    <row r="2259">
      <c r="A2259" s="1" t="s">
        <v>2278</v>
      </c>
      <c r="B2259" s="2">
        <v>30.0</v>
      </c>
      <c r="C2259" s="4"/>
      <c r="E2259" s="4" t="str">
        <f t="array" ref="E2259">XLOOKUP(A2259,'Fintech, Regulatory Arbitrage, '!A:A,'Fintech, Regulatory Arbitrage, '!C:C,"")</f>
        <v/>
      </c>
    </row>
    <row r="2260">
      <c r="A2260" s="1" t="s">
        <v>2279</v>
      </c>
      <c r="B2260" s="2">
        <v>30.0</v>
      </c>
      <c r="C2260" s="4"/>
      <c r="E2260" s="4" t="str">
        <f t="array" ref="E2260">XLOOKUP(A2260,'Fintech, Regulatory Arbitrage, '!A:A,'Fintech, Regulatory Arbitrage, '!C:C,"")</f>
        <v/>
      </c>
    </row>
    <row r="2261">
      <c r="A2261" s="1" t="s">
        <v>2280</v>
      </c>
      <c r="B2261" s="2">
        <v>30.0</v>
      </c>
      <c r="C2261" s="4"/>
      <c r="E2261" s="4" t="str">
        <f t="array" ref="E2261">XLOOKUP(A2261,'Fintech, Regulatory Arbitrage, '!A:A,'Fintech, Regulatory Arbitrage, '!C:C,"")</f>
        <v/>
      </c>
    </row>
    <row r="2262">
      <c r="A2262" s="1" t="s">
        <v>2281</v>
      </c>
      <c r="B2262" s="2">
        <v>30.0</v>
      </c>
      <c r="C2262" s="4"/>
      <c r="E2262" s="4" t="str">
        <f t="array" ref="E2262">XLOOKUP(A2262,'Fintech, Regulatory Arbitrage, '!A:A,'Fintech, Regulatory Arbitrage, '!C:C,"")</f>
        <v/>
      </c>
    </row>
    <row r="2263">
      <c r="A2263" s="1" t="s">
        <v>2282</v>
      </c>
      <c r="B2263" s="2">
        <v>30.0</v>
      </c>
      <c r="C2263" s="4"/>
      <c r="E2263" s="4" t="str">
        <f t="array" ref="E2263">XLOOKUP(A2263,'Fintech, Regulatory Arbitrage, '!A:A,'Fintech, Regulatory Arbitrage, '!C:C,"")</f>
        <v/>
      </c>
    </row>
    <row r="2264">
      <c r="A2264" s="1" t="s">
        <v>2283</v>
      </c>
      <c r="B2264" s="2">
        <v>30.0</v>
      </c>
      <c r="C2264" s="4"/>
      <c r="E2264" s="4" t="str">
        <f t="array" ref="E2264">XLOOKUP(A2264,'Fintech, Regulatory Arbitrage, '!A:A,'Fintech, Regulatory Arbitrage, '!C:C,"")</f>
        <v/>
      </c>
    </row>
    <row r="2265">
      <c r="A2265" s="1" t="s">
        <v>2284</v>
      </c>
      <c r="B2265" s="2">
        <v>30.0</v>
      </c>
      <c r="C2265" s="4"/>
      <c r="E2265" s="4" t="str">
        <f t="array" ref="E2265">XLOOKUP(A2265,'Fintech, Regulatory Arbitrage, '!A:A,'Fintech, Regulatory Arbitrage, '!C:C,"")</f>
        <v/>
      </c>
    </row>
    <row r="2266">
      <c r="A2266" s="1" t="s">
        <v>2285</v>
      </c>
      <c r="B2266" s="2">
        <v>30.0</v>
      </c>
      <c r="C2266" s="4"/>
      <c r="E2266" s="4" t="str">
        <f t="array" ref="E2266">XLOOKUP(A2266,'Fintech, Regulatory Arbitrage, '!A:A,'Fintech, Regulatory Arbitrage, '!C:C,"")</f>
        <v/>
      </c>
    </row>
    <row r="2267">
      <c r="A2267" s="1" t="s">
        <v>2286</v>
      </c>
      <c r="B2267" s="2">
        <v>30.0</v>
      </c>
      <c r="C2267" s="4"/>
      <c r="E2267" s="4" t="str">
        <f t="array" ref="E2267">XLOOKUP(A2267,'Fintech, Regulatory Arbitrage, '!A:A,'Fintech, Regulatory Arbitrage, '!C:C,"")</f>
        <v/>
      </c>
    </row>
    <row r="2268">
      <c r="A2268" s="1" t="s">
        <v>2287</v>
      </c>
      <c r="B2268" s="2">
        <v>30.0</v>
      </c>
      <c r="C2268" s="4"/>
      <c r="E2268" s="4" t="str">
        <f t="array" ref="E2268">XLOOKUP(A2268,'Fintech, Regulatory Arbitrage, '!A:A,'Fintech, Regulatory Arbitrage, '!C:C,"")</f>
        <v/>
      </c>
    </row>
    <row r="2269">
      <c r="A2269" s="1" t="s">
        <v>2288</v>
      </c>
      <c r="B2269" s="2">
        <v>30.0</v>
      </c>
      <c r="C2269" s="4"/>
      <c r="E2269" s="4" t="str">
        <f t="array" ref="E2269">XLOOKUP(A2269,'Fintech, Regulatory Arbitrage, '!A:A,'Fintech, Regulatory Arbitrage, '!C:C,"")</f>
        <v/>
      </c>
    </row>
    <row r="2270">
      <c r="A2270" s="1" t="s">
        <v>2289</v>
      </c>
      <c r="B2270" s="2">
        <v>30.0</v>
      </c>
      <c r="C2270" s="4"/>
      <c r="E2270" s="4" t="str">
        <f t="array" ref="E2270">XLOOKUP(A2270,'Fintech, Regulatory Arbitrage, '!A:A,'Fintech, Regulatory Arbitrage, '!C:C,"")</f>
        <v/>
      </c>
    </row>
    <row r="2271">
      <c r="A2271" s="1" t="s">
        <v>2290</v>
      </c>
      <c r="B2271" s="2">
        <v>30.0</v>
      </c>
      <c r="C2271" s="4"/>
      <c r="E2271" s="4" t="str">
        <f t="array" ref="E2271">XLOOKUP(A2271,'Fintech, Regulatory Arbitrage, '!A:A,'Fintech, Regulatory Arbitrage, '!C:C,"")</f>
        <v/>
      </c>
    </row>
    <row r="2272">
      <c r="A2272" s="1" t="s">
        <v>2291</v>
      </c>
      <c r="B2272" s="2">
        <v>30.0</v>
      </c>
      <c r="C2272" s="4"/>
      <c r="E2272" s="4" t="str">
        <f t="array" ref="E2272">XLOOKUP(A2272,'Fintech, Regulatory Arbitrage, '!A:A,'Fintech, Regulatory Arbitrage, '!C:C,"")</f>
        <v/>
      </c>
    </row>
    <row r="2273">
      <c r="A2273" s="1" t="s">
        <v>2292</v>
      </c>
      <c r="B2273" s="2">
        <v>30.0</v>
      </c>
      <c r="C2273" s="4"/>
      <c r="E2273" s="4" t="str">
        <f t="array" ref="E2273">XLOOKUP(A2273,'Fintech, Regulatory Arbitrage, '!A:A,'Fintech, Regulatory Arbitrage, '!C:C,"")</f>
        <v/>
      </c>
    </row>
    <row r="2274">
      <c r="A2274" s="1" t="s">
        <v>2293</v>
      </c>
      <c r="B2274" s="2">
        <v>30.0</v>
      </c>
      <c r="C2274" s="4"/>
      <c r="E2274" s="4" t="str">
        <f t="array" ref="E2274">XLOOKUP(A2274,'Fintech, Regulatory Arbitrage, '!A:A,'Fintech, Regulatory Arbitrage, '!C:C,"")</f>
        <v/>
      </c>
    </row>
    <row r="2275">
      <c r="A2275" s="1" t="s">
        <v>2294</v>
      </c>
      <c r="B2275" s="2">
        <v>30.0</v>
      </c>
      <c r="C2275" s="4"/>
      <c r="E2275" s="4" t="str">
        <f t="array" ref="E2275">XLOOKUP(A2275,'Fintech, Regulatory Arbitrage, '!A:A,'Fintech, Regulatory Arbitrage, '!C:C,"")</f>
        <v/>
      </c>
    </row>
    <row r="2276">
      <c r="A2276" s="1" t="s">
        <v>2295</v>
      </c>
      <c r="B2276" s="2">
        <v>30.0</v>
      </c>
      <c r="C2276" s="4"/>
      <c r="E2276" s="4" t="str">
        <f t="array" ref="E2276">XLOOKUP(A2276,'Fintech, Regulatory Arbitrage, '!A:A,'Fintech, Regulatory Arbitrage, '!C:C,"")</f>
        <v/>
      </c>
    </row>
    <row r="2277">
      <c r="A2277" s="1" t="s">
        <v>2296</v>
      </c>
      <c r="B2277" s="2">
        <v>30.0</v>
      </c>
      <c r="C2277" s="4"/>
      <c r="E2277" s="4" t="str">
        <f t="array" ref="E2277">XLOOKUP(A2277,'Fintech, Regulatory Arbitrage, '!A:A,'Fintech, Regulatory Arbitrage, '!C:C,"")</f>
        <v/>
      </c>
    </row>
    <row r="2278">
      <c r="A2278" s="1" t="s">
        <v>2297</v>
      </c>
      <c r="B2278" s="2">
        <v>30.0</v>
      </c>
      <c r="C2278" s="4"/>
      <c r="E2278" s="4" t="str">
        <f t="array" ref="E2278">XLOOKUP(A2278,'Fintech, Regulatory Arbitrage, '!A:A,'Fintech, Regulatory Arbitrage, '!C:C,"")</f>
        <v/>
      </c>
    </row>
    <row r="2279">
      <c r="A2279" s="1" t="s">
        <v>2298</v>
      </c>
      <c r="B2279" s="2">
        <v>30.0</v>
      </c>
      <c r="C2279" s="4"/>
      <c r="E2279" s="4" t="str">
        <f t="array" ref="E2279">XLOOKUP(A2279,'Fintech, Regulatory Arbitrage, '!A:A,'Fintech, Regulatory Arbitrage, '!C:C,"")</f>
        <v/>
      </c>
    </row>
    <row r="2280">
      <c r="A2280" s="1" t="s">
        <v>2299</v>
      </c>
      <c r="B2280" s="2">
        <v>30.0</v>
      </c>
      <c r="C2280" s="4"/>
      <c r="E2280" s="4" t="str">
        <f t="array" ref="E2280">XLOOKUP(A2280,'Fintech, Regulatory Arbitrage, '!A:A,'Fintech, Regulatory Arbitrage, '!C:C,"")</f>
        <v/>
      </c>
    </row>
    <row r="2281">
      <c r="A2281" s="1" t="s">
        <v>2300</v>
      </c>
      <c r="B2281" s="2">
        <v>30.0</v>
      </c>
      <c r="C2281" s="4"/>
      <c r="E2281" s="4" t="str">
        <f t="array" ref="E2281">XLOOKUP(A2281,'Fintech, Regulatory Arbitrage, '!A:A,'Fintech, Regulatory Arbitrage, '!C:C,"")</f>
        <v/>
      </c>
    </row>
    <row r="2282">
      <c r="A2282" s="1" t="s">
        <v>2301</v>
      </c>
      <c r="B2282" s="2">
        <v>30.0</v>
      </c>
      <c r="C2282" s="4"/>
      <c r="E2282" s="4" t="str">
        <f t="array" ref="E2282">XLOOKUP(A2282,'Fintech, Regulatory Arbitrage, '!A:A,'Fintech, Regulatory Arbitrage, '!C:C,"")</f>
        <v/>
      </c>
    </row>
    <row r="2283">
      <c r="A2283" s="1" t="s">
        <v>2302</v>
      </c>
      <c r="B2283" s="2">
        <v>30.0</v>
      </c>
      <c r="C2283" s="4"/>
      <c r="E2283" s="4" t="str">
        <f t="array" ref="E2283">XLOOKUP(A2283,'Fintech, Regulatory Arbitrage, '!A:A,'Fintech, Regulatory Arbitrage, '!C:C,"")</f>
        <v/>
      </c>
    </row>
    <row r="2284">
      <c r="A2284" s="1" t="s">
        <v>2303</v>
      </c>
      <c r="B2284" s="2">
        <v>30.0</v>
      </c>
      <c r="C2284" s="4"/>
      <c r="E2284" s="4" t="str">
        <f t="array" ref="E2284">XLOOKUP(A2284,'Fintech, Regulatory Arbitrage, '!A:A,'Fintech, Regulatory Arbitrage, '!C:C,"")</f>
        <v/>
      </c>
    </row>
    <row r="2285">
      <c r="A2285" s="1" t="s">
        <v>2304</v>
      </c>
      <c r="B2285" s="2">
        <v>30.0</v>
      </c>
      <c r="C2285" s="4"/>
      <c r="E2285" s="4" t="str">
        <f t="array" ref="E2285">XLOOKUP(A2285,'Fintech, Regulatory Arbitrage, '!A:A,'Fintech, Regulatory Arbitrage, '!C:C,"")</f>
        <v/>
      </c>
    </row>
    <row r="2286">
      <c r="A2286" s="1" t="s">
        <v>2305</v>
      </c>
      <c r="B2286" s="2">
        <v>30.0</v>
      </c>
      <c r="C2286" s="4"/>
      <c r="E2286" s="4" t="str">
        <f t="array" ref="E2286">XLOOKUP(A2286,'Fintech, Regulatory Arbitrage, '!A:A,'Fintech, Regulatory Arbitrage, '!C:C,"")</f>
        <v/>
      </c>
    </row>
    <row r="2287">
      <c r="A2287" s="1" t="s">
        <v>2306</v>
      </c>
      <c r="B2287" s="2">
        <v>30.0</v>
      </c>
      <c r="C2287" s="4"/>
      <c r="E2287" s="4" t="str">
        <f t="array" ref="E2287">XLOOKUP(A2287,'Fintech, Regulatory Arbitrage, '!A:A,'Fintech, Regulatory Arbitrage, '!C:C,"")</f>
        <v/>
      </c>
    </row>
    <row r="2288">
      <c r="A2288" s="1" t="s">
        <v>2307</v>
      </c>
      <c r="B2288" s="2">
        <v>30.0</v>
      </c>
      <c r="C2288" s="4"/>
      <c r="E2288" s="4" t="str">
        <f t="array" ref="E2288">XLOOKUP(A2288,'Fintech, Regulatory Arbitrage, '!A:A,'Fintech, Regulatory Arbitrage, '!C:C,"")</f>
        <v/>
      </c>
    </row>
    <row r="2289">
      <c r="A2289" s="1" t="s">
        <v>2308</v>
      </c>
      <c r="B2289" s="2">
        <v>30.0</v>
      </c>
      <c r="C2289" s="4"/>
      <c r="E2289" s="4" t="str">
        <f t="array" ref="E2289">XLOOKUP(A2289,'Fintech, Regulatory Arbitrage, '!A:A,'Fintech, Regulatory Arbitrage, '!C:C,"")</f>
        <v/>
      </c>
    </row>
    <row r="2290">
      <c r="A2290" s="1" t="s">
        <v>2309</v>
      </c>
      <c r="B2290" s="2">
        <v>29.0</v>
      </c>
      <c r="C2290" s="4"/>
      <c r="E2290" s="4" t="str">
        <f t="array" ref="E2290">XLOOKUP(A2290,'Fintech, Regulatory Arbitrage, '!A:A,'Fintech, Regulatory Arbitrage, '!C:C,"")</f>
        <v/>
      </c>
    </row>
    <row r="2291">
      <c r="A2291" s="1" t="s">
        <v>2310</v>
      </c>
      <c r="B2291" s="2">
        <v>29.0</v>
      </c>
      <c r="C2291" s="4"/>
      <c r="E2291" s="4" t="str">
        <f t="array" ref="E2291">XLOOKUP(A2291,'Fintech, Regulatory Arbitrage, '!A:A,'Fintech, Regulatory Arbitrage, '!C:C,"")</f>
        <v/>
      </c>
    </row>
    <row r="2292">
      <c r="A2292" s="1" t="s">
        <v>2311</v>
      </c>
      <c r="B2292" s="2">
        <v>29.0</v>
      </c>
      <c r="C2292" s="4"/>
      <c r="E2292" s="4" t="str">
        <f t="array" ref="E2292">XLOOKUP(A2292,'Fintech, Regulatory Arbitrage, '!A:A,'Fintech, Regulatory Arbitrage, '!C:C,"")</f>
        <v/>
      </c>
    </row>
    <row r="2293">
      <c r="A2293" s="1" t="s">
        <v>2312</v>
      </c>
      <c r="B2293" s="2">
        <v>29.0</v>
      </c>
      <c r="C2293" s="4"/>
      <c r="E2293" s="4" t="str">
        <f t="array" ref="E2293">XLOOKUP(A2293,'Fintech, Regulatory Arbitrage, '!A:A,'Fintech, Regulatory Arbitrage, '!C:C,"")</f>
        <v/>
      </c>
    </row>
    <row r="2294">
      <c r="A2294" s="1" t="s">
        <v>2313</v>
      </c>
      <c r="B2294" s="2">
        <v>29.0</v>
      </c>
      <c r="C2294" s="4"/>
      <c r="E2294" s="4" t="str">
        <f t="array" ref="E2294">XLOOKUP(A2294,'Fintech, Regulatory Arbitrage, '!A:A,'Fintech, Regulatory Arbitrage, '!C:C,"")</f>
        <v/>
      </c>
    </row>
    <row r="2295">
      <c r="A2295" s="1" t="s">
        <v>2314</v>
      </c>
      <c r="B2295" s="2">
        <v>29.0</v>
      </c>
      <c r="C2295" s="4"/>
      <c r="E2295" s="4" t="str">
        <f t="array" ref="E2295">XLOOKUP(A2295,'Fintech, Regulatory Arbitrage, '!A:A,'Fintech, Regulatory Arbitrage, '!C:C,"")</f>
        <v/>
      </c>
    </row>
    <row r="2296">
      <c r="A2296" s="1" t="s">
        <v>2315</v>
      </c>
      <c r="B2296" s="2">
        <v>29.0</v>
      </c>
      <c r="C2296" s="4"/>
      <c r="E2296" s="4" t="str">
        <f t="array" ref="E2296">XLOOKUP(A2296,'Fintech, Regulatory Arbitrage, '!A:A,'Fintech, Regulatory Arbitrage, '!C:C,"")</f>
        <v/>
      </c>
    </row>
    <row r="2297">
      <c r="A2297" s="1" t="s">
        <v>2316</v>
      </c>
      <c r="B2297" s="2">
        <v>29.0</v>
      </c>
      <c r="C2297" s="4"/>
      <c r="E2297" s="4" t="str">
        <f t="array" ref="E2297">XLOOKUP(A2297,'Fintech, Regulatory Arbitrage, '!A:A,'Fintech, Regulatory Arbitrage, '!C:C,"")</f>
        <v/>
      </c>
    </row>
    <row r="2298">
      <c r="A2298" s="1" t="s">
        <v>2317</v>
      </c>
      <c r="B2298" s="2">
        <v>29.0</v>
      </c>
      <c r="C2298" s="4"/>
      <c r="E2298" s="4" t="str">
        <f t="array" ref="E2298">XLOOKUP(A2298,'Fintech, Regulatory Arbitrage, '!A:A,'Fintech, Regulatory Arbitrage, '!C:C,"")</f>
        <v/>
      </c>
    </row>
    <row r="2299">
      <c r="A2299" s="1" t="s">
        <v>2318</v>
      </c>
      <c r="B2299" s="2">
        <v>29.0</v>
      </c>
      <c r="C2299" s="4"/>
      <c r="E2299" s="4" t="str">
        <f t="array" ref="E2299">XLOOKUP(A2299,'Fintech, Regulatory Arbitrage, '!A:A,'Fintech, Regulatory Arbitrage, '!C:C,"")</f>
        <v/>
      </c>
    </row>
    <row r="2300">
      <c r="A2300" s="1" t="s">
        <v>2319</v>
      </c>
      <c r="B2300" s="2">
        <v>29.0</v>
      </c>
      <c r="C2300" s="4"/>
      <c r="E2300" s="4" t="str">
        <f t="array" ref="E2300">XLOOKUP(A2300,'Fintech, Regulatory Arbitrage, '!A:A,'Fintech, Regulatory Arbitrage, '!C:C,"")</f>
        <v/>
      </c>
    </row>
    <row r="2301">
      <c r="A2301" s="1" t="s">
        <v>2320</v>
      </c>
      <c r="B2301" s="2">
        <v>29.0</v>
      </c>
      <c r="C2301" s="4"/>
      <c r="E2301" s="4" t="str">
        <f t="array" ref="E2301">XLOOKUP(A2301,'Fintech, Regulatory Arbitrage, '!A:A,'Fintech, Regulatory Arbitrage, '!C:C,"")</f>
        <v/>
      </c>
    </row>
    <row r="2302">
      <c r="A2302" s="1" t="s">
        <v>2321</v>
      </c>
      <c r="B2302" s="2">
        <v>29.0</v>
      </c>
      <c r="C2302" s="4"/>
      <c r="E2302" s="4" t="str">
        <f t="array" ref="E2302">XLOOKUP(A2302,'Fintech, Regulatory Arbitrage, '!A:A,'Fintech, Regulatory Arbitrage, '!C:C,"")</f>
        <v/>
      </c>
    </row>
    <row r="2303">
      <c r="A2303" s="1" t="s">
        <v>2322</v>
      </c>
      <c r="B2303" s="2">
        <v>29.0</v>
      </c>
      <c r="C2303" s="4"/>
      <c r="E2303" s="4" t="str">
        <f t="array" ref="E2303">XLOOKUP(A2303,'Fintech, Regulatory Arbitrage, '!A:A,'Fintech, Regulatory Arbitrage, '!C:C,"")</f>
        <v/>
      </c>
    </row>
    <row r="2304">
      <c r="A2304" s="1" t="s">
        <v>2323</v>
      </c>
      <c r="B2304" s="2">
        <v>29.0</v>
      </c>
      <c r="C2304" s="4"/>
      <c r="E2304" s="4" t="str">
        <f t="array" ref="E2304">XLOOKUP(A2304,'Fintech, Regulatory Arbitrage, '!A:A,'Fintech, Regulatory Arbitrage, '!C:C,"")</f>
        <v/>
      </c>
    </row>
    <row r="2305">
      <c r="A2305" s="1" t="s">
        <v>2324</v>
      </c>
      <c r="B2305" s="2">
        <v>29.0</v>
      </c>
      <c r="C2305" s="4"/>
      <c r="E2305" s="4" t="str">
        <f t="array" ref="E2305">XLOOKUP(A2305,'Fintech, Regulatory Arbitrage, '!A:A,'Fintech, Regulatory Arbitrage, '!C:C,"")</f>
        <v/>
      </c>
    </row>
    <row r="2306">
      <c r="A2306" s="1" t="s">
        <v>2325</v>
      </c>
      <c r="B2306" s="2">
        <v>29.0</v>
      </c>
      <c r="C2306" s="4"/>
      <c r="E2306" s="4" t="str">
        <f t="array" ref="E2306">XLOOKUP(A2306,'Fintech, Regulatory Arbitrage, '!A:A,'Fintech, Regulatory Arbitrage, '!C:C,"")</f>
        <v/>
      </c>
    </row>
    <row r="2307">
      <c r="A2307" s="1" t="s">
        <v>2326</v>
      </c>
      <c r="B2307" s="2">
        <v>29.0</v>
      </c>
      <c r="C2307" s="4"/>
      <c r="E2307" s="4" t="str">
        <f t="array" ref="E2307">XLOOKUP(A2307,'Fintech, Regulatory Arbitrage, '!A:A,'Fintech, Regulatory Arbitrage, '!C:C,"")</f>
        <v/>
      </c>
    </row>
    <row r="2308">
      <c r="A2308" s="1" t="s">
        <v>2327</v>
      </c>
      <c r="B2308" s="2">
        <v>29.0</v>
      </c>
      <c r="C2308" s="4"/>
      <c r="E2308" s="4" t="str">
        <f t="array" ref="E2308">XLOOKUP(A2308,'Fintech, Regulatory Arbitrage, '!A:A,'Fintech, Regulatory Arbitrage, '!C:C,"")</f>
        <v/>
      </c>
    </row>
    <row r="2309">
      <c r="A2309" s="1" t="s">
        <v>2328</v>
      </c>
      <c r="B2309" s="2">
        <v>29.0</v>
      </c>
      <c r="C2309" s="4"/>
      <c r="E2309" s="4" t="str">
        <f t="array" ref="E2309">XLOOKUP(A2309,'Fintech, Regulatory Arbitrage, '!A:A,'Fintech, Regulatory Arbitrage, '!C:C,"")</f>
        <v/>
      </c>
    </row>
    <row r="2310">
      <c r="A2310" s="1" t="s">
        <v>2329</v>
      </c>
      <c r="B2310" s="2">
        <v>29.0</v>
      </c>
      <c r="C2310" s="4"/>
      <c r="E2310" s="4" t="str">
        <f t="array" ref="E2310">XLOOKUP(A2310,'Fintech, Regulatory Arbitrage, '!A:A,'Fintech, Regulatory Arbitrage, '!C:C,"")</f>
        <v/>
      </c>
    </row>
    <row r="2311">
      <c r="A2311" s="1" t="s">
        <v>2330</v>
      </c>
      <c r="B2311" s="2">
        <v>29.0</v>
      </c>
      <c r="C2311" s="4"/>
      <c r="E2311" s="4" t="str">
        <f t="array" ref="E2311">XLOOKUP(A2311,'Fintech, Regulatory Arbitrage, '!A:A,'Fintech, Regulatory Arbitrage, '!C:C,"")</f>
        <v/>
      </c>
    </row>
    <row r="2312">
      <c r="A2312" s="1" t="s">
        <v>2331</v>
      </c>
      <c r="B2312" s="2">
        <v>29.0</v>
      </c>
      <c r="C2312" s="4"/>
      <c r="E2312" s="4" t="str">
        <f t="array" ref="E2312">XLOOKUP(A2312,'Fintech, Regulatory Arbitrage, '!A:A,'Fintech, Regulatory Arbitrage, '!C:C,"")</f>
        <v/>
      </c>
    </row>
    <row r="2313">
      <c r="A2313" s="1" t="s">
        <v>2332</v>
      </c>
      <c r="B2313" s="2">
        <v>29.0</v>
      </c>
      <c r="C2313" s="4"/>
      <c r="E2313" s="4" t="str">
        <f t="array" ref="E2313">XLOOKUP(A2313,'Fintech, Regulatory Arbitrage, '!A:A,'Fintech, Regulatory Arbitrage, '!C:C,"")</f>
        <v/>
      </c>
    </row>
    <row r="2314">
      <c r="A2314" s="1" t="s">
        <v>2333</v>
      </c>
      <c r="B2314" s="2">
        <v>29.0</v>
      </c>
      <c r="C2314" s="4"/>
      <c r="E2314" s="4" t="str">
        <f t="array" ref="E2314">XLOOKUP(A2314,'Fintech, Regulatory Arbitrage, '!A:A,'Fintech, Regulatory Arbitrage, '!C:C,"")</f>
        <v/>
      </c>
    </row>
    <row r="2315">
      <c r="A2315" s="1" t="s">
        <v>2334</v>
      </c>
      <c r="B2315" s="2">
        <v>29.0</v>
      </c>
      <c r="C2315" s="4"/>
      <c r="E2315" s="4" t="str">
        <f t="array" ref="E2315">XLOOKUP(A2315,'Fintech, Regulatory Arbitrage, '!A:A,'Fintech, Regulatory Arbitrage, '!C:C,"")</f>
        <v/>
      </c>
    </row>
    <row r="2316">
      <c r="A2316" s="1" t="s">
        <v>2335</v>
      </c>
      <c r="B2316" s="2">
        <v>29.0</v>
      </c>
      <c r="C2316" s="4"/>
      <c r="E2316" s="4" t="str">
        <f t="array" ref="E2316">XLOOKUP(A2316,'Fintech, Regulatory Arbitrage, '!A:A,'Fintech, Regulatory Arbitrage, '!C:C,"")</f>
        <v/>
      </c>
    </row>
    <row r="2317">
      <c r="A2317" s="1" t="s">
        <v>2336</v>
      </c>
      <c r="B2317" s="2">
        <v>29.0</v>
      </c>
      <c r="C2317" s="4"/>
      <c r="E2317" s="4" t="str">
        <f t="array" ref="E2317">XLOOKUP(A2317,'Fintech, Regulatory Arbitrage, '!A:A,'Fintech, Regulatory Arbitrage, '!C:C,"")</f>
        <v/>
      </c>
    </row>
    <row r="2318">
      <c r="A2318" s="1" t="s">
        <v>2337</v>
      </c>
      <c r="B2318" s="2">
        <v>29.0</v>
      </c>
      <c r="C2318" s="4"/>
      <c r="E2318" s="4" t="str">
        <f t="array" ref="E2318">XLOOKUP(A2318,'Fintech, Regulatory Arbitrage, '!A:A,'Fintech, Regulatory Arbitrage, '!C:C,"")</f>
        <v/>
      </c>
    </row>
    <row r="2319">
      <c r="A2319" s="1" t="s">
        <v>2338</v>
      </c>
      <c r="B2319" s="2">
        <v>29.0</v>
      </c>
      <c r="C2319" s="4"/>
      <c r="E2319" s="4" t="str">
        <f t="array" ref="E2319">XLOOKUP(A2319,'Fintech, Regulatory Arbitrage, '!A:A,'Fintech, Regulatory Arbitrage, '!C:C,"")</f>
        <v/>
      </c>
    </row>
    <row r="2320">
      <c r="A2320" s="1" t="s">
        <v>2339</v>
      </c>
      <c r="B2320" s="2">
        <v>29.0</v>
      </c>
      <c r="C2320" s="4"/>
      <c r="E2320" s="4" t="str">
        <f t="array" ref="E2320">XLOOKUP(A2320,'Fintech, Regulatory Arbitrage, '!A:A,'Fintech, Regulatory Arbitrage, '!C:C,"")</f>
        <v/>
      </c>
    </row>
    <row r="2321">
      <c r="A2321" s="1" t="s">
        <v>2340</v>
      </c>
      <c r="B2321" s="2">
        <v>29.0</v>
      </c>
      <c r="C2321" s="4"/>
      <c r="E2321" s="4" t="str">
        <f t="array" ref="E2321">XLOOKUP(A2321,'Fintech, Regulatory Arbitrage, '!A:A,'Fintech, Regulatory Arbitrage, '!C:C,"")</f>
        <v/>
      </c>
    </row>
    <row r="2322">
      <c r="A2322" s="1" t="s">
        <v>2341</v>
      </c>
      <c r="B2322" s="2">
        <v>29.0</v>
      </c>
      <c r="C2322" s="4"/>
      <c r="E2322" s="4" t="str">
        <f t="array" ref="E2322">XLOOKUP(A2322,'Fintech, Regulatory Arbitrage, '!A:A,'Fintech, Regulatory Arbitrage, '!C:C,"")</f>
        <v/>
      </c>
    </row>
    <row r="2323">
      <c r="A2323" s="1" t="s">
        <v>2342</v>
      </c>
      <c r="B2323" s="2">
        <v>29.0</v>
      </c>
      <c r="C2323" s="4"/>
      <c r="E2323" s="4" t="str">
        <f t="array" ref="E2323">XLOOKUP(A2323,'Fintech, Regulatory Arbitrage, '!A:A,'Fintech, Regulatory Arbitrage, '!C:C,"")</f>
        <v/>
      </c>
    </row>
    <row r="2324">
      <c r="A2324" s="1" t="s">
        <v>2343</v>
      </c>
      <c r="B2324" s="2">
        <v>29.0</v>
      </c>
      <c r="C2324" s="4"/>
      <c r="E2324" s="4" t="str">
        <f t="array" ref="E2324">XLOOKUP(A2324,'Fintech, Regulatory Arbitrage, '!A:A,'Fintech, Regulatory Arbitrage, '!C:C,"")</f>
        <v/>
      </c>
    </row>
    <row r="2325">
      <c r="A2325" s="1" t="s">
        <v>2344</v>
      </c>
      <c r="B2325" s="2">
        <v>29.0</v>
      </c>
      <c r="C2325" s="4"/>
      <c r="E2325" s="4" t="str">
        <f t="array" ref="E2325">XLOOKUP(A2325,'Fintech, Regulatory Arbitrage, '!A:A,'Fintech, Regulatory Arbitrage, '!C:C,"")</f>
        <v/>
      </c>
    </row>
    <row r="2326">
      <c r="A2326" s="1" t="s">
        <v>2345</v>
      </c>
      <c r="B2326" s="2">
        <v>28.0</v>
      </c>
      <c r="C2326" s="4"/>
      <c r="E2326" s="4" t="str">
        <f t="array" ref="E2326">XLOOKUP(A2326,'Fintech, Regulatory Arbitrage, '!A:A,'Fintech, Regulatory Arbitrage, '!C:C,"")</f>
        <v/>
      </c>
    </row>
    <row r="2327">
      <c r="A2327" s="1" t="s">
        <v>2346</v>
      </c>
      <c r="B2327" s="2">
        <v>28.0</v>
      </c>
      <c r="C2327" s="4"/>
      <c r="E2327" s="4" t="str">
        <f t="array" ref="E2327">XLOOKUP(A2327,'Fintech, Regulatory Arbitrage, '!A:A,'Fintech, Regulatory Arbitrage, '!C:C,"")</f>
        <v/>
      </c>
    </row>
    <row r="2328">
      <c r="A2328" s="1" t="s">
        <v>2347</v>
      </c>
      <c r="B2328" s="2">
        <v>28.0</v>
      </c>
      <c r="C2328" s="4"/>
      <c r="E2328" s="4" t="str">
        <f t="array" ref="E2328">XLOOKUP(A2328,'Fintech, Regulatory Arbitrage, '!A:A,'Fintech, Regulatory Arbitrage, '!C:C,"")</f>
        <v/>
      </c>
    </row>
    <row r="2329">
      <c r="A2329" s="1" t="s">
        <v>2348</v>
      </c>
      <c r="B2329" s="2">
        <v>28.0</v>
      </c>
      <c r="C2329" s="4"/>
      <c r="E2329" s="4" t="str">
        <f t="array" ref="E2329">XLOOKUP(A2329,'Fintech, Regulatory Arbitrage, '!A:A,'Fintech, Regulatory Arbitrage, '!C:C,"")</f>
        <v/>
      </c>
    </row>
    <row r="2330">
      <c r="A2330" s="1" t="s">
        <v>2349</v>
      </c>
      <c r="B2330" s="2">
        <v>28.0</v>
      </c>
      <c r="C2330" s="4"/>
      <c r="E2330" s="4" t="str">
        <f t="array" ref="E2330">XLOOKUP(A2330,'Fintech, Regulatory Arbitrage, '!A:A,'Fintech, Regulatory Arbitrage, '!C:C,"")</f>
        <v/>
      </c>
    </row>
    <row r="2331">
      <c r="A2331" s="1" t="s">
        <v>2350</v>
      </c>
      <c r="B2331" s="2">
        <v>28.0</v>
      </c>
      <c r="C2331" s="4"/>
      <c r="E2331" s="4" t="str">
        <f t="array" ref="E2331">XLOOKUP(A2331,'Fintech, Regulatory Arbitrage, '!A:A,'Fintech, Regulatory Arbitrage, '!C:C,"")</f>
        <v/>
      </c>
    </row>
    <row r="2332">
      <c r="A2332" s="1" t="s">
        <v>2351</v>
      </c>
      <c r="B2332" s="2">
        <v>28.0</v>
      </c>
      <c r="C2332" s="4"/>
      <c r="E2332" s="4" t="str">
        <f t="array" ref="E2332">XLOOKUP(A2332,'Fintech, Regulatory Arbitrage, '!A:A,'Fintech, Regulatory Arbitrage, '!C:C,"")</f>
        <v/>
      </c>
    </row>
    <row r="2333">
      <c r="A2333" s="1" t="s">
        <v>2352</v>
      </c>
      <c r="B2333" s="2">
        <v>28.0</v>
      </c>
      <c r="C2333" s="4"/>
      <c r="E2333" s="4" t="str">
        <f t="array" ref="E2333">XLOOKUP(A2333,'Fintech, Regulatory Arbitrage, '!A:A,'Fintech, Regulatory Arbitrage, '!C:C,"")</f>
        <v/>
      </c>
    </row>
    <row r="2334">
      <c r="A2334" s="1" t="s">
        <v>2353</v>
      </c>
      <c r="B2334" s="2">
        <v>28.0</v>
      </c>
      <c r="C2334" s="4"/>
      <c r="E2334" s="4" t="str">
        <f t="array" ref="E2334">XLOOKUP(A2334,'Fintech, Regulatory Arbitrage, '!A:A,'Fintech, Regulatory Arbitrage, '!C:C,"")</f>
        <v/>
      </c>
    </row>
    <row r="2335">
      <c r="A2335" s="1" t="s">
        <v>2354</v>
      </c>
      <c r="B2335" s="2">
        <v>28.0</v>
      </c>
      <c r="C2335" s="4"/>
      <c r="E2335" s="4" t="str">
        <f t="array" ref="E2335">XLOOKUP(A2335,'Fintech, Regulatory Arbitrage, '!A:A,'Fintech, Regulatory Arbitrage, '!C:C,"")</f>
        <v/>
      </c>
    </row>
    <row r="2336">
      <c r="A2336" s="1" t="s">
        <v>2355</v>
      </c>
      <c r="B2336" s="2">
        <v>28.0</v>
      </c>
      <c r="C2336" s="4"/>
      <c r="E2336" s="4" t="str">
        <f t="array" ref="E2336">XLOOKUP(A2336,'Fintech, Regulatory Arbitrage, '!A:A,'Fintech, Regulatory Arbitrage, '!C:C,"")</f>
        <v/>
      </c>
    </row>
    <row r="2337">
      <c r="A2337" s="1" t="s">
        <v>2356</v>
      </c>
      <c r="B2337" s="2">
        <v>28.0</v>
      </c>
      <c r="C2337" s="4"/>
      <c r="E2337" s="4" t="str">
        <f t="array" ref="E2337">XLOOKUP(A2337,'Fintech, Regulatory Arbitrage, '!A:A,'Fintech, Regulatory Arbitrage, '!C:C,"")</f>
        <v/>
      </c>
    </row>
    <row r="2338">
      <c r="A2338" s="1" t="s">
        <v>2357</v>
      </c>
      <c r="B2338" s="2">
        <v>28.0</v>
      </c>
      <c r="C2338" s="4"/>
      <c r="E2338" s="4" t="str">
        <f t="array" ref="E2338">XLOOKUP(A2338,'Fintech, Regulatory Arbitrage, '!A:A,'Fintech, Regulatory Arbitrage, '!C:C,"")</f>
        <v/>
      </c>
    </row>
    <row r="2339">
      <c r="A2339" s="1" t="s">
        <v>2358</v>
      </c>
      <c r="B2339" s="2">
        <v>28.0</v>
      </c>
      <c r="C2339" s="4"/>
      <c r="E2339" s="4" t="str">
        <f t="array" ref="E2339">XLOOKUP(A2339,'Fintech, Regulatory Arbitrage, '!A:A,'Fintech, Regulatory Arbitrage, '!C:C,"")</f>
        <v/>
      </c>
    </row>
    <row r="2340">
      <c r="A2340" s="1" t="s">
        <v>2359</v>
      </c>
      <c r="B2340" s="2">
        <v>28.0</v>
      </c>
      <c r="C2340" s="4"/>
      <c r="E2340" s="4" t="str">
        <f t="array" ref="E2340">XLOOKUP(A2340,'Fintech, Regulatory Arbitrage, '!A:A,'Fintech, Regulatory Arbitrage, '!C:C,"")</f>
        <v/>
      </c>
    </row>
    <row r="2341">
      <c r="A2341" s="1" t="s">
        <v>2360</v>
      </c>
      <c r="B2341" s="2">
        <v>28.0</v>
      </c>
      <c r="C2341" s="4"/>
      <c r="E2341" s="4" t="str">
        <f t="array" ref="E2341">XLOOKUP(A2341,'Fintech, Regulatory Arbitrage, '!A:A,'Fintech, Regulatory Arbitrage, '!C:C,"")</f>
        <v/>
      </c>
    </row>
    <row r="2342">
      <c r="A2342" s="1" t="s">
        <v>2361</v>
      </c>
      <c r="B2342" s="2">
        <v>28.0</v>
      </c>
      <c r="C2342" s="4"/>
      <c r="E2342" s="4" t="str">
        <f t="array" ref="E2342">XLOOKUP(A2342,'Fintech, Regulatory Arbitrage, '!A:A,'Fintech, Regulatory Arbitrage, '!C:C,"")</f>
        <v/>
      </c>
    </row>
    <row r="2343">
      <c r="A2343" s="1" t="s">
        <v>2362</v>
      </c>
      <c r="B2343" s="2">
        <v>28.0</v>
      </c>
      <c r="C2343" s="4"/>
      <c r="E2343" s="4" t="str">
        <f t="array" ref="E2343">XLOOKUP(A2343,'Fintech, Regulatory Arbitrage, '!A:A,'Fintech, Regulatory Arbitrage, '!C:C,"")</f>
        <v/>
      </c>
    </row>
    <row r="2344">
      <c r="A2344" s="1" t="s">
        <v>2363</v>
      </c>
      <c r="B2344" s="2">
        <v>28.0</v>
      </c>
      <c r="C2344" s="4"/>
      <c r="E2344" s="4" t="str">
        <f t="array" ref="E2344">XLOOKUP(A2344,'Fintech, Regulatory Arbitrage, '!A:A,'Fintech, Regulatory Arbitrage, '!C:C,"")</f>
        <v/>
      </c>
    </row>
    <row r="2345">
      <c r="A2345" s="1" t="s">
        <v>2364</v>
      </c>
      <c r="B2345" s="2">
        <v>28.0</v>
      </c>
      <c r="C2345" s="4"/>
      <c r="E2345" s="4" t="str">
        <f t="array" ref="E2345">XLOOKUP(A2345,'Fintech, Regulatory Arbitrage, '!A:A,'Fintech, Regulatory Arbitrage, '!C:C,"")</f>
        <v/>
      </c>
    </row>
    <row r="2346">
      <c r="A2346" s="1" t="s">
        <v>2365</v>
      </c>
      <c r="B2346" s="2">
        <v>28.0</v>
      </c>
      <c r="C2346" s="4"/>
      <c r="E2346" s="4" t="str">
        <f t="array" ref="E2346">XLOOKUP(A2346,'Fintech, Regulatory Arbitrage, '!A:A,'Fintech, Regulatory Arbitrage, '!C:C,"")</f>
        <v/>
      </c>
    </row>
    <row r="2347">
      <c r="A2347" s="1" t="s">
        <v>2366</v>
      </c>
      <c r="B2347" s="2">
        <v>28.0</v>
      </c>
      <c r="C2347" s="4"/>
      <c r="E2347" s="4" t="str">
        <f t="array" ref="E2347">XLOOKUP(A2347,'Fintech, Regulatory Arbitrage, '!A:A,'Fintech, Regulatory Arbitrage, '!C:C,"")</f>
        <v/>
      </c>
    </row>
    <row r="2348">
      <c r="A2348" s="1" t="s">
        <v>2367</v>
      </c>
      <c r="B2348" s="2">
        <v>28.0</v>
      </c>
      <c r="C2348" s="4"/>
      <c r="E2348" s="4" t="str">
        <f t="array" ref="E2348">XLOOKUP(A2348,'Fintech, Regulatory Arbitrage, '!A:A,'Fintech, Regulatory Arbitrage, '!C:C,"")</f>
        <v/>
      </c>
    </row>
    <row r="2349">
      <c r="A2349" s="1" t="s">
        <v>2368</v>
      </c>
      <c r="B2349" s="2">
        <v>28.0</v>
      </c>
      <c r="C2349" s="4"/>
      <c r="E2349" s="4" t="str">
        <f t="array" ref="E2349">XLOOKUP(A2349,'Fintech, Regulatory Arbitrage, '!A:A,'Fintech, Regulatory Arbitrage, '!C:C,"")</f>
        <v/>
      </c>
    </row>
    <row r="2350">
      <c r="A2350" s="1" t="s">
        <v>2369</v>
      </c>
      <c r="B2350" s="2">
        <v>28.0</v>
      </c>
      <c r="C2350" s="4"/>
      <c r="E2350" s="4" t="str">
        <f t="array" ref="E2350">XLOOKUP(A2350,'Fintech, Regulatory Arbitrage, '!A:A,'Fintech, Regulatory Arbitrage, '!C:C,"")</f>
        <v/>
      </c>
    </row>
    <row r="2351">
      <c r="A2351" s="1" t="s">
        <v>2370</v>
      </c>
      <c r="B2351" s="2">
        <v>28.0</v>
      </c>
      <c r="C2351" s="4"/>
      <c r="E2351" s="4" t="str">
        <f t="array" ref="E2351">XLOOKUP(A2351,'Fintech, Regulatory Arbitrage, '!A:A,'Fintech, Regulatory Arbitrage, '!C:C,"")</f>
        <v/>
      </c>
    </row>
    <row r="2352">
      <c r="A2352" s="1" t="s">
        <v>2371</v>
      </c>
      <c r="B2352" s="2">
        <v>28.0</v>
      </c>
      <c r="C2352" s="4"/>
      <c r="E2352" s="4" t="str">
        <f t="array" ref="E2352">XLOOKUP(A2352,'Fintech, Regulatory Arbitrage, '!A:A,'Fintech, Regulatory Arbitrage, '!C:C,"")</f>
        <v/>
      </c>
    </row>
    <row r="2353">
      <c r="A2353" s="1" t="s">
        <v>2372</v>
      </c>
      <c r="B2353" s="2">
        <v>28.0</v>
      </c>
      <c r="C2353" s="4"/>
      <c r="E2353" s="4" t="str">
        <f t="array" ref="E2353">XLOOKUP(A2353,'Fintech, Regulatory Arbitrage, '!A:A,'Fintech, Regulatory Arbitrage, '!C:C,"")</f>
        <v/>
      </c>
    </row>
    <row r="2354">
      <c r="A2354" s="1" t="s">
        <v>2373</v>
      </c>
      <c r="B2354" s="2">
        <v>28.0</v>
      </c>
      <c r="C2354" s="4"/>
      <c r="E2354" s="4" t="str">
        <f t="array" ref="E2354">XLOOKUP(A2354,'Fintech, Regulatory Arbitrage, '!A:A,'Fintech, Regulatory Arbitrage, '!C:C,"")</f>
        <v/>
      </c>
    </row>
    <row r="2355">
      <c r="A2355" s="1" t="s">
        <v>2374</v>
      </c>
      <c r="B2355" s="2">
        <v>28.0</v>
      </c>
      <c r="C2355" s="4"/>
      <c r="E2355" s="4" t="str">
        <f t="array" ref="E2355">XLOOKUP(A2355,'Fintech, Regulatory Arbitrage, '!A:A,'Fintech, Regulatory Arbitrage, '!C:C,"")</f>
        <v/>
      </c>
    </row>
    <row r="2356">
      <c r="A2356" s="1" t="s">
        <v>2375</v>
      </c>
      <c r="B2356" s="2">
        <v>28.0</v>
      </c>
      <c r="C2356" s="4"/>
      <c r="E2356" s="4" t="str">
        <f t="array" ref="E2356">XLOOKUP(A2356,'Fintech, Regulatory Arbitrage, '!A:A,'Fintech, Regulatory Arbitrage, '!C:C,"")</f>
        <v/>
      </c>
    </row>
    <row r="2357">
      <c r="A2357" s="1" t="s">
        <v>2376</v>
      </c>
      <c r="B2357" s="2">
        <v>28.0</v>
      </c>
      <c r="C2357" s="4"/>
      <c r="E2357" s="4" t="str">
        <f t="array" ref="E2357">XLOOKUP(A2357,'Fintech, Regulatory Arbitrage, '!A:A,'Fintech, Regulatory Arbitrage, '!C:C,"")</f>
        <v/>
      </c>
    </row>
    <row r="2358">
      <c r="A2358" s="1" t="s">
        <v>2377</v>
      </c>
      <c r="B2358" s="2">
        <v>28.0</v>
      </c>
      <c r="C2358" s="4"/>
      <c r="E2358" s="4" t="str">
        <f t="array" ref="E2358">XLOOKUP(A2358,'Fintech, Regulatory Arbitrage, '!A:A,'Fintech, Regulatory Arbitrage, '!C:C,"")</f>
        <v/>
      </c>
    </row>
    <row r="2359">
      <c r="A2359" s="1" t="s">
        <v>2378</v>
      </c>
      <c r="B2359" s="2">
        <v>28.0</v>
      </c>
      <c r="C2359" s="4"/>
      <c r="E2359" s="4" t="str">
        <f t="array" ref="E2359">XLOOKUP(A2359,'Fintech, Regulatory Arbitrage, '!A:A,'Fintech, Regulatory Arbitrage, '!C:C,"")</f>
        <v/>
      </c>
    </row>
    <row r="2360">
      <c r="A2360" s="1" t="s">
        <v>2379</v>
      </c>
      <c r="B2360" s="2">
        <v>28.0</v>
      </c>
      <c r="C2360" s="4"/>
      <c r="E2360" s="4" t="str">
        <f t="array" ref="E2360">XLOOKUP(A2360,'Fintech, Regulatory Arbitrage, '!A:A,'Fintech, Regulatory Arbitrage, '!C:C,"")</f>
        <v/>
      </c>
    </row>
    <row r="2361">
      <c r="A2361" s="1" t="s">
        <v>2380</v>
      </c>
      <c r="B2361" s="2">
        <v>28.0</v>
      </c>
      <c r="C2361" s="4"/>
      <c r="E2361" s="4" t="str">
        <f t="array" ref="E2361">XLOOKUP(A2361,'Fintech, Regulatory Arbitrage, '!A:A,'Fintech, Regulatory Arbitrage, '!C:C,"")</f>
        <v/>
      </c>
    </row>
    <row r="2362">
      <c r="A2362" s="1" t="s">
        <v>2381</v>
      </c>
      <c r="B2362" s="2">
        <v>28.0</v>
      </c>
      <c r="C2362" s="4"/>
      <c r="E2362" s="4" t="str">
        <f t="array" ref="E2362">XLOOKUP(A2362,'Fintech, Regulatory Arbitrage, '!A:A,'Fintech, Regulatory Arbitrage, '!C:C,"")</f>
        <v/>
      </c>
    </row>
    <row r="2363">
      <c r="A2363" s="1" t="s">
        <v>2382</v>
      </c>
      <c r="B2363" s="2">
        <v>28.0</v>
      </c>
      <c r="C2363" s="4"/>
      <c r="E2363" s="4" t="str">
        <f t="array" ref="E2363">XLOOKUP(A2363,'Fintech, Regulatory Arbitrage, '!A:A,'Fintech, Regulatory Arbitrage, '!C:C,"")</f>
        <v/>
      </c>
    </row>
    <row r="2364">
      <c r="A2364" s="1" t="s">
        <v>2383</v>
      </c>
      <c r="B2364" s="2">
        <v>28.0</v>
      </c>
      <c r="C2364" s="4"/>
      <c r="E2364" s="4" t="str">
        <f t="array" ref="E2364">XLOOKUP(A2364,'Fintech, Regulatory Arbitrage, '!A:A,'Fintech, Regulatory Arbitrage, '!C:C,"")</f>
        <v/>
      </c>
    </row>
    <row r="2365">
      <c r="A2365" s="1" t="s">
        <v>2384</v>
      </c>
      <c r="B2365" s="2">
        <v>28.0</v>
      </c>
      <c r="C2365" s="4"/>
      <c r="E2365" s="4" t="str">
        <f t="array" ref="E2365">XLOOKUP(A2365,'Fintech, Regulatory Arbitrage, '!A:A,'Fintech, Regulatory Arbitrage, '!C:C,"")</f>
        <v/>
      </c>
    </row>
    <row r="2366">
      <c r="A2366" s="1" t="s">
        <v>2385</v>
      </c>
      <c r="B2366" s="2">
        <v>28.0</v>
      </c>
      <c r="C2366" s="4"/>
      <c r="E2366" s="4" t="str">
        <f t="array" ref="E2366">XLOOKUP(A2366,'Fintech, Regulatory Arbitrage, '!A:A,'Fintech, Regulatory Arbitrage, '!C:C,"")</f>
        <v/>
      </c>
    </row>
    <row r="2367">
      <c r="A2367" s="1" t="s">
        <v>2386</v>
      </c>
      <c r="B2367" s="2">
        <v>28.0</v>
      </c>
      <c r="C2367" s="4"/>
      <c r="E2367" s="4" t="str">
        <f t="array" ref="E2367">XLOOKUP(A2367,'Fintech, Regulatory Arbitrage, '!A:A,'Fintech, Regulatory Arbitrage, '!C:C,"")</f>
        <v/>
      </c>
    </row>
    <row r="2368">
      <c r="A2368" s="1" t="s">
        <v>2387</v>
      </c>
      <c r="B2368" s="2">
        <v>28.0</v>
      </c>
      <c r="C2368" s="4"/>
      <c r="E2368" s="4" t="str">
        <f t="array" ref="E2368">XLOOKUP(A2368,'Fintech, Regulatory Arbitrage, '!A:A,'Fintech, Regulatory Arbitrage, '!C:C,"")</f>
        <v/>
      </c>
    </row>
    <row r="2369">
      <c r="A2369" s="1" t="s">
        <v>2388</v>
      </c>
      <c r="B2369" s="2">
        <v>28.0</v>
      </c>
      <c r="C2369" s="4"/>
      <c r="E2369" s="4" t="str">
        <f t="array" ref="E2369">XLOOKUP(A2369,'Fintech, Regulatory Arbitrage, '!A:A,'Fintech, Regulatory Arbitrage, '!C:C,"")</f>
        <v/>
      </c>
    </row>
    <row r="2370">
      <c r="A2370" s="1" t="s">
        <v>2389</v>
      </c>
      <c r="B2370" s="2">
        <v>28.0</v>
      </c>
      <c r="C2370" s="4"/>
      <c r="E2370" s="4" t="str">
        <f t="array" ref="E2370">XLOOKUP(A2370,'Fintech, Regulatory Arbitrage, '!A:A,'Fintech, Regulatory Arbitrage, '!C:C,"")</f>
        <v/>
      </c>
    </row>
    <row r="2371">
      <c r="A2371" s="1" t="s">
        <v>2390</v>
      </c>
      <c r="B2371" s="2">
        <v>28.0</v>
      </c>
      <c r="C2371" s="4"/>
      <c r="E2371" s="4" t="str">
        <f t="array" ref="E2371">XLOOKUP(A2371,'Fintech, Regulatory Arbitrage, '!A:A,'Fintech, Regulatory Arbitrage, '!C:C,"")</f>
        <v/>
      </c>
    </row>
    <row r="2372">
      <c r="A2372" s="1" t="s">
        <v>2391</v>
      </c>
      <c r="B2372" s="2">
        <v>28.0</v>
      </c>
      <c r="C2372" s="4"/>
      <c r="E2372" s="4" t="str">
        <f t="array" ref="E2372">XLOOKUP(A2372,'Fintech, Regulatory Arbitrage, '!A:A,'Fintech, Regulatory Arbitrage, '!C:C,"")</f>
        <v/>
      </c>
    </row>
    <row r="2373">
      <c r="A2373" s="1" t="s">
        <v>2392</v>
      </c>
      <c r="B2373" s="2">
        <v>28.0</v>
      </c>
      <c r="C2373" s="4"/>
      <c r="E2373" s="4" t="str">
        <f t="array" ref="E2373">XLOOKUP(A2373,'Fintech, Regulatory Arbitrage, '!A:A,'Fintech, Regulatory Arbitrage, '!C:C,"")</f>
        <v/>
      </c>
    </row>
    <row r="2374">
      <c r="A2374" s="1" t="s">
        <v>2393</v>
      </c>
      <c r="B2374" s="2">
        <v>28.0</v>
      </c>
      <c r="C2374" s="4"/>
      <c r="E2374" s="4" t="str">
        <f t="array" ref="E2374">XLOOKUP(A2374,'Fintech, Regulatory Arbitrage, '!A:A,'Fintech, Regulatory Arbitrage, '!C:C,"")</f>
        <v/>
      </c>
    </row>
    <row r="2375">
      <c r="A2375" s="1" t="s">
        <v>2394</v>
      </c>
      <c r="B2375" s="2">
        <v>28.0</v>
      </c>
      <c r="C2375" s="4"/>
      <c r="E2375" s="4" t="str">
        <f t="array" ref="E2375">XLOOKUP(A2375,'Fintech, Regulatory Arbitrage, '!A:A,'Fintech, Regulatory Arbitrage, '!C:C,"")</f>
        <v/>
      </c>
    </row>
    <row r="2376">
      <c r="A2376" s="1" t="s">
        <v>2395</v>
      </c>
      <c r="B2376" s="2">
        <v>28.0</v>
      </c>
      <c r="C2376" s="4"/>
      <c r="E2376" s="4" t="str">
        <f t="array" ref="E2376">XLOOKUP(A2376,'Fintech, Regulatory Arbitrage, '!A:A,'Fintech, Regulatory Arbitrage, '!C:C,"")</f>
        <v/>
      </c>
    </row>
    <row r="2377">
      <c r="A2377" s="1" t="s">
        <v>2396</v>
      </c>
      <c r="B2377" s="2">
        <v>28.0</v>
      </c>
      <c r="C2377" s="4"/>
      <c r="E2377" s="4" t="str">
        <f t="array" ref="E2377">XLOOKUP(A2377,'Fintech, Regulatory Arbitrage, '!A:A,'Fintech, Regulatory Arbitrage, '!C:C,"")</f>
        <v/>
      </c>
    </row>
    <row r="2378">
      <c r="A2378" s="1" t="s">
        <v>2397</v>
      </c>
      <c r="B2378" s="2">
        <v>28.0</v>
      </c>
      <c r="C2378" s="4"/>
      <c r="E2378" s="4" t="str">
        <f t="array" ref="E2378">XLOOKUP(A2378,'Fintech, Regulatory Arbitrage, '!A:A,'Fintech, Regulatory Arbitrage, '!C:C,"")</f>
        <v/>
      </c>
    </row>
    <row r="2379">
      <c r="A2379" s="1" t="s">
        <v>2398</v>
      </c>
      <c r="B2379" s="2">
        <v>27.0</v>
      </c>
      <c r="C2379" s="4"/>
      <c r="E2379" s="4" t="str">
        <f t="array" ref="E2379">XLOOKUP(A2379,'Fintech, Regulatory Arbitrage, '!A:A,'Fintech, Regulatory Arbitrage, '!C:C,"")</f>
        <v/>
      </c>
    </row>
    <row r="2380">
      <c r="A2380" s="1" t="s">
        <v>2399</v>
      </c>
      <c r="B2380" s="2">
        <v>27.0</v>
      </c>
      <c r="C2380" s="4"/>
      <c r="E2380" s="4" t="str">
        <f t="array" ref="E2380">XLOOKUP(A2380,'Fintech, Regulatory Arbitrage, '!A:A,'Fintech, Regulatory Arbitrage, '!C:C,"")</f>
        <v/>
      </c>
    </row>
    <row r="2381">
      <c r="A2381" s="1" t="s">
        <v>2400</v>
      </c>
      <c r="B2381" s="2">
        <v>27.0</v>
      </c>
      <c r="C2381" s="4"/>
      <c r="E2381" s="4" t="str">
        <f t="array" ref="E2381">XLOOKUP(A2381,'Fintech, Regulatory Arbitrage, '!A:A,'Fintech, Regulatory Arbitrage, '!C:C,"")</f>
        <v/>
      </c>
    </row>
    <row r="2382">
      <c r="A2382" s="1" t="s">
        <v>2401</v>
      </c>
      <c r="B2382" s="2">
        <v>27.0</v>
      </c>
      <c r="C2382" s="4"/>
      <c r="E2382" s="4" t="str">
        <f t="array" ref="E2382">XLOOKUP(A2382,'Fintech, Regulatory Arbitrage, '!A:A,'Fintech, Regulatory Arbitrage, '!C:C,"")</f>
        <v/>
      </c>
    </row>
    <row r="2383">
      <c r="A2383" s="1" t="s">
        <v>2402</v>
      </c>
      <c r="B2383" s="2">
        <v>27.0</v>
      </c>
      <c r="C2383" s="4"/>
      <c r="E2383" s="4" t="str">
        <f t="array" ref="E2383">XLOOKUP(A2383,'Fintech, Regulatory Arbitrage, '!A:A,'Fintech, Regulatory Arbitrage, '!C:C,"")</f>
        <v/>
      </c>
    </row>
    <row r="2384">
      <c r="A2384" s="1" t="s">
        <v>2403</v>
      </c>
      <c r="B2384" s="2">
        <v>27.0</v>
      </c>
      <c r="C2384" s="4"/>
      <c r="E2384" s="4" t="str">
        <f t="array" ref="E2384">XLOOKUP(A2384,'Fintech, Regulatory Arbitrage, '!A:A,'Fintech, Regulatory Arbitrage, '!C:C,"")</f>
        <v/>
      </c>
    </row>
    <row r="2385">
      <c r="A2385" s="1" t="s">
        <v>2404</v>
      </c>
      <c r="B2385" s="2">
        <v>27.0</v>
      </c>
      <c r="C2385" s="4"/>
      <c r="E2385" s="4" t="str">
        <f t="array" ref="E2385">XLOOKUP(A2385,'Fintech, Regulatory Arbitrage, '!A:A,'Fintech, Regulatory Arbitrage, '!C:C,"")</f>
        <v/>
      </c>
    </row>
    <row r="2386">
      <c r="A2386" s="1" t="s">
        <v>2405</v>
      </c>
      <c r="B2386" s="2">
        <v>27.0</v>
      </c>
      <c r="C2386" s="4"/>
      <c r="E2386" s="4" t="str">
        <f t="array" ref="E2386">XLOOKUP(A2386,'Fintech, Regulatory Arbitrage, '!A:A,'Fintech, Regulatory Arbitrage, '!C:C,"")</f>
        <v/>
      </c>
    </row>
    <row r="2387">
      <c r="A2387" s="1" t="s">
        <v>2406</v>
      </c>
      <c r="B2387" s="2">
        <v>27.0</v>
      </c>
      <c r="C2387" s="4"/>
      <c r="E2387" s="4" t="str">
        <f t="array" ref="E2387">XLOOKUP(A2387,'Fintech, Regulatory Arbitrage, '!A:A,'Fintech, Regulatory Arbitrage, '!C:C,"")</f>
        <v/>
      </c>
    </row>
    <row r="2388">
      <c r="A2388" s="1" t="s">
        <v>2407</v>
      </c>
      <c r="B2388" s="2">
        <v>27.0</v>
      </c>
      <c r="C2388" s="4"/>
      <c r="E2388" s="4" t="str">
        <f t="array" ref="E2388">XLOOKUP(A2388,'Fintech, Regulatory Arbitrage, '!A:A,'Fintech, Regulatory Arbitrage, '!C:C,"")</f>
        <v/>
      </c>
    </row>
    <row r="2389">
      <c r="A2389" s="1" t="s">
        <v>2408</v>
      </c>
      <c r="B2389" s="2">
        <v>27.0</v>
      </c>
      <c r="C2389" s="4"/>
      <c r="E2389" s="4" t="str">
        <f t="array" ref="E2389">XLOOKUP(A2389,'Fintech, Regulatory Arbitrage, '!A:A,'Fintech, Regulatory Arbitrage, '!C:C,"")</f>
        <v/>
      </c>
    </row>
    <row r="2390">
      <c r="A2390" s="1" t="s">
        <v>2409</v>
      </c>
      <c r="B2390" s="2">
        <v>27.0</v>
      </c>
      <c r="C2390" s="4"/>
      <c r="E2390" s="4" t="str">
        <f t="array" ref="E2390">XLOOKUP(A2390,'Fintech, Regulatory Arbitrage, '!A:A,'Fintech, Regulatory Arbitrage, '!C:C,"")</f>
        <v/>
      </c>
    </row>
    <row r="2391">
      <c r="A2391" s="1" t="s">
        <v>2410</v>
      </c>
      <c r="B2391" s="2">
        <v>27.0</v>
      </c>
      <c r="C2391" s="4"/>
      <c r="E2391" s="4" t="str">
        <f t="array" ref="E2391">XLOOKUP(A2391,'Fintech, Regulatory Arbitrage, '!A:A,'Fintech, Regulatory Arbitrage, '!C:C,"")</f>
        <v/>
      </c>
    </row>
    <row r="2392">
      <c r="A2392" s="1" t="s">
        <v>2411</v>
      </c>
      <c r="B2392" s="2">
        <v>27.0</v>
      </c>
      <c r="C2392" s="4"/>
      <c r="E2392" s="4" t="str">
        <f t="array" ref="E2392">XLOOKUP(A2392,'Fintech, Regulatory Arbitrage, '!A:A,'Fintech, Regulatory Arbitrage, '!C:C,"")</f>
        <v/>
      </c>
    </row>
    <row r="2393">
      <c r="A2393" s="1" t="s">
        <v>2412</v>
      </c>
      <c r="B2393" s="2">
        <v>27.0</v>
      </c>
      <c r="C2393" s="4"/>
      <c r="E2393" s="4" t="str">
        <f t="array" ref="E2393">XLOOKUP(A2393,'Fintech, Regulatory Arbitrage, '!A:A,'Fintech, Regulatory Arbitrage, '!C:C,"")</f>
        <v/>
      </c>
    </row>
    <row r="2394">
      <c r="A2394" s="1" t="s">
        <v>2413</v>
      </c>
      <c r="B2394" s="2">
        <v>27.0</v>
      </c>
      <c r="C2394" s="4"/>
      <c r="E2394" s="4" t="str">
        <f t="array" ref="E2394">XLOOKUP(A2394,'Fintech, Regulatory Arbitrage, '!A:A,'Fintech, Regulatory Arbitrage, '!C:C,"")</f>
        <v/>
      </c>
    </row>
    <row r="2395">
      <c r="A2395" s="1" t="s">
        <v>2414</v>
      </c>
      <c r="B2395" s="2">
        <v>27.0</v>
      </c>
      <c r="C2395" s="4"/>
      <c r="E2395" s="4" t="str">
        <f t="array" ref="E2395">XLOOKUP(A2395,'Fintech, Regulatory Arbitrage, '!A:A,'Fintech, Regulatory Arbitrage, '!C:C,"")</f>
        <v/>
      </c>
    </row>
    <row r="2396">
      <c r="A2396" s="1" t="s">
        <v>2415</v>
      </c>
      <c r="B2396" s="2">
        <v>27.0</v>
      </c>
      <c r="C2396" s="4"/>
      <c r="E2396" s="4" t="str">
        <f t="array" ref="E2396">XLOOKUP(A2396,'Fintech, Regulatory Arbitrage, '!A:A,'Fintech, Regulatory Arbitrage, '!C:C,"")</f>
        <v/>
      </c>
    </row>
    <row r="2397">
      <c r="A2397" s="1" t="s">
        <v>2416</v>
      </c>
      <c r="B2397" s="2">
        <v>27.0</v>
      </c>
      <c r="C2397" s="4"/>
      <c r="E2397" s="4" t="str">
        <f t="array" ref="E2397">XLOOKUP(A2397,'Fintech, Regulatory Arbitrage, '!A:A,'Fintech, Regulatory Arbitrage, '!C:C,"")</f>
        <v/>
      </c>
    </row>
    <row r="2398">
      <c r="A2398" s="1" t="s">
        <v>2417</v>
      </c>
      <c r="B2398" s="2">
        <v>27.0</v>
      </c>
      <c r="C2398" s="4"/>
      <c r="E2398" s="4" t="str">
        <f t="array" ref="E2398">XLOOKUP(A2398,'Fintech, Regulatory Arbitrage, '!A:A,'Fintech, Regulatory Arbitrage, '!C:C,"")</f>
        <v/>
      </c>
    </row>
    <row r="2399">
      <c r="A2399" s="1" t="s">
        <v>2418</v>
      </c>
      <c r="B2399" s="2">
        <v>27.0</v>
      </c>
      <c r="C2399" s="4"/>
      <c r="E2399" s="4" t="str">
        <f t="array" ref="E2399">XLOOKUP(A2399,'Fintech, Regulatory Arbitrage, '!A:A,'Fintech, Regulatory Arbitrage, '!C:C,"")</f>
        <v/>
      </c>
    </row>
    <row r="2400">
      <c r="A2400" s="1" t="s">
        <v>2419</v>
      </c>
      <c r="B2400" s="2">
        <v>27.0</v>
      </c>
      <c r="C2400" s="4"/>
      <c r="E2400" s="4" t="str">
        <f t="array" ref="E2400">XLOOKUP(A2400,'Fintech, Regulatory Arbitrage, '!A:A,'Fintech, Regulatory Arbitrage, '!C:C,"")</f>
        <v/>
      </c>
    </row>
    <row r="2401">
      <c r="A2401" s="1" t="s">
        <v>2420</v>
      </c>
      <c r="B2401" s="2">
        <v>27.0</v>
      </c>
      <c r="C2401" s="4"/>
      <c r="E2401" s="4" t="str">
        <f t="array" ref="E2401">XLOOKUP(A2401,'Fintech, Regulatory Arbitrage, '!A:A,'Fintech, Regulatory Arbitrage, '!C:C,"")</f>
        <v/>
      </c>
    </row>
    <row r="2402">
      <c r="A2402" s="1" t="s">
        <v>2421</v>
      </c>
      <c r="B2402" s="2">
        <v>27.0</v>
      </c>
      <c r="C2402" s="4"/>
      <c r="E2402" s="4" t="str">
        <f t="array" ref="E2402">XLOOKUP(A2402,'Fintech, Regulatory Arbitrage, '!A:A,'Fintech, Regulatory Arbitrage, '!C:C,"")</f>
        <v/>
      </c>
    </row>
    <row r="2403">
      <c r="A2403" s="1" t="s">
        <v>2422</v>
      </c>
      <c r="B2403" s="2">
        <v>27.0</v>
      </c>
      <c r="C2403" s="4"/>
      <c r="E2403" s="4" t="str">
        <f t="array" ref="E2403">XLOOKUP(A2403,'Fintech, Regulatory Arbitrage, '!A:A,'Fintech, Regulatory Arbitrage, '!C:C,"")</f>
        <v/>
      </c>
    </row>
    <row r="2404">
      <c r="A2404" s="1" t="s">
        <v>2423</v>
      </c>
      <c r="B2404" s="2">
        <v>27.0</v>
      </c>
      <c r="C2404" s="4"/>
      <c r="E2404" s="4" t="str">
        <f t="array" ref="E2404">XLOOKUP(A2404,'Fintech, Regulatory Arbitrage, '!A:A,'Fintech, Regulatory Arbitrage, '!C:C,"")</f>
        <v/>
      </c>
    </row>
    <row r="2405">
      <c r="A2405" s="1" t="s">
        <v>2424</v>
      </c>
      <c r="B2405" s="2">
        <v>27.0</v>
      </c>
      <c r="C2405" s="4"/>
      <c r="E2405" s="4" t="str">
        <f t="array" ref="E2405">XLOOKUP(A2405,'Fintech, Regulatory Arbitrage, '!A:A,'Fintech, Regulatory Arbitrage, '!C:C,"")</f>
        <v/>
      </c>
    </row>
    <row r="2406">
      <c r="A2406" s="1" t="s">
        <v>2425</v>
      </c>
      <c r="B2406" s="2">
        <v>27.0</v>
      </c>
      <c r="C2406" s="4"/>
      <c r="E2406" s="4" t="str">
        <f t="array" ref="E2406">XLOOKUP(A2406,'Fintech, Regulatory Arbitrage, '!A:A,'Fintech, Regulatory Arbitrage, '!C:C,"")</f>
        <v/>
      </c>
    </row>
    <row r="2407">
      <c r="A2407" s="1" t="s">
        <v>2426</v>
      </c>
      <c r="B2407" s="2">
        <v>27.0</v>
      </c>
      <c r="C2407" s="4"/>
      <c r="E2407" s="4" t="str">
        <f t="array" ref="E2407">XLOOKUP(A2407,'Fintech, Regulatory Arbitrage, '!A:A,'Fintech, Regulatory Arbitrage, '!C:C,"")</f>
        <v/>
      </c>
    </row>
    <row r="2408">
      <c r="A2408" s="1" t="s">
        <v>2427</v>
      </c>
      <c r="B2408" s="2">
        <v>27.0</v>
      </c>
      <c r="C2408" s="4"/>
      <c r="E2408" s="4" t="str">
        <f t="array" ref="E2408">XLOOKUP(A2408,'Fintech, Regulatory Arbitrage, '!A:A,'Fintech, Regulatory Arbitrage, '!C:C,"")</f>
        <v/>
      </c>
    </row>
    <row r="2409">
      <c r="A2409" s="1" t="s">
        <v>2428</v>
      </c>
      <c r="B2409" s="2">
        <v>27.0</v>
      </c>
      <c r="C2409" s="4"/>
      <c r="E2409" s="4" t="str">
        <f t="array" ref="E2409">XLOOKUP(A2409,'Fintech, Regulatory Arbitrage, '!A:A,'Fintech, Regulatory Arbitrage, '!C:C,"")</f>
        <v/>
      </c>
    </row>
    <row r="2410">
      <c r="A2410" s="1" t="s">
        <v>2429</v>
      </c>
      <c r="B2410" s="2">
        <v>27.0</v>
      </c>
      <c r="C2410" s="4"/>
      <c r="E2410" s="4" t="str">
        <f t="array" ref="E2410">XLOOKUP(A2410,'Fintech, Regulatory Arbitrage, '!A:A,'Fintech, Regulatory Arbitrage, '!C:C,"")</f>
        <v/>
      </c>
    </row>
    <row r="2411">
      <c r="A2411" s="1" t="s">
        <v>2430</v>
      </c>
      <c r="B2411" s="2">
        <v>27.0</v>
      </c>
      <c r="C2411" s="4"/>
      <c r="E2411" s="4" t="str">
        <f t="array" ref="E2411">XLOOKUP(A2411,'Fintech, Regulatory Arbitrage, '!A:A,'Fintech, Regulatory Arbitrage, '!C:C,"")</f>
        <v/>
      </c>
    </row>
    <row r="2412">
      <c r="A2412" s="1" t="s">
        <v>2431</v>
      </c>
      <c r="B2412" s="2">
        <v>27.0</v>
      </c>
      <c r="C2412" s="4"/>
      <c r="E2412" s="4" t="str">
        <f t="array" ref="E2412">XLOOKUP(A2412,'Fintech, Regulatory Arbitrage, '!A:A,'Fintech, Regulatory Arbitrage, '!C:C,"")</f>
        <v/>
      </c>
    </row>
    <row r="2413">
      <c r="A2413" s="1" t="s">
        <v>2432</v>
      </c>
      <c r="B2413" s="2">
        <v>27.0</v>
      </c>
      <c r="C2413" s="4"/>
      <c r="E2413" s="4" t="str">
        <f t="array" ref="E2413">XLOOKUP(A2413,'Fintech, Regulatory Arbitrage, '!A:A,'Fintech, Regulatory Arbitrage, '!C:C,"")</f>
        <v/>
      </c>
    </row>
    <row r="2414">
      <c r="A2414" s="1" t="s">
        <v>2433</v>
      </c>
      <c r="B2414" s="2">
        <v>27.0</v>
      </c>
      <c r="C2414" s="4"/>
      <c r="E2414" s="4" t="str">
        <f t="array" ref="E2414">XLOOKUP(A2414,'Fintech, Regulatory Arbitrage, '!A:A,'Fintech, Regulatory Arbitrage, '!C:C,"")</f>
        <v/>
      </c>
    </row>
    <row r="2415">
      <c r="A2415" s="1" t="s">
        <v>2434</v>
      </c>
      <c r="B2415" s="2">
        <v>27.0</v>
      </c>
      <c r="C2415" s="4"/>
      <c r="E2415" s="4" t="str">
        <f t="array" ref="E2415">XLOOKUP(A2415,'Fintech, Regulatory Arbitrage, '!A:A,'Fintech, Regulatory Arbitrage, '!C:C,"")</f>
        <v/>
      </c>
    </row>
    <row r="2416">
      <c r="A2416" s="1" t="s">
        <v>2435</v>
      </c>
      <c r="B2416" s="2">
        <v>27.0</v>
      </c>
      <c r="C2416" s="4"/>
      <c r="E2416" s="4" t="str">
        <f t="array" ref="E2416">XLOOKUP(A2416,'Fintech, Regulatory Arbitrage, '!A:A,'Fintech, Regulatory Arbitrage, '!C:C,"")</f>
        <v/>
      </c>
    </row>
    <row r="2417">
      <c r="A2417" s="1" t="s">
        <v>2436</v>
      </c>
      <c r="B2417" s="2">
        <v>27.0</v>
      </c>
      <c r="C2417" s="4"/>
      <c r="E2417" s="4" t="str">
        <f t="array" ref="E2417">XLOOKUP(A2417,'Fintech, Regulatory Arbitrage, '!A:A,'Fintech, Regulatory Arbitrage, '!C:C,"")</f>
        <v/>
      </c>
    </row>
    <row r="2418">
      <c r="A2418" s="1" t="s">
        <v>2437</v>
      </c>
      <c r="B2418" s="2">
        <v>27.0</v>
      </c>
      <c r="C2418" s="4"/>
      <c r="E2418" s="4" t="str">
        <f t="array" ref="E2418">XLOOKUP(A2418,'Fintech, Regulatory Arbitrage, '!A:A,'Fintech, Regulatory Arbitrage, '!C:C,"")</f>
        <v/>
      </c>
    </row>
    <row r="2419">
      <c r="A2419" s="1" t="s">
        <v>2438</v>
      </c>
      <c r="B2419" s="2">
        <v>27.0</v>
      </c>
      <c r="C2419" s="4"/>
      <c r="E2419" s="4" t="str">
        <f t="array" ref="E2419">XLOOKUP(A2419,'Fintech, Regulatory Arbitrage, '!A:A,'Fintech, Regulatory Arbitrage, '!C:C,"")</f>
        <v/>
      </c>
    </row>
    <row r="2420">
      <c r="A2420" s="1" t="s">
        <v>2439</v>
      </c>
      <c r="B2420" s="2">
        <v>27.0</v>
      </c>
      <c r="C2420" s="4"/>
      <c r="E2420" s="4" t="str">
        <f t="array" ref="E2420">XLOOKUP(A2420,'Fintech, Regulatory Arbitrage, '!A:A,'Fintech, Regulatory Arbitrage, '!C:C,"")</f>
        <v/>
      </c>
    </row>
    <row r="2421">
      <c r="A2421" s="1" t="s">
        <v>2440</v>
      </c>
      <c r="B2421" s="2">
        <v>27.0</v>
      </c>
      <c r="C2421" s="4"/>
      <c r="E2421" s="4" t="str">
        <f t="array" ref="E2421">XLOOKUP(A2421,'Fintech, Regulatory Arbitrage, '!A:A,'Fintech, Regulatory Arbitrage, '!C:C,"")</f>
        <v/>
      </c>
    </row>
    <row r="2422">
      <c r="A2422" s="1" t="s">
        <v>2441</v>
      </c>
      <c r="B2422" s="2">
        <v>27.0</v>
      </c>
      <c r="C2422" s="4"/>
      <c r="E2422" s="4" t="str">
        <f t="array" ref="E2422">XLOOKUP(A2422,'Fintech, Regulatory Arbitrage, '!A:A,'Fintech, Regulatory Arbitrage, '!C:C,"")</f>
        <v/>
      </c>
    </row>
    <row r="2423">
      <c r="A2423" s="1" t="s">
        <v>2442</v>
      </c>
      <c r="B2423" s="2">
        <v>26.0</v>
      </c>
      <c r="C2423" s="4"/>
      <c r="E2423" s="4" t="str">
        <f t="array" ref="E2423">XLOOKUP(A2423,'Fintech, Regulatory Arbitrage, '!A:A,'Fintech, Regulatory Arbitrage, '!C:C,"")</f>
        <v/>
      </c>
    </row>
    <row r="2424">
      <c r="A2424" s="1" t="s">
        <v>2443</v>
      </c>
      <c r="B2424" s="2">
        <v>26.0</v>
      </c>
      <c r="C2424" s="4"/>
      <c r="E2424" s="4" t="str">
        <f t="array" ref="E2424">XLOOKUP(A2424,'Fintech, Regulatory Arbitrage, '!A:A,'Fintech, Regulatory Arbitrage, '!C:C,"")</f>
        <v/>
      </c>
    </row>
    <row r="2425">
      <c r="A2425" s="1" t="s">
        <v>2444</v>
      </c>
      <c r="B2425" s="2">
        <v>26.0</v>
      </c>
      <c r="C2425" s="4"/>
      <c r="E2425" s="4" t="str">
        <f t="array" ref="E2425">XLOOKUP(A2425,'Fintech, Regulatory Arbitrage, '!A:A,'Fintech, Regulatory Arbitrage, '!C:C,"")</f>
        <v/>
      </c>
    </row>
    <row r="2426">
      <c r="A2426" s="1" t="s">
        <v>2445</v>
      </c>
      <c r="B2426" s="2">
        <v>26.0</v>
      </c>
      <c r="C2426" s="4"/>
      <c r="E2426" s="4" t="str">
        <f t="array" ref="E2426">XLOOKUP(A2426,'Fintech, Regulatory Arbitrage, '!A:A,'Fintech, Regulatory Arbitrage, '!C:C,"")</f>
        <v/>
      </c>
    </row>
    <row r="2427">
      <c r="A2427" s="1" t="s">
        <v>2446</v>
      </c>
      <c r="B2427" s="2">
        <v>26.0</v>
      </c>
      <c r="C2427" s="4"/>
      <c r="E2427" s="4" t="str">
        <f t="array" ref="E2427">XLOOKUP(A2427,'Fintech, Regulatory Arbitrage, '!A:A,'Fintech, Regulatory Arbitrage, '!C:C,"")</f>
        <v/>
      </c>
    </row>
    <row r="2428">
      <c r="A2428" s="1" t="s">
        <v>2447</v>
      </c>
      <c r="B2428" s="2">
        <v>26.0</v>
      </c>
      <c r="C2428" s="4"/>
      <c r="E2428" s="4" t="str">
        <f t="array" ref="E2428">XLOOKUP(A2428,'Fintech, Regulatory Arbitrage, '!A:A,'Fintech, Regulatory Arbitrage, '!C:C,"")</f>
        <v/>
      </c>
    </row>
    <row r="2429">
      <c r="A2429" s="1" t="s">
        <v>2448</v>
      </c>
      <c r="B2429" s="2">
        <v>26.0</v>
      </c>
      <c r="C2429" s="4"/>
      <c r="E2429" s="4" t="str">
        <f t="array" ref="E2429">XLOOKUP(A2429,'Fintech, Regulatory Arbitrage, '!A:A,'Fintech, Regulatory Arbitrage, '!C:C,"")</f>
        <v/>
      </c>
    </row>
    <row r="2430">
      <c r="A2430" s="1" t="s">
        <v>2449</v>
      </c>
      <c r="B2430" s="2">
        <v>26.0</v>
      </c>
      <c r="C2430" s="4"/>
      <c r="E2430" s="4" t="str">
        <f t="array" ref="E2430">XLOOKUP(A2430,'Fintech, Regulatory Arbitrage, '!A:A,'Fintech, Regulatory Arbitrage, '!C:C,"")</f>
        <v/>
      </c>
    </row>
    <row r="2431">
      <c r="A2431" s="1" t="s">
        <v>2450</v>
      </c>
      <c r="B2431" s="2">
        <v>26.0</v>
      </c>
      <c r="C2431" s="4"/>
      <c r="E2431" s="4" t="str">
        <f t="array" ref="E2431">XLOOKUP(A2431,'Fintech, Regulatory Arbitrage, '!A:A,'Fintech, Regulatory Arbitrage, '!C:C,"")</f>
        <v/>
      </c>
    </row>
    <row r="2432">
      <c r="A2432" s="1" t="s">
        <v>2451</v>
      </c>
      <c r="B2432" s="2">
        <v>26.0</v>
      </c>
      <c r="C2432" s="4"/>
      <c r="E2432" s="4" t="str">
        <f t="array" ref="E2432">XLOOKUP(A2432,'Fintech, Regulatory Arbitrage, '!A:A,'Fintech, Regulatory Arbitrage, '!C:C,"")</f>
        <v/>
      </c>
    </row>
    <row r="2433">
      <c r="A2433" s="1" t="s">
        <v>2452</v>
      </c>
      <c r="B2433" s="2">
        <v>26.0</v>
      </c>
      <c r="C2433" s="4"/>
      <c r="E2433" s="4" t="str">
        <f t="array" ref="E2433">XLOOKUP(A2433,'Fintech, Regulatory Arbitrage, '!A:A,'Fintech, Regulatory Arbitrage, '!C:C,"")</f>
        <v/>
      </c>
    </row>
    <row r="2434">
      <c r="A2434" s="1" t="s">
        <v>2453</v>
      </c>
      <c r="B2434" s="2">
        <v>26.0</v>
      </c>
      <c r="C2434" s="4"/>
      <c r="E2434" s="4" t="str">
        <f t="array" ref="E2434">XLOOKUP(A2434,'Fintech, Regulatory Arbitrage, '!A:A,'Fintech, Regulatory Arbitrage, '!C:C,"")</f>
        <v/>
      </c>
    </row>
    <row r="2435">
      <c r="A2435" s="1" t="s">
        <v>2454</v>
      </c>
      <c r="B2435" s="2">
        <v>26.0</v>
      </c>
      <c r="C2435" s="4"/>
      <c r="E2435" s="4" t="str">
        <f t="array" ref="E2435">XLOOKUP(A2435,'Fintech, Regulatory Arbitrage, '!A:A,'Fintech, Regulatory Arbitrage, '!C:C,"")</f>
        <v/>
      </c>
    </row>
    <row r="2436">
      <c r="A2436" s="1" t="s">
        <v>2455</v>
      </c>
      <c r="B2436" s="2">
        <v>26.0</v>
      </c>
      <c r="C2436" s="4"/>
      <c r="E2436" s="4" t="str">
        <f t="array" ref="E2436">XLOOKUP(A2436,'Fintech, Regulatory Arbitrage, '!A:A,'Fintech, Regulatory Arbitrage, '!C:C,"")</f>
        <v/>
      </c>
    </row>
    <row r="2437">
      <c r="A2437" s="1" t="s">
        <v>2456</v>
      </c>
      <c r="B2437" s="2">
        <v>26.0</v>
      </c>
      <c r="C2437" s="4"/>
      <c r="E2437" s="4" t="str">
        <f t="array" ref="E2437">XLOOKUP(A2437,'Fintech, Regulatory Arbitrage, '!A:A,'Fintech, Regulatory Arbitrage, '!C:C,"")</f>
        <v/>
      </c>
    </row>
    <row r="2438">
      <c r="A2438" s="1" t="s">
        <v>2457</v>
      </c>
      <c r="B2438" s="2">
        <v>26.0</v>
      </c>
      <c r="C2438" s="4"/>
      <c r="E2438" s="4" t="str">
        <f t="array" ref="E2438">XLOOKUP(A2438,'Fintech, Regulatory Arbitrage, '!A:A,'Fintech, Regulatory Arbitrage, '!C:C,"")</f>
        <v/>
      </c>
    </row>
    <row r="2439">
      <c r="A2439" s="1" t="s">
        <v>2458</v>
      </c>
      <c r="B2439" s="2">
        <v>26.0</v>
      </c>
      <c r="C2439" s="4"/>
      <c r="E2439" s="4" t="str">
        <f t="array" ref="E2439">XLOOKUP(A2439,'Fintech, Regulatory Arbitrage, '!A:A,'Fintech, Regulatory Arbitrage, '!C:C,"")</f>
        <v/>
      </c>
    </row>
    <row r="2440">
      <c r="A2440" s="1" t="s">
        <v>2459</v>
      </c>
      <c r="B2440" s="2">
        <v>26.0</v>
      </c>
      <c r="C2440" s="4"/>
      <c r="E2440" s="4" t="str">
        <f t="array" ref="E2440">XLOOKUP(A2440,'Fintech, Regulatory Arbitrage, '!A:A,'Fintech, Regulatory Arbitrage, '!C:C,"")</f>
        <v/>
      </c>
    </row>
    <row r="2441">
      <c r="A2441" s="1" t="s">
        <v>2460</v>
      </c>
      <c r="B2441" s="2">
        <v>26.0</v>
      </c>
      <c r="C2441" s="4"/>
      <c r="E2441" s="4" t="str">
        <f t="array" ref="E2441">XLOOKUP(A2441,'Fintech, Regulatory Arbitrage, '!A:A,'Fintech, Regulatory Arbitrage, '!C:C,"")</f>
        <v/>
      </c>
    </row>
    <row r="2442">
      <c r="A2442" s="1" t="s">
        <v>2461</v>
      </c>
      <c r="B2442" s="2">
        <v>26.0</v>
      </c>
      <c r="C2442" s="4"/>
      <c r="E2442" s="4" t="str">
        <f t="array" ref="E2442">XLOOKUP(A2442,'Fintech, Regulatory Arbitrage, '!A:A,'Fintech, Regulatory Arbitrage, '!C:C,"")</f>
        <v/>
      </c>
    </row>
    <row r="2443">
      <c r="A2443" s="1" t="s">
        <v>2462</v>
      </c>
      <c r="B2443" s="2">
        <v>26.0</v>
      </c>
      <c r="C2443" s="4"/>
      <c r="E2443" s="4" t="str">
        <f t="array" ref="E2443">XLOOKUP(A2443,'Fintech, Regulatory Arbitrage, '!A:A,'Fintech, Regulatory Arbitrage, '!C:C,"")</f>
        <v/>
      </c>
    </row>
    <row r="2444">
      <c r="A2444" s="1" t="s">
        <v>2463</v>
      </c>
      <c r="B2444" s="2">
        <v>26.0</v>
      </c>
      <c r="C2444" s="4"/>
      <c r="E2444" s="4" t="str">
        <f t="array" ref="E2444">XLOOKUP(A2444,'Fintech, Regulatory Arbitrage, '!A:A,'Fintech, Regulatory Arbitrage, '!C:C,"")</f>
        <v/>
      </c>
    </row>
    <row r="2445">
      <c r="A2445" s="1" t="s">
        <v>2464</v>
      </c>
      <c r="B2445" s="2">
        <v>26.0</v>
      </c>
      <c r="C2445" s="4"/>
      <c r="E2445" s="4" t="str">
        <f t="array" ref="E2445">XLOOKUP(A2445,'Fintech, Regulatory Arbitrage, '!A:A,'Fintech, Regulatory Arbitrage, '!C:C,"")</f>
        <v/>
      </c>
    </row>
    <row r="2446">
      <c r="A2446" s="1" t="s">
        <v>2465</v>
      </c>
      <c r="B2446" s="2">
        <v>26.0</v>
      </c>
      <c r="C2446" s="4"/>
      <c r="E2446" s="4" t="str">
        <f t="array" ref="E2446">XLOOKUP(A2446,'Fintech, Regulatory Arbitrage, '!A:A,'Fintech, Regulatory Arbitrage, '!C:C,"")</f>
        <v/>
      </c>
    </row>
    <row r="2447">
      <c r="A2447" s="1" t="s">
        <v>2466</v>
      </c>
      <c r="B2447" s="2">
        <v>26.0</v>
      </c>
      <c r="C2447" s="4"/>
      <c r="E2447" s="4" t="str">
        <f t="array" ref="E2447">XLOOKUP(A2447,'Fintech, Regulatory Arbitrage, '!A:A,'Fintech, Regulatory Arbitrage, '!C:C,"")</f>
        <v/>
      </c>
    </row>
    <row r="2448">
      <c r="A2448" s="1" t="s">
        <v>2467</v>
      </c>
      <c r="B2448" s="2">
        <v>26.0</v>
      </c>
      <c r="C2448" s="4"/>
      <c r="E2448" s="4" t="str">
        <f t="array" ref="E2448">XLOOKUP(A2448,'Fintech, Regulatory Arbitrage, '!A:A,'Fintech, Regulatory Arbitrage, '!C:C,"")</f>
        <v/>
      </c>
    </row>
    <row r="2449">
      <c r="A2449" s="1" t="s">
        <v>2468</v>
      </c>
      <c r="B2449" s="2">
        <v>26.0</v>
      </c>
      <c r="C2449" s="4"/>
      <c r="E2449" s="4" t="str">
        <f t="array" ref="E2449">XLOOKUP(A2449,'Fintech, Regulatory Arbitrage, '!A:A,'Fintech, Regulatory Arbitrage, '!C:C,"")</f>
        <v/>
      </c>
    </row>
    <row r="2450">
      <c r="A2450" s="1" t="s">
        <v>2469</v>
      </c>
      <c r="B2450" s="2">
        <v>26.0</v>
      </c>
      <c r="C2450" s="4"/>
      <c r="E2450" s="4" t="str">
        <f t="array" ref="E2450">XLOOKUP(A2450,'Fintech, Regulatory Arbitrage, '!A:A,'Fintech, Regulatory Arbitrage, '!C:C,"")</f>
        <v/>
      </c>
    </row>
    <row r="2451">
      <c r="A2451" s="1" t="s">
        <v>2470</v>
      </c>
      <c r="B2451" s="2">
        <v>26.0</v>
      </c>
      <c r="C2451" s="4"/>
      <c r="E2451" s="4" t="str">
        <f t="array" ref="E2451">XLOOKUP(A2451,'Fintech, Regulatory Arbitrage, '!A:A,'Fintech, Regulatory Arbitrage, '!C:C,"")</f>
        <v/>
      </c>
    </row>
    <row r="2452">
      <c r="A2452" s="1" t="s">
        <v>2471</v>
      </c>
      <c r="B2452" s="2">
        <v>26.0</v>
      </c>
      <c r="C2452" s="4"/>
      <c r="E2452" s="4" t="str">
        <f t="array" ref="E2452">XLOOKUP(A2452,'Fintech, Regulatory Arbitrage, '!A:A,'Fintech, Regulatory Arbitrage, '!C:C,"")</f>
        <v/>
      </c>
    </row>
    <row r="2453">
      <c r="A2453" s="1" t="s">
        <v>2472</v>
      </c>
      <c r="B2453" s="2">
        <v>26.0</v>
      </c>
      <c r="C2453" s="4"/>
      <c r="E2453" s="4" t="str">
        <f t="array" ref="E2453">XLOOKUP(A2453,'Fintech, Regulatory Arbitrage, '!A:A,'Fintech, Regulatory Arbitrage, '!C:C,"")</f>
        <v/>
      </c>
    </row>
    <row r="2454">
      <c r="A2454" s="1" t="s">
        <v>2473</v>
      </c>
      <c r="B2454" s="2">
        <v>26.0</v>
      </c>
      <c r="C2454" s="4"/>
      <c r="E2454" s="4" t="str">
        <f t="array" ref="E2454">XLOOKUP(A2454,'Fintech, Regulatory Arbitrage, '!A:A,'Fintech, Regulatory Arbitrage, '!C:C,"")</f>
        <v/>
      </c>
    </row>
    <row r="2455">
      <c r="A2455" s="1" t="s">
        <v>2474</v>
      </c>
      <c r="B2455" s="2">
        <v>26.0</v>
      </c>
      <c r="C2455" s="4"/>
      <c r="E2455" s="4" t="str">
        <f t="array" ref="E2455">XLOOKUP(A2455,'Fintech, Regulatory Arbitrage, '!A:A,'Fintech, Regulatory Arbitrage, '!C:C,"")</f>
        <v/>
      </c>
    </row>
    <row r="2456">
      <c r="A2456" s="1" t="s">
        <v>2475</v>
      </c>
      <c r="B2456" s="2">
        <v>26.0</v>
      </c>
      <c r="C2456" s="4"/>
      <c r="E2456" s="4" t="str">
        <f t="array" ref="E2456">XLOOKUP(A2456,'Fintech, Regulatory Arbitrage, '!A:A,'Fintech, Regulatory Arbitrage, '!C:C,"")</f>
        <v/>
      </c>
    </row>
    <row r="2457">
      <c r="A2457" s="1" t="s">
        <v>2476</v>
      </c>
      <c r="B2457" s="2">
        <v>26.0</v>
      </c>
      <c r="C2457" s="4"/>
      <c r="E2457" s="4" t="str">
        <f t="array" ref="E2457">XLOOKUP(A2457,'Fintech, Regulatory Arbitrage, '!A:A,'Fintech, Regulatory Arbitrage, '!C:C,"")</f>
        <v/>
      </c>
    </row>
    <row r="2458">
      <c r="A2458" s="1" t="s">
        <v>2477</v>
      </c>
      <c r="B2458" s="2">
        <v>26.0</v>
      </c>
      <c r="C2458" s="4"/>
      <c r="E2458" s="4" t="str">
        <f t="array" ref="E2458">XLOOKUP(A2458,'Fintech, Regulatory Arbitrage, '!A:A,'Fintech, Regulatory Arbitrage, '!C:C,"")</f>
        <v/>
      </c>
    </row>
    <row r="2459">
      <c r="A2459" s="1" t="s">
        <v>2478</v>
      </c>
      <c r="B2459" s="2">
        <v>26.0</v>
      </c>
      <c r="C2459" s="4"/>
      <c r="E2459" s="4" t="str">
        <f t="array" ref="E2459">XLOOKUP(A2459,'Fintech, Regulatory Arbitrage, '!A:A,'Fintech, Regulatory Arbitrage, '!C:C,"")</f>
        <v/>
      </c>
    </row>
    <row r="2460">
      <c r="A2460" s="1" t="s">
        <v>2479</v>
      </c>
      <c r="B2460" s="2">
        <v>26.0</v>
      </c>
      <c r="C2460" s="4"/>
      <c r="E2460" s="4" t="str">
        <f t="array" ref="E2460">XLOOKUP(A2460,'Fintech, Regulatory Arbitrage, '!A:A,'Fintech, Regulatory Arbitrage, '!C:C,"")</f>
        <v/>
      </c>
    </row>
    <row r="2461">
      <c r="A2461" s="1" t="s">
        <v>2480</v>
      </c>
      <c r="B2461" s="2">
        <v>26.0</v>
      </c>
      <c r="C2461" s="4"/>
      <c r="E2461" s="4" t="str">
        <f t="array" ref="E2461">XLOOKUP(A2461,'Fintech, Regulatory Arbitrage, '!A:A,'Fintech, Regulatory Arbitrage, '!C:C,"")</f>
        <v/>
      </c>
    </row>
    <row r="2462">
      <c r="A2462" s="1" t="s">
        <v>2481</v>
      </c>
      <c r="B2462" s="2">
        <v>26.0</v>
      </c>
      <c r="C2462" s="4"/>
      <c r="E2462" s="4" t="str">
        <f t="array" ref="E2462">XLOOKUP(A2462,'Fintech, Regulatory Arbitrage, '!A:A,'Fintech, Regulatory Arbitrage, '!C:C,"")</f>
        <v/>
      </c>
    </row>
    <row r="2463">
      <c r="A2463" s="1" t="s">
        <v>2482</v>
      </c>
      <c r="B2463" s="2">
        <v>26.0</v>
      </c>
      <c r="C2463" s="4"/>
      <c r="E2463" s="4" t="str">
        <f t="array" ref="E2463">XLOOKUP(A2463,'Fintech, Regulatory Arbitrage, '!A:A,'Fintech, Regulatory Arbitrage, '!C:C,"")</f>
        <v/>
      </c>
    </row>
    <row r="2464">
      <c r="A2464" s="1" t="s">
        <v>2483</v>
      </c>
      <c r="B2464" s="2">
        <v>26.0</v>
      </c>
      <c r="C2464" s="4"/>
      <c r="E2464" s="4" t="str">
        <f t="array" ref="E2464">XLOOKUP(A2464,'Fintech, Regulatory Arbitrage, '!A:A,'Fintech, Regulatory Arbitrage, '!C:C,"")</f>
        <v/>
      </c>
    </row>
    <row r="2465">
      <c r="A2465" s="1" t="s">
        <v>2484</v>
      </c>
      <c r="B2465" s="2">
        <v>26.0</v>
      </c>
      <c r="C2465" s="4"/>
      <c r="E2465" s="4" t="str">
        <f t="array" ref="E2465">XLOOKUP(A2465,'Fintech, Regulatory Arbitrage, '!A:A,'Fintech, Regulatory Arbitrage, '!C:C,"")</f>
        <v/>
      </c>
    </row>
    <row r="2466">
      <c r="A2466" s="1" t="s">
        <v>2485</v>
      </c>
      <c r="B2466" s="2">
        <v>26.0</v>
      </c>
      <c r="C2466" s="4"/>
      <c r="E2466" s="4" t="str">
        <f t="array" ref="E2466">XLOOKUP(A2466,'Fintech, Regulatory Arbitrage, '!A:A,'Fintech, Regulatory Arbitrage, '!C:C,"")</f>
        <v/>
      </c>
    </row>
    <row r="2467">
      <c r="A2467" s="1" t="s">
        <v>2486</v>
      </c>
      <c r="B2467" s="2">
        <v>26.0</v>
      </c>
      <c r="C2467" s="4"/>
      <c r="E2467" s="4" t="str">
        <f t="array" ref="E2467">XLOOKUP(A2467,'Fintech, Regulatory Arbitrage, '!A:A,'Fintech, Regulatory Arbitrage, '!C:C,"")</f>
        <v/>
      </c>
    </row>
    <row r="2468">
      <c r="A2468" s="1" t="s">
        <v>2487</v>
      </c>
      <c r="B2468" s="2">
        <v>26.0</v>
      </c>
      <c r="C2468" s="4"/>
      <c r="E2468" s="4" t="str">
        <f t="array" ref="E2468">XLOOKUP(A2468,'Fintech, Regulatory Arbitrage, '!A:A,'Fintech, Regulatory Arbitrage, '!C:C,"")</f>
        <v/>
      </c>
    </row>
    <row r="2469">
      <c r="A2469" s="1" t="s">
        <v>2488</v>
      </c>
      <c r="B2469" s="2">
        <v>26.0</v>
      </c>
      <c r="C2469" s="4"/>
      <c r="E2469" s="4" t="str">
        <f t="array" ref="E2469">XLOOKUP(A2469,'Fintech, Regulatory Arbitrage, '!A:A,'Fintech, Regulatory Arbitrage, '!C:C,"")</f>
        <v/>
      </c>
    </row>
    <row r="2470">
      <c r="A2470" s="1" t="s">
        <v>2489</v>
      </c>
      <c r="B2470" s="2">
        <v>26.0</v>
      </c>
      <c r="C2470" s="4"/>
      <c r="E2470" s="4" t="str">
        <f t="array" ref="E2470">XLOOKUP(A2470,'Fintech, Regulatory Arbitrage, '!A:A,'Fintech, Regulatory Arbitrage, '!C:C,"")</f>
        <v/>
      </c>
    </row>
    <row r="2471">
      <c r="A2471" s="1" t="s">
        <v>2490</v>
      </c>
      <c r="B2471" s="2">
        <v>26.0</v>
      </c>
      <c r="C2471" s="4"/>
      <c r="E2471" s="4" t="str">
        <f t="array" ref="E2471">XLOOKUP(A2471,'Fintech, Regulatory Arbitrage, '!A:A,'Fintech, Regulatory Arbitrage, '!C:C,"")</f>
        <v/>
      </c>
    </row>
    <row r="2472">
      <c r="A2472" s="1" t="s">
        <v>2491</v>
      </c>
      <c r="B2472" s="2">
        <v>26.0</v>
      </c>
      <c r="C2472" s="4"/>
      <c r="E2472" s="4" t="str">
        <f t="array" ref="E2472">XLOOKUP(A2472,'Fintech, Regulatory Arbitrage, '!A:A,'Fintech, Regulatory Arbitrage, '!C:C,"")</f>
        <v/>
      </c>
    </row>
    <row r="2473">
      <c r="A2473" s="1" t="s">
        <v>2492</v>
      </c>
      <c r="B2473" s="2">
        <v>26.0</v>
      </c>
      <c r="C2473" s="4"/>
      <c r="E2473" s="4" t="str">
        <f t="array" ref="E2473">XLOOKUP(A2473,'Fintech, Regulatory Arbitrage, '!A:A,'Fintech, Regulatory Arbitrage, '!C:C,"")</f>
        <v/>
      </c>
    </row>
    <row r="2474">
      <c r="A2474" s="1" t="s">
        <v>2493</v>
      </c>
      <c r="B2474" s="2">
        <v>26.0</v>
      </c>
      <c r="C2474" s="4"/>
      <c r="E2474" s="4" t="str">
        <f t="array" ref="E2474">XLOOKUP(A2474,'Fintech, Regulatory Arbitrage, '!A:A,'Fintech, Regulatory Arbitrage, '!C:C,"")</f>
        <v/>
      </c>
    </row>
    <row r="2475">
      <c r="A2475" s="1" t="s">
        <v>2494</v>
      </c>
      <c r="B2475" s="2">
        <v>26.0</v>
      </c>
      <c r="C2475" s="4"/>
      <c r="E2475" s="4" t="str">
        <f t="array" ref="E2475">XLOOKUP(A2475,'Fintech, Regulatory Arbitrage, '!A:A,'Fintech, Regulatory Arbitrage, '!C:C,"")</f>
        <v/>
      </c>
    </row>
    <row r="2476">
      <c r="A2476" s="1" t="s">
        <v>2495</v>
      </c>
      <c r="B2476" s="2">
        <v>26.0</v>
      </c>
      <c r="C2476" s="4"/>
      <c r="E2476" s="4" t="str">
        <f t="array" ref="E2476">XLOOKUP(A2476,'Fintech, Regulatory Arbitrage, '!A:A,'Fintech, Regulatory Arbitrage, '!C:C,"")</f>
        <v/>
      </c>
    </row>
    <row r="2477">
      <c r="A2477" s="1" t="s">
        <v>2496</v>
      </c>
      <c r="B2477" s="2">
        <v>26.0</v>
      </c>
      <c r="C2477" s="4"/>
      <c r="E2477" s="4" t="str">
        <f t="array" ref="E2477">XLOOKUP(A2477,'Fintech, Regulatory Arbitrage, '!A:A,'Fintech, Regulatory Arbitrage, '!C:C,"")</f>
        <v/>
      </c>
    </row>
    <row r="2478">
      <c r="A2478" s="1" t="s">
        <v>2497</v>
      </c>
      <c r="B2478" s="2">
        <v>26.0</v>
      </c>
      <c r="C2478" s="4"/>
      <c r="E2478" s="4" t="str">
        <f t="array" ref="E2478">XLOOKUP(A2478,'Fintech, Regulatory Arbitrage, '!A:A,'Fintech, Regulatory Arbitrage, '!C:C,"")</f>
        <v/>
      </c>
    </row>
    <row r="2479">
      <c r="A2479" s="1" t="s">
        <v>2498</v>
      </c>
      <c r="B2479" s="2">
        <v>26.0</v>
      </c>
      <c r="C2479" s="4"/>
      <c r="E2479" s="4" t="str">
        <f t="array" ref="E2479">XLOOKUP(A2479,'Fintech, Regulatory Arbitrage, '!A:A,'Fintech, Regulatory Arbitrage, '!C:C,"")</f>
        <v/>
      </c>
    </row>
    <row r="2480">
      <c r="A2480" s="1" t="s">
        <v>2499</v>
      </c>
      <c r="B2480" s="2">
        <v>26.0</v>
      </c>
      <c r="C2480" s="4"/>
      <c r="E2480" s="4" t="str">
        <f t="array" ref="E2480">XLOOKUP(A2480,'Fintech, Regulatory Arbitrage, '!A:A,'Fintech, Regulatory Arbitrage, '!C:C,"")</f>
        <v/>
      </c>
    </row>
    <row r="2481">
      <c r="A2481" s="1" t="s">
        <v>2500</v>
      </c>
      <c r="B2481" s="2">
        <v>25.0</v>
      </c>
      <c r="C2481" s="4"/>
      <c r="E2481" s="4" t="str">
        <f t="array" ref="E2481">XLOOKUP(A2481,'Fintech, Regulatory Arbitrage, '!A:A,'Fintech, Regulatory Arbitrage, '!C:C,"")</f>
        <v/>
      </c>
    </row>
    <row r="2482">
      <c r="A2482" s="1" t="s">
        <v>2501</v>
      </c>
      <c r="B2482" s="2">
        <v>25.0</v>
      </c>
      <c r="C2482" s="4"/>
      <c r="E2482" s="4" t="str">
        <f t="array" ref="E2482">XLOOKUP(A2482,'Fintech, Regulatory Arbitrage, '!A:A,'Fintech, Regulatory Arbitrage, '!C:C,"")</f>
        <v/>
      </c>
    </row>
    <row r="2483">
      <c r="A2483" s="1" t="s">
        <v>2502</v>
      </c>
      <c r="B2483" s="2">
        <v>25.0</v>
      </c>
      <c r="C2483" s="4"/>
      <c r="E2483" s="4" t="str">
        <f t="array" ref="E2483">XLOOKUP(A2483,'Fintech, Regulatory Arbitrage, '!A:A,'Fintech, Regulatory Arbitrage, '!C:C,"")</f>
        <v/>
      </c>
    </row>
    <row r="2484">
      <c r="A2484" s="1" t="s">
        <v>2503</v>
      </c>
      <c r="B2484" s="2">
        <v>25.0</v>
      </c>
      <c r="C2484" s="4"/>
      <c r="E2484" s="4" t="str">
        <f t="array" ref="E2484">XLOOKUP(A2484,'Fintech, Regulatory Arbitrage, '!A:A,'Fintech, Regulatory Arbitrage, '!C:C,"")</f>
        <v/>
      </c>
    </row>
    <row r="2485">
      <c r="A2485" s="1" t="s">
        <v>2504</v>
      </c>
      <c r="B2485" s="2">
        <v>25.0</v>
      </c>
      <c r="C2485" s="4"/>
      <c r="E2485" s="4" t="str">
        <f t="array" ref="E2485">XLOOKUP(A2485,'Fintech, Regulatory Arbitrage, '!A:A,'Fintech, Regulatory Arbitrage, '!C:C,"")</f>
        <v/>
      </c>
    </row>
    <row r="2486">
      <c r="A2486" s="1" t="s">
        <v>2505</v>
      </c>
      <c r="B2486" s="2">
        <v>25.0</v>
      </c>
      <c r="C2486" s="4"/>
      <c r="E2486" s="4" t="str">
        <f t="array" ref="E2486">XLOOKUP(A2486,'Fintech, Regulatory Arbitrage, '!A:A,'Fintech, Regulatory Arbitrage, '!C:C,"")</f>
        <v/>
      </c>
    </row>
    <row r="2487">
      <c r="A2487" s="1" t="s">
        <v>2506</v>
      </c>
      <c r="B2487" s="2">
        <v>25.0</v>
      </c>
      <c r="C2487" s="4"/>
      <c r="E2487" s="4" t="str">
        <f t="array" ref="E2487">XLOOKUP(A2487,'Fintech, Regulatory Arbitrage, '!A:A,'Fintech, Regulatory Arbitrage, '!C:C,"")</f>
        <v/>
      </c>
    </row>
    <row r="2488">
      <c r="A2488" s="1" t="s">
        <v>2507</v>
      </c>
      <c r="B2488" s="2">
        <v>25.0</v>
      </c>
      <c r="C2488" s="4"/>
      <c r="E2488" s="4" t="str">
        <f t="array" ref="E2488">XLOOKUP(A2488,'Fintech, Regulatory Arbitrage, '!A:A,'Fintech, Regulatory Arbitrage, '!C:C,"")</f>
        <v/>
      </c>
    </row>
    <row r="2489">
      <c r="A2489" s="1" t="s">
        <v>2508</v>
      </c>
      <c r="B2489" s="2">
        <v>25.0</v>
      </c>
      <c r="C2489" s="4"/>
      <c r="E2489" s="4" t="str">
        <f t="array" ref="E2489">XLOOKUP(A2489,'Fintech, Regulatory Arbitrage, '!A:A,'Fintech, Regulatory Arbitrage, '!C:C,"")</f>
        <v/>
      </c>
    </row>
    <row r="2490">
      <c r="A2490" s="1" t="s">
        <v>2509</v>
      </c>
      <c r="B2490" s="2">
        <v>25.0</v>
      </c>
      <c r="C2490" s="4"/>
      <c r="E2490" s="4" t="str">
        <f t="array" ref="E2490">XLOOKUP(A2490,'Fintech, Regulatory Arbitrage, '!A:A,'Fintech, Regulatory Arbitrage, '!C:C,"")</f>
        <v/>
      </c>
    </row>
    <row r="2491">
      <c r="A2491" s="1" t="s">
        <v>2510</v>
      </c>
      <c r="B2491" s="2">
        <v>25.0</v>
      </c>
      <c r="C2491" s="4"/>
      <c r="E2491" s="4" t="str">
        <f t="array" ref="E2491">XLOOKUP(A2491,'Fintech, Regulatory Arbitrage, '!A:A,'Fintech, Regulatory Arbitrage, '!C:C,"")</f>
        <v/>
      </c>
    </row>
    <row r="2492">
      <c r="A2492" s="1" t="s">
        <v>2511</v>
      </c>
      <c r="B2492" s="2">
        <v>25.0</v>
      </c>
      <c r="C2492" s="4"/>
      <c r="E2492" s="4" t="str">
        <f t="array" ref="E2492">XLOOKUP(A2492,'Fintech, Regulatory Arbitrage, '!A:A,'Fintech, Regulatory Arbitrage, '!C:C,"")</f>
        <v/>
      </c>
    </row>
    <row r="2493">
      <c r="A2493" s="1" t="s">
        <v>2512</v>
      </c>
      <c r="B2493" s="2">
        <v>25.0</v>
      </c>
      <c r="C2493" s="4"/>
      <c r="E2493" s="4" t="str">
        <f t="array" ref="E2493">XLOOKUP(A2493,'Fintech, Regulatory Arbitrage, '!A:A,'Fintech, Regulatory Arbitrage, '!C:C,"")</f>
        <v/>
      </c>
    </row>
    <row r="2494">
      <c r="A2494" s="1" t="s">
        <v>2513</v>
      </c>
      <c r="B2494" s="2">
        <v>25.0</v>
      </c>
      <c r="C2494" s="4"/>
      <c r="E2494" s="4" t="str">
        <f t="array" ref="E2494">XLOOKUP(A2494,'Fintech, Regulatory Arbitrage, '!A:A,'Fintech, Regulatory Arbitrage, '!C:C,"")</f>
        <v/>
      </c>
    </row>
    <row r="2495">
      <c r="A2495" s="1" t="s">
        <v>2514</v>
      </c>
      <c r="B2495" s="2">
        <v>25.0</v>
      </c>
      <c r="C2495" s="4"/>
      <c r="E2495" s="4" t="str">
        <f t="array" ref="E2495">XLOOKUP(A2495,'Fintech, Regulatory Arbitrage, '!A:A,'Fintech, Regulatory Arbitrage, '!C:C,"")</f>
        <v/>
      </c>
    </row>
    <row r="2496">
      <c r="A2496" s="1" t="s">
        <v>2515</v>
      </c>
      <c r="B2496" s="2">
        <v>25.0</v>
      </c>
      <c r="C2496" s="4"/>
      <c r="E2496" s="4" t="str">
        <f t="array" ref="E2496">XLOOKUP(A2496,'Fintech, Regulatory Arbitrage, '!A:A,'Fintech, Regulatory Arbitrage, '!C:C,"")</f>
        <v/>
      </c>
    </row>
    <row r="2497">
      <c r="A2497" s="1" t="s">
        <v>2516</v>
      </c>
      <c r="B2497" s="2">
        <v>25.0</v>
      </c>
      <c r="C2497" s="4"/>
      <c r="E2497" s="4" t="str">
        <f t="array" ref="E2497">XLOOKUP(A2497,'Fintech, Regulatory Arbitrage, '!A:A,'Fintech, Regulatory Arbitrage, '!C:C,"")</f>
        <v/>
      </c>
    </row>
    <row r="2498">
      <c r="A2498" s="1" t="s">
        <v>2517</v>
      </c>
      <c r="B2498" s="2">
        <v>25.0</v>
      </c>
      <c r="C2498" s="4"/>
      <c r="E2498" s="4" t="str">
        <f t="array" ref="E2498">XLOOKUP(A2498,'Fintech, Regulatory Arbitrage, '!A:A,'Fintech, Regulatory Arbitrage, '!C:C,"")</f>
        <v/>
      </c>
    </row>
    <row r="2499">
      <c r="A2499" s="1" t="s">
        <v>2518</v>
      </c>
      <c r="B2499" s="2">
        <v>25.0</v>
      </c>
      <c r="C2499" s="4"/>
      <c r="E2499" s="4" t="str">
        <f t="array" ref="E2499">XLOOKUP(A2499,'Fintech, Regulatory Arbitrage, '!A:A,'Fintech, Regulatory Arbitrage, '!C:C,"")</f>
        <v/>
      </c>
    </row>
    <row r="2500">
      <c r="A2500" s="1" t="s">
        <v>2519</v>
      </c>
      <c r="B2500" s="2">
        <v>25.0</v>
      </c>
      <c r="C2500" s="4"/>
      <c r="E2500" s="4" t="str">
        <f t="array" ref="E2500">XLOOKUP(A2500,'Fintech, Regulatory Arbitrage, '!A:A,'Fintech, Regulatory Arbitrage, '!C:C,"")</f>
        <v/>
      </c>
    </row>
    <row r="2501">
      <c r="A2501" s="1" t="s">
        <v>2520</v>
      </c>
      <c r="B2501" s="2">
        <v>25.0</v>
      </c>
      <c r="C2501" s="4"/>
      <c r="E2501" s="4" t="str">
        <f t="array" ref="E2501">XLOOKUP(A2501,'Fintech, Regulatory Arbitrage, '!A:A,'Fintech, Regulatory Arbitrage, '!C:C,"")</f>
        <v/>
      </c>
    </row>
    <row r="2502">
      <c r="A2502" s="1" t="s">
        <v>2521</v>
      </c>
      <c r="B2502" s="2">
        <v>25.0</v>
      </c>
      <c r="C2502" s="4"/>
      <c r="E2502" s="4" t="str">
        <f t="array" ref="E2502">XLOOKUP(A2502,'Fintech, Regulatory Arbitrage, '!A:A,'Fintech, Regulatory Arbitrage, '!C:C,"")</f>
        <v/>
      </c>
    </row>
    <row r="2503">
      <c r="A2503" s="1" t="s">
        <v>2522</v>
      </c>
      <c r="B2503" s="2">
        <v>25.0</v>
      </c>
      <c r="C2503" s="4"/>
      <c r="E2503" s="4" t="str">
        <f t="array" ref="E2503">XLOOKUP(A2503,'Fintech, Regulatory Arbitrage, '!A:A,'Fintech, Regulatory Arbitrage, '!C:C,"")</f>
        <v/>
      </c>
    </row>
    <row r="2504">
      <c r="A2504" s="1" t="s">
        <v>2523</v>
      </c>
      <c r="B2504" s="2">
        <v>25.0</v>
      </c>
      <c r="C2504" s="4"/>
      <c r="E2504" s="4" t="str">
        <f t="array" ref="E2504">XLOOKUP(A2504,'Fintech, Regulatory Arbitrage, '!A:A,'Fintech, Regulatory Arbitrage, '!C:C,"")</f>
        <v/>
      </c>
    </row>
    <row r="2505">
      <c r="A2505" s="1" t="s">
        <v>2524</v>
      </c>
      <c r="B2505" s="2">
        <v>25.0</v>
      </c>
      <c r="C2505" s="4"/>
      <c r="E2505" s="4" t="str">
        <f t="array" ref="E2505">XLOOKUP(A2505,'Fintech, Regulatory Arbitrage, '!A:A,'Fintech, Regulatory Arbitrage, '!C:C,"")</f>
        <v/>
      </c>
    </row>
    <row r="2506">
      <c r="A2506" s="1" t="s">
        <v>2525</v>
      </c>
      <c r="B2506" s="2">
        <v>25.0</v>
      </c>
      <c r="C2506" s="4"/>
      <c r="E2506" s="4" t="str">
        <f t="array" ref="E2506">XLOOKUP(A2506,'Fintech, Regulatory Arbitrage, '!A:A,'Fintech, Regulatory Arbitrage, '!C:C,"")</f>
        <v/>
      </c>
    </row>
    <row r="2507">
      <c r="A2507" s="1" t="s">
        <v>2526</v>
      </c>
      <c r="B2507" s="2">
        <v>25.0</v>
      </c>
      <c r="C2507" s="4"/>
      <c r="E2507" s="4" t="str">
        <f t="array" ref="E2507">XLOOKUP(A2507,'Fintech, Regulatory Arbitrage, '!A:A,'Fintech, Regulatory Arbitrage, '!C:C,"")</f>
        <v/>
      </c>
    </row>
    <row r="2508">
      <c r="A2508" s="1" t="s">
        <v>2527</v>
      </c>
      <c r="B2508" s="2">
        <v>25.0</v>
      </c>
      <c r="C2508" s="4"/>
      <c r="E2508" s="4" t="str">
        <f t="array" ref="E2508">XLOOKUP(A2508,'Fintech, Regulatory Arbitrage, '!A:A,'Fintech, Regulatory Arbitrage, '!C:C,"")</f>
        <v/>
      </c>
    </row>
    <row r="2509">
      <c r="A2509" s="1" t="s">
        <v>2528</v>
      </c>
      <c r="B2509" s="2">
        <v>25.0</v>
      </c>
      <c r="C2509" s="4"/>
      <c r="E2509" s="4" t="str">
        <f t="array" ref="E2509">XLOOKUP(A2509,'Fintech, Regulatory Arbitrage, '!A:A,'Fintech, Regulatory Arbitrage, '!C:C,"")</f>
        <v/>
      </c>
    </row>
    <row r="2510">
      <c r="A2510" s="1" t="s">
        <v>2529</v>
      </c>
      <c r="B2510" s="2">
        <v>25.0</v>
      </c>
      <c r="C2510" s="4"/>
      <c r="E2510" s="4" t="str">
        <f t="array" ref="E2510">XLOOKUP(A2510,'Fintech, Regulatory Arbitrage, '!A:A,'Fintech, Regulatory Arbitrage, '!C:C,"")</f>
        <v/>
      </c>
    </row>
    <row r="2511">
      <c r="A2511" s="1" t="s">
        <v>2530</v>
      </c>
      <c r="B2511" s="2">
        <v>25.0</v>
      </c>
      <c r="C2511" s="4"/>
      <c r="E2511" s="4" t="str">
        <f t="array" ref="E2511">XLOOKUP(A2511,'Fintech, Regulatory Arbitrage, '!A:A,'Fintech, Regulatory Arbitrage, '!C:C,"")</f>
        <v/>
      </c>
    </row>
    <row r="2512">
      <c r="A2512" s="1" t="s">
        <v>2531</v>
      </c>
      <c r="B2512" s="2">
        <v>25.0</v>
      </c>
      <c r="C2512" s="4"/>
      <c r="E2512" s="4" t="str">
        <f t="array" ref="E2512">XLOOKUP(A2512,'Fintech, Regulatory Arbitrage, '!A:A,'Fintech, Regulatory Arbitrage, '!C:C,"")</f>
        <v/>
      </c>
    </row>
    <row r="2513">
      <c r="A2513" s="1" t="s">
        <v>2532</v>
      </c>
      <c r="B2513" s="2">
        <v>25.0</v>
      </c>
      <c r="C2513" s="4"/>
      <c r="E2513" s="4" t="str">
        <f t="array" ref="E2513">XLOOKUP(A2513,'Fintech, Regulatory Arbitrage, '!A:A,'Fintech, Regulatory Arbitrage, '!C:C,"")</f>
        <v/>
      </c>
    </row>
    <row r="2514">
      <c r="A2514" s="1" t="s">
        <v>2533</v>
      </c>
      <c r="B2514" s="2">
        <v>25.0</v>
      </c>
      <c r="C2514" s="4"/>
      <c r="E2514" s="4" t="str">
        <f t="array" ref="E2514">XLOOKUP(A2514,'Fintech, Regulatory Arbitrage, '!A:A,'Fintech, Regulatory Arbitrage, '!C:C,"")</f>
        <v/>
      </c>
    </row>
    <row r="2515">
      <c r="A2515" s="1" t="s">
        <v>2534</v>
      </c>
      <c r="B2515" s="2">
        <v>25.0</v>
      </c>
      <c r="C2515" s="4"/>
      <c r="E2515" s="4" t="str">
        <f t="array" ref="E2515">XLOOKUP(A2515,'Fintech, Regulatory Arbitrage, '!A:A,'Fintech, Regulatory Arbitrage, '!C:C,"")</f>
        <v/>
      </c>
    </row>
    <row r="2516">
      <c r="A2516" s="1" t="s">
        <v>2535</v>
      </c>
      <c r="B2516" s="2">
        <v>25.0</v>
      </c>
      <c r="C2516" s="4"/>
      <c r="E2516" s="4" t="str">
        <f t="array" ref="E2516">XLOOKUP(A2516,'Fintech, Regulatory Arbitrage, '!A:A,'Fintech, Regulatory Arbitrage, '!C:C,"")</f>
        <v/>
      </c>
    </row>
    <row r="2517">
      <c r="A2517" s="1" t="s">
        <v>2536</v>
      </c>
      <c r="B2517" s="2">
        <v>25.0</v>
      </c>
      <c r="C2517" s="4"/>
      <c r="E2517" s="4" t="str">
        <f t="array" ref="E2517">XLOOKUP(A2517,'Fintech, Regulatory Arbitrage, '!A:A,'Fintech, Regulatory Arbitrage, '!C:C,"")</f>
        <v/>
      </c>
    </row>
    <row r="2518">
      <c r="A2518" s="1" t="s">
        <v>2537</v>
      </c>
      <c r="B2518" s="2">
        <v>25.0</v>
      </c>
      <c r="C2518" s="4"/>
      <c r="E2518" s="4" t="str">
        <f t="array" ref="E2518">XLOOKUP(A2518,'Fintech, Regulatory Arbitrage, '!A:A,'Fintech, Regulatory Arbitrage, '!C:C,"")</f>
        <v/>
      </c>
    </row>
    <row r="2519">
      <c r="A2519" s="1" t="s">
        <v>2538</v>
      </c>
      <c r="B2519" s="2">
        <v>25.0</v>
      </c>
      <c r="C2519" s="4"/>
      <c r="E2519" s="4" t="str">
        <f t="array" ref="E2519">XLOOKUP(A2519,'Fintech, Regulatory Arbitrage, '!A:A,'Fintech, Regulatory Arbitrage, '!C:C,"")</f>
        <v/>
      </c>
    </row>
    <row r="2520">
      <c r="A2520" s="1" t="s">
        <v>2539</v>
      </c>
      <c r="B2520" s="2">
        <v>25.0</v>
      </c>
      <c r="C2520" s="4"/>
      <c r="E2520" s="4" t="str">
        <f t="array" ref="E2520">XLOOKUP(A2520,'Fintech, Regulatory Arbitrage, '!A:A,'Fintech, Regulatory Arbitrage, '!C:C,"")</f>
        <v/>
      </c>
    </row>
    <row r="2521">
      <c r="A2521" s="1" t="s">
        <v>2540</v>
      </c>
      <c r="B2521" s="2">
        <v>25.0</v>
      </c>
      <c r="C2521" s="4"/>
      <c r="E2521" s="4" t="str">
        <f t="array" ref="E2521">XLOOKUP(A2521,'Fintech, Regulatory Arbitrage, '!A:A,'Fintech, Regulatory Arbitrage, '!C:C,"")</f>
        <v/>
      </c>
    </row>
    <row r="2522">
      <c r="A2522" s="1" t="s">
        <v>2541</v>
      </c>
      <c r="B2522" s="2">
        <v>25.0</v>
      </c>
      <c r="C2522" s="4"/>
      <c r="E2522" s="4" t="str">
        <f t="array" ref="E2522">XLOOKUP(A2522,'Fintech, Regulatory Arbitrage, '!A:A,'Fintech, Regulatory Arbitrage, '!C:C,"")</f>
        <v/>
      </c>
    </row>
    <row r="2523">
      <c r="A2523" s="1" t="s">
        <v>2542</v>
      </c>
      <c r="B2523" s="2">
        <v>25.0</v>
      </c>
      <c r="C2523" s="4"/>
      <c r="E2523" s="4" t="str">
        <f t="array" ref="E2523">XLOOKUP(A2523,'Fintech, Regulatory Arbitrage, '!A:A,'Fintech, Regulatory Arbitrage, '!C:C,"")</f>
        <v/>
      </c>
    </row>
    <row r="2524">
      <c r="A2524" s="1" t="s">
        <v>2543</v>
      </c>
      <c r="B2524" s="2">
        <v>25.0</v>
      </c>
      <c r="C2524" s="4"/>
      <c r="E2524" s="4" t="str">
        <f t="array" ref="E2524">XLOOKUP(A2524,'Fintech, Regulatory Arbitrage, '!A:A,'Fintech, Regulatory Arbitrage, '!C:C,"")</f>
        <v/>
      </c>
    </row>
    <row r="2525">
      <c r="A2525" s="1" t="s">
        <v>2544</v>
      </c>
      <c r="B2525" s="2">
        <v>25.0</v>
      </c>
      <c r="C2525" s="4"/>
      <c r="E2525" s="4" t="str">
        <f t="array" ref="E2525">XLOOKUP(A2525,'Fintech, Regulatory Arbitrage, '!A:A,'Fintech, Regulatory Arbitrage, '!C:C,"")</f>
        <v/>
      </c>
    </row>
    <row r="2526">
      <c r="A2526" s="1" t="s">
        <v>2545</v>
      </c>
      <c r="B2526" s="2">
        <v>25.0</v>
      </c>
      <c r="C2526" s="4"/>
      <c r="E2526" s="4" t="str">
        <f t="array" ref="E2526">XLOOKUP(A2526,'Fintech, Regulatory Arbitrage, '!A:A,'Fintech, Regulatory Arbitrage, '!C:C,"")</f>
        <v/>
      </c>
    </row>
    <row r="2527">
      <c r="A2527" s="1" t="s">
        <v>2546</v>
      </c>
      <c r="B2527" s="2">
        <v>25.0</v>
      </c>
      <c r="C2527" s="4"/>
      <c r="E2527" s="4" t="str">
        <f t="array" ref="E2527">XLOOKUP(A2527,'Fintech, Regulatory Arbitrage, '!A:A,'Fintech, Regulatory Arbitrage, '!C:C,"")</f>
        <v/>
      </c>
    </row>
    <row r="2528">
      <c r="A2528" s="1" t="s">
        <v>2547</v>
      </c>
      <c r="B2528" s="2">
        <v>25.0</v>
      </c>
      <c r="C2528" s="4"/>
      <c r="E2528" s="4" t="str">
        <f t="array" ref="E2528">XLOOKUP(A2528,'Fintech, Regulatory Arbitrage, '!A:A,'Fintech, Regulatory Arbitrage, '!C:C,"")</f>
        <v/>
      </c>
    </row>
    <row r="2529">
      <c r="A2529" s="1" t="s">
        <v>2548</v>
      </c>
      <c r="B2529" s="2">
        <v>25.0</v>
      </c>
      <c r="C2529" s="4"/>
      <c r="E2529" s="4" t="str">
        <f t="array" ref="E2529">XLOOKUP(A2529,'Fintech, Regulatory Arbitrage, '!A:A,'Fintech, Regulatory Arbitrage, '!C:C,"")</f>
        <v/>
      </c>
    </row>
    <row r="2530">
      <c r="A2530" s="1" t="s">
        <v>2549</v>
      </c>
      <c r="B2530" s="2">
        <v>25.0</v>
      </c>
      <c r="C2530" s="4"/>
      <c r="E2530" s="4" t="str">
        <f t="array" ref="E2530">XLOOKUP(A2530,'Fintech, Regulatory Arbitrage, '!A:A,'Fintech, Regulatory Arbitrage, '!C:C,"")</f>
        <v/>
      </c>
    </row>
    <row r="2531">
      <c r="A2531" s="1" t="s">
        <v>2550</v>
      </c>
      <c r="B2531" s="2">
        <v>25.0</v>
      </c>
      <c r="C2531" s="4"/>
      <c r="E2531" s="4" t="str">
        <f t="array" ref="E2531">XLOOKUP(A2531,'Fintech, Regulatory Arbitrage, '!A:A,'Fintech, Regulatory Arbitrage, '!C:C,"")</f>
        <v/>
      </c>
    </row>
    <row r="2532">
      <c r="A2532" s="1" t="s">
        <v>2551</v>
      </c>
      <c r="B2532" s="2">
        <v>24.0</v>
      </c>
      <c r="C2532" s="4"/>
      <c r="E2532" s="4" t="str">
        <f t="array" ref="E2532">XLOOKUP(A2532,'Fintech, Regulatory Arbitrage, '!A:A,'Fintech, Regulatory Arbitrage, '!C:C,"")</f>
        <v/>
      </c>
    </row>
    <row r="2533">
      <c r="A2533" s="1" t="s">
        <v>2552</v>
      </c>
      <c r="B2533" s="2">
        <v>24.0</v>
      </c>
      <c r="C2533" s="4"/>
      <c r="E2533" s="4" t="str">
        <f t="array" ref="E2533">XLOOKUP(A2533,'Fintech, Regulatory Arbitrage, '!A:A,'Fintech, Regulatory Arbitrage, '!C:C,"")</f>
        <v/>
      </c>
    </row>
    <row r="2534">
      <c r="A2534" s="1" t="s">
        <v>2553</v>
      </c>
      <c r="B2534" s="2">
        <v>24.0</v>
      </c>
      <c r="C2534" s="4"/>
      <c r="E2534" s="4" t="str">
        <f t="array" ref="E2534">XLOOKUP(A2534,'Fintech, Regulatory Arbitrage, '!A:A,'Fintech, Regulatory Arbitrage, '!C:C,"")</f>
        <v/>
      </c>
    </row>
    <row r="2535">
      <c r="A2535" s="1" t="s">
        <v>2554</v>
      </c>
      <c r="B2535" s="2">
        <v>24.0</v>
      </c>
      <c r="C2535" s="4"/>
      <c r="E2535" s="4" t="str">
        <f t="array" ref="E2535">XLOOKUP(A2535,'Fintech, Regulatory Arbitrage, '!A:A,'Fintech, Regulatory Arbitrage, '!C:C,"")</f>
        <v/>
      </c>
    </row>
    <row r="2536">
      <c r="A2536" s="1" t="s">
        <v>2555</v>
      </c>
      <c r="B2536" s="2">
        <v>24.0</v>
      </c>
      <c r="C2536" s="4"/>
      <c r="E2536" s="4" t="str">
        <f t="array" ref="E2536">XLOOKUP(A2536,'Fintech, Regulatory Arbitrage, '!A:A,'Fintech, Regulatory Arbitrage, '!C:C,"")</f>
        <v/>
      </c>
    </row>
    <row r="2537">
      <c r="A2537" s="1" t="s">
        <v>2556</v>
      </c>
      <c r="B2537" s="2">
        <v>24.0</v>
      </c>
      <c r="C2537" s="4"/>
      <c r="E2537" s="4" t="str">
        <f t="array" ref="E2537">XLOOKUP(A2537,'Fintech, Regulatory Arbitrage, '!A:A,'Fintech, Regulatory Arbitrage, '!C:C,"")</f>
        <v/>
      </c>
    </row>
    <row r="2538">
      <c r="A2538" s="1" t="s">
        <v>2557</v>
      </c>
      <c r="B2538" s="2">
        <v>24.0</v>
      </c>
      <c r="C2538" s="4"/>
      <c r="E2538" s="4" t="str">
        <f t="array" ref="E2538">XLOOKUP(A2538,'Fintech, Regulatory Arbitrage, '!A:A,'Fintech, Regulatory Arbitrage, '!C:C,"")</f>
        <v/>
      </c>
    </row>
    <row r="2539">
      <c r="A2539" s="1" t="s">
        <v>2558</v>
      </c>
      <c r="B2539" s="2">
        <v>24.0</v>
      </c>
      <c r="C2539" s="4"/>
      <c r="E2539" s="4" t="str">
        <f t="array" ref="E2539">XLOOKUP(A2539,'Fintech, Regulatory Arbitrage, '!A:A,'Fintech, Regulatory Arbitrage, '!C:C,"")</f>
        <v/>
      </c>
    </row>
    <row r="2540">
      <c r="A2540" s="1" t="s">
        <v>2559</v>
      </c>
      <c r="B2540" s="2">
        <v>24.0</v>
      </c>
      <c r="C2540" s="4"/>
      <c r="E2540" s="4" t="str">
        <f t="array" ref="E2540">XLOOKUP(A2540,'Fintech, Regulatory Arbitrage, '!A:A,'Fintech, Regulatory Arbitrage, '!C:C,"")</f>
        <v/>
      </c>
    </row>
    <row r="2541">
      <c r="A2541" s="1" t="s">
        <v>2560</v>
      </c>
      <c r="B2541" s="2">
        <v>24.0</v>
      </c>
      <c r="C2541" s="4"/>
      <c r="E2541" s="4" t="str">
        <f t="array" ref="E2541">XLOOKUP(A2541,'Fintech, Regulatory Arbitrage, '!A:A,'Fintech, Regulatory Arbitrage, '!C:C,"")</f>
        <v/>
      </c>
    </row>
    <row r="2542">
      <c r="A2542" s="1" t="s">
        <v>2561</v>
      </c>
      <c r="B2542" s="2">
        <v>24.0</v>
      </c>
      <c r="C2542" s="4"/>
      <c r="E2542" s="4" t="str">
        <f t="array" ref="E2542">XLOOKUP(A2542,'Fintech, Regulatory Arbitrage, '!A:A,'Fintech, Regulatory Arbitrage, '!C:C,"")</f>
        <v/>
      </c>
    </row>
    <row r="2543">
      <c r="A2543" s="1" t="s">
        <v>2562</v>
      </c>
      <c r="B2543" s="2">
        <v>24.0</v>
      </c>
      <c r="C2543" s="4"/>
      <c r="E2543" s="4" t="str">
        <f t="array" ref="E2543">XLOOKUP(A2543,'Fintech, Regulatory Arbitrage, '!A:A,'Fintech, Regulatory Arbitrage, '!C:C,"")</f>
        <v/>
      </c>
    </row>
    <row r="2544">
      <c r="A2544" s="1" t="s">
        <v>2563</v>
      </c>
      <c r="B2544" s="2">
        <v>24.0</v>
      </c>
      <c r="C2544" s="4"/>
      <c r="E2544" s="4" t="str">
        <f t="array" ref="E2544">XLOOKUP(A2544,'Fintech, Regulatory Arbitrage, '!A:A,'Fintech, Regulatory Arbitrage, '!C:C,"")</f>
        <v/>
      </c>
    </row>
    <row r="2545">
      <c r="A2545" s="1" t="s">
        <v>2564</v>
      </c>
      <c r="B2545" s="2">
        <v>24.0</v>
      </c>
      <c r="C2545" s="4"/>
      <c r="E2545" s="4" t="str">
        <f t="array" ref="E2545">XLOOKUP(A2545,'Fintech, Regulatory Arbitrage, '!A:A,'Fintech, Regulatory Arbitrage, '!C:C,"")</f>
        <v/>
      </c>
    </row>
    <row r="2546">
      <c r="A2546" s="1" t="s">
        <v>2565</v>
      </c>
      <c r="B2546" s="2">
        <v>24.0</v>
      </c>
      <c r="C2546" s="4"/>
      <c r="E2546" s="4" t="str">
        <f t="array" ref="E2546">XLOOKUP(A2546,'Fintech, Regulatory Arbitrage, '!A:A,'Fintech, Regulatory Arbitrage, '!C:C,"")</f>
        <v/>
      </c>
    </row>
    <row r="2547">
      <c r="A2547" s="1" t="s">
        <v>2566</v>
      </c>
      <c r="B2547" s="2">
        <v>24.0</v>
      </c>
      <c r="C2547" s="4"/>
      <c r="E2547" s="4" t="str">
        <f t="array" ref="E2547">XLOOKUP(A2547,'Fintech, Regulatory Arbitrage, '!A:A,'Fintech, Regulatory Arbitrage, '!C:C,"")</f>
        <v/>
      </c>
    </row>
    <row r="2548">
      <c r="A2548" s="1" t="s">
        <v>2567</v>
      </c>
      <c r="B2548" s="2">
        <v>24.0</v>
      </c>
      <c r="C2548" s="4"/>
      <c r="E2548" s="4" t="str">
        <f t="array" ref="E2548">XLOOKUP(A2548,'Fintech, Regulatory Arbitrage, '!A:A,'Fintech, Regulatory Arbitrage, '!C:C,"")</f>
        <v/>
      </c>
    </row>
    <row r="2549">
      <c r="A2549" s="1" t="s">
        <v>2568</v>
      </c>
      <c r="B2549" s="2">
        <v>24.0</v>
      </c>
      <c r="C2549" s="4"/>
      <c r="E2549" s="4" t="str">
        <f t="array" ref="E2549">XLOOKUP(A2549,'Fintech, Regulatory Arbitrage, '!A:A,'Fintech, Regulatory Arbitrage, '!C:C,"")</f>
        <v/>
      </c>
    </row>
    <row r="2550">
      <c r="A2550" s="1" t="s">
        <v>2569</v>
      </c>
      <c r="B2550" s="2">
        <v>24.0</v>
      </c>
      <c r="C2550" s="4"/>
      <c r="E2550" s="4" t="str">
        <f t="array" ref="E2550">XLOOKUP(A2550,'Fintech, Regulatory Arbitrage, '!A:A,'Fintech, Regulatory Arbitrage, '!C:C,"")</f>
        <v/>
      </c>
    </row>
    <row r="2551">
      <c r="A2551" s="1" t="s">
        <v>2570</v>
      </c>
      <c r="B2551" s="2">
        <v>24.0</v>
      </c>
      <c r="C2551" s="4"/>
      <c r="E2551" s="4" t="str">
        <f t="array" ref="E2551">XLOOKUP(A2551,'Fintech, Regulatory Arbitrage, '!A:A,'Fintech, Regulatory Arbitrage, '!C:C,"")</f>
        <v/>
      </c>
    </row>
    <row r="2552">
      <c r="A2552" s="1" t="s">
        <v>2571</v>
      </c>
      <c r="B2552" s="2">
        <v>24.0</v>
      </c>
      <c r="C2552" s="4"/>
      <c r="E2552" s="4" t="str">
        <f t="array" ref="E2552">XLOOKUP(A2552,'Fintech, Regulatory Arbitrage, '!A:A,'Fintech, Regulatory Arbitrage, '!C:C,"")</f>
        <v/>
      </c>
    </row>
    <row r="2553">
      <c r="A2553" s="1" t="s">
        <v>2572</v>
      </c>
      <c r="B2553" s="2">
        <v>24.0</v>
      </c>
      <c r="C2553" s="4"/>
      <c r="E2553" s="4" t="str">
        <f t="array" ref="E2553">XLOOKUP(A2553,'Fintech, Regulatory Arbitrage, '!A:A,'Fintech, Regulatory Arbitrage, '!C:C,"")</f>
        <v/>
      </c>
    </row>
    <row r="2554">
      <c r="A2554" s="1" t="s">
        <v>2573</v>
      </c>
      <c r="B2554" s="2">
        <v>24.0</v>
      </c>
      <c r="C2554" s="4"/>
      <c r="E2554" s="4" t="str">
        <f t="array" ref="E2554">XLOOKUP(A2554,'Fintech, Regulatory Arbitrage, '!A:A,'Fintech, Regulatory Arbitrage, '!C:C,"")</f>
        <v/>
      </c>
    </row>
    <row r="2555">
      <c r="A2555" s="1" t="s">
        <v>2574</v>
      </c>
      <c r="B2555" s="2">
        <v>24.0</v>
      </c>
      <c r="C2555" s="4"/>
      <c r="E2555" s="4" t="str">
        <f t="array" ref="E2555">XLOOKUP(A2555,'Fintech, Regulatory Arbitrage, '!A:A,'Fintech, Regulatory Arbitrage, '!C:C,"")</f>
        <v/>
      </c>
    </row>
    <row r="2556">
      <c r="A2556" s="1" t="s">
        <v>2575</v>
      </c>
      <c r="B2556" s="2">
        <v>24.0</v>
      </c>
      <c r="C2556" s="4"/>
      <c r="E2556" s="4" t="str">
        <f t="array" ref="E2556">XLOOKUP(A2556,'Fintech, Regulatory Arbitrage, '!A:A,'Fintech, Regulatory Arbitrage, '!C:C,"")</f>
        <v/>
      </c>
    </row>
    <row r="2557">
      <c r="A2557" s="1" t="s">
        <v>2576</v>
      </c>
      <c r="B2557" s="2">
        <v>24.0</v>
      </c>
      <c r="C2557" s="4"/>
      <c r="E2557" s="4" t="str">
        <f t="array" ref="E2557">XLOOKUP(A2557,'Fintech, Regulatory Arbitrage, '!A:A,'Fintech, Regulatory Arbitrage, '!C:C,"")</f>
        <v/>
      </c>
    </row>
    <row r="2558">
      <c r="A2558" s="1" t="s">
        <v>2577</v>
      </c>
      <c r="B2558" s="2">
        <v>24.0</v>
      </c>
      <c r="C2558" s="4"/>
      <c r="E2558" s="4" t="str">
        <f t="array" ref="E2558">XLOOKUP(A2558,'Fintech, Regulatory Arbitrage, '!A:A,'Fintech, Regulatory Arbitrage, '!C:C,"")</f>
        <v/>
      </c>
    </row>
    <row r="2559">
      <c r="A2559" s="1" t="s">
        <v>2578</v>
      </c>
      <c r="B2559" s="2">
        <v>24.0</v>
      </c>
      <c r="C2559" s="4"/>
      <c r="E2559" s="4" t="str">
        <f t="array" ref="E2559">XLOOKUP(A2559,'Fintech, Regulatory Arbitrage, '!A:A,'Fintech, Regulatory Arbitrage, '!C:C,"")</f>
        <v/>
      </c>
    </row>
    <row r="2560">
      <c r="A2560" s="1" t="s">
        <v>2579</v>
      </c>
      <c r="B2560" s="2">
        <v>24.0</v>
      </c>
      <c r="C2560" s="4"/>
      <c r="E2560" s="4" t="str">
        <f t="array" ref="E2560">XLOOKUP(A2560,'Fintech, Regulatory Arbitrage, '!A:A,'Fintech, Regulatory Arbitrage, '!C:C,"")</f>
        <v/>
      </c>
    </row>
    <row r="2561">
      <c r="A2561" s="1" t="s">
        <v>2580</v>
      </c>
      <c r="B2561" s="2">
        <v>24.0</v>
      </c>
      <c r="C2561" s="4"/>
      <c r="E2561" s="4" t="str">
        <f t="array" ref="E2561">XLOOKUP(A2561,'Fintech, Regulatory Arbitrage, '!A:A,'Fintech, Regulatory Arbitrage, '!C:C,"")</f>
        <v/>
      </c>
    </row>
    <row r="2562">
      <c r="A2562" s="1" t="s">
        <v>2581</v>
      </c>
      <c r="B2562" s="2">
        <v>24.0</v>
      </c>
      <c r="C2562" s="4"/>
      <c r="E2562" s="4" t="str">
        <f t="array" ref="E2562">XLOOKUP(A2562,'Fintech, Regulatory Arbitrage, '!A:A,'Fintech, Regulatory Arbitrage, '!C:C,"")</f>
        <v/>
      </c>
    </row>
    <row r="2563">
      <c r="A2563" s="1" t="s">
        <v>2582</v>
      </c>
      <c r="B2563" s="2">
        <v>24.0</v>
      </c>
      <c r="C2563" s="4"/>
      <c r="E2563" s="4" t="str">
        <f t="array" ref="E2563">XLOOKUP(A2563,'Fintech, Regulatory Arbitrage, '!A:A,'Fintech, Regulatory Arbitrage, '!C:C,"")</f>
        <v/>
      </c>
    </row>
    <row r="2564">
      <c r="A2564" s="1" t="s">
        <v>2583</v>
      </c>
      <c r="B2564" s="2">
        <v>24.0</v>
      </c>
      <c r="C2564" s="4"/>
      <c r="E2564" s="4" t="str">
        <f t="array" ref="E2564">XLOOKUP(A2564,'Fintech, Regulatory Arbitrage, '!A:A,'Fintech, Regulatory Arbitrage, '!C:C,"")</f>
        <v/>
      </c>
    </row>
    <row r="2565">
      <c r="A2565" s="1" t="s">
        <v>2584</v>
      </c>
      <c r="B2565" s="2">
        <v>24.0</v>
      </c>
      <c r="C2565" s="4"/>
      <c r="E2565" s="4" t="str">
        <f t="array" ref="E2565">XLOOKUP(A2565,'Fintech, Regulatory Arbitrage, '!A:A,'Fintech, Regulatory Arbitrage, '!C:C,"")</f>
        <v/>
      </c>
    </row>
    <row r="2566">
      <c r="A2566" s="1" t="s">
        <v>2585</v>
      </c>
      <c r="B2566" s="2">
        <v>24.0</v>
      </c>
      <c r="C2566" s="4"/>
      <c r="E2566" s="4" t="str">
        <f t="array" ref="E2566">XLOOKUP(A2566,'Fintech, Regulatory Arbitrage, '!A:A,'Fintech, Regulatory Arbitrage, '!C:C,"")</f>
        <v/>
      </c>
    </row>
    <row r="2567">
      <c r="A2567" s="1" t="s">
        <v>2586</v>
      </c>
      <c r="B2567" s="2">
        <v>24.0</v>
      </c>
      <c r="C2567" s="4"/>
      <c r="E2567" s="4" t="str">
        <f t="array" ref="E2567">XLOOKUP(A2567,'Fintech, Regulatory Arbitrage, '!A:A,'Fintech, Regulatory Arbitrage, '!C:C,"")</f>
        <v/>
      </c>
    </row>
    <row r="2568">
      <c r="A2568" s="1" t="s">
        <v>2587</v>
      </c>
      <c r="B2568" s="2">
        <v>24.0</v>
      </c>
      <c r="C2568" s="4"/>
      <c r="E2568" s="4" t="str">
        <f t="array" ref="E2568">XLOOKUP(A2568,'Fintech, Regulatory Arbitrage, '!A:A,'Fintech, Regulatory Arbitrage, '!C:C,"")</f>
        <v/>
      </c>
    </row>
    <row r="2569">
      <c r="A2569" s="1" t="s">
        <v>2588</v>
      </c>
      <c r="B2569" s="2">
        <v>24.0</v>
      </c>
      <c r="C2569" s="4"/>
      <c r="E2569" s="4" t="str">
        <f t="array" ref="E2569">XLOOKUP(A2569,'Fintech, Regulatory Arbitrage, '!A:A,'Fintech, Regulatory Arbitrage, '!C:C,"")</f>
        <v/>
      </c>
    </row>
    <row r="2570">
      <c r="A2570" s="1" t="s">
        <v>2589</v>
      </c>
      <c r="B2570" s="2">
        <v>24.0</v>
      </c>
      <c r="C2570" s="4"/>
      <c r="E2570" s="4" t="str">
        <f t="array" ref="E2570">XLOOKUP(A2570,'Fintech, Regulatory Arbitrage, '!A:A,'Fintech, Regulatory Arbitrage, '!C:C,"")</f>
        <v/>
      </c>
    </row>
    <row r="2571">
      <c r="A2571" s="1" t="s">
        <v>2590</v>
      </c>
      <c r="B2571" s="2">
        <v>24.0</v>
      </c>
      <c r="C2571" s="4"/>
      <c r="E2571" s="4" t="str">
        <f t="array" ref="E2571">XLOOKUP(A2571,'Fintech, Regulatory Arbitrage, '!A:A,'Fintech, Regulatory Arbitrage, '!C:C,"")</f>
        <v/>
      </c>
    </row>
    <row r="2572">
      <c r="A2572" s="1" t="s">
        <v>2591</v>
      </c>
      <c r="B2572" s="2">
        <v>24.0</v>
      </c>
      <c r="C2572" s="4"/>
      <c r="E2572" s="4" t="str">
        <f t="array" ref="E2572">XLOOKUP(A2572,'Fintech, Regulatory Arbitrage, '!A:A,'Fintech, Regulatory Arbitrage, '!C:C,"")</f>
        <v/>
      </c>
    </row>
    <row r="2573">
      <c r="A2573" s="1" t="s">
        <v>2592</v>
      </c>
      <c r="B2573" s="2">
        <v>24.0</v>
      </c>
      <c r="C2573" s="4"/>
      <c r="E2573" s="4" t="str">
        <f t="array" ref="E2573">XLOOKUP(A2573,'Fintech, Regulatory Arbitrage, '!A:A,'Fintech, Regulatory Arbitrage, '!C:C,"")</f>
        <v/>
      </c>
    </row>
    <row r="2574">
      <c r="A2574" s="1" t="s">
        <v>2593</v>
      </c>
      <c r="B2574" s="2">
        <v>24.0</v>
      </c>
      <c r="C2574" s="4"/>
      <c r="E2574" s="4" t="str">
        <f t="array" ref="E2574">XLOOKUP(A2574,'Fintech, Regulatory Arbitrage, '!A:A,'Fintech, Regulatory Arbitrage, '!C:C,"")</f>
        <v/>
      </c>
    </row>
    <row r="2575">
      <c r="A2575" s="1" t="s">
        <v>2594</v>
      </c>
      <c r="B2575" s="2">
        <v>24.0</v>
      </c>
      <c r="C2575" s="4"/>
      <c r="E2575" s="4" t="str">
        <f t="array" ref="E2575">XLOOKUP(A2575,'Fintech, Regulatory Arbitrage, '!A:A,'Fintech, Regulatory Arbitrage, '!C:C,"")</f>
        <v/>
      </c>
    </row>
    <row r="2576">
      <c r="A2576" s="1" t="s">
        <v>2595</v>
      </c>
      <c r="B2576" s="2">
        <v>24.0</v>
      </c>
      <c r="C2576" s="4"/>
      <c r="E2576" s="4" t="str">
        <f t="array" ref="E2576">XLOOKUP(A2576,'Fintech, Regulatory Arbitrage, '!A:A,'Fintech, Regulatory Arbitrage, '!C:C,"")</f>
        <v/>
      </c>
    </row>
    <row r="2577">
      <c r="A2577" s="1" t="s">
        <v>2596</v>
      </c>
      <c r="B2577" s="2">
        <v>24.0</v>
      </c>
      <c r="C2577" s="4"/>
      <c r="E2577" s="4" t="str">
        <f t="array" ref="E2577">XLOOKUP(A2577,'Fintech, Regulatory Arbitrage, '!A:A,'Fintech, Regulatory Arbitrage, '!C:C,"")</f>
        <v/>
      </c>
    </row>
    <row r="2578">
      <c r="A2578" s="1" t="s">
        <v>2597</v>
      </c>
      <c r="B2578" s="2">
        <v>24.0</v>
      </c>
      <c r="C2578" s="4"/>
      <c r="E2578" s="4" t="str">
        <f t="array" ref="E2578">XLOOKUP(A2578,'Fintech, Regulatory Arbitrage, '!A:A,'Fintech, Regulatory Arbitrage, '!C:C,"")</f>
        <v/>
      </c>
    </row>
    <row r="2579">
      <c r="A2579" s="1" t="s">
        <v>2598</v>
      </c>
      <c r="B2579" s="2">
        <v>24.0</v>
      </c>
      <c r="C2579" s="4"/>
      <c r="E2579" s="4" t="str">
        <f t="array" ref="E2579">XLOOKUP(A2579,'Fintech, Regulatory Arbitrage, '!A:A,'Fintech, Regulatory Arbitrage, '!C:C,"")</f>
        <v/>
      </c>
    </row>
    <row r="2580">
      <c r="A2580" s="1" t="s">
        <v>2599</v>
      </c>
      <c r="B2580" s="2">
        <v>24.0</v>
      </c>
      <c r="C2580" s="4"/>
      <c r="E2580" s="4" t="str">
        <f t="array" ref="E2580">XLOOKUP(A2580,'Fintech, Regulatory Arbitrage, '!A:A,'Fintech, Regulatory Arbitrage, '!C:C,"")</f>
        <v/>
      </c>
    </row>
    <row r="2581">
      <c r="A2581" s="1" t="s">
        <v>2600</v>
      </c>
      <c r="B2581" s="2">
        <v>24.0</v>
      </c>
      <c r="C2581" s="4"/>
      <c r="E2581" s="4" t="str">
        <f t="array" ref="E2581">XLOOKUP(A2581,'Fintech, Regulatory Arbitrage, '!A:A,'Fintech, Regulatory Arbitrage, '!C:C,"")</f>
        <v/>
      </c>
    </row>
    <row r="2582">
      <c r="A2582" s="1" t="s">
        <v>2601</v>
      </c>
      <c r="B2582" s="2">
        <v>23.0</v>
      </c>
      <c r="C2582" s="4"/>
      <c r="E2582" s="4" t="str">
        <f t="array" ref="E2582">XLOOKUP(A2582,'Fintech, Regulatory Arbitrage, '!A:A,'Fintech, Regulatory Arbitrage, '!C:C,"")</f>
        <v/>
      </c>
    </row>
    <row r="2583">
      <c r="A2583" s="1" t="s">
        <v>2602</v>
      </c>
      <c r="B2583" s="2">
        <v>23.0</v>
      </c>
      <c r="C2583" s="4"/>
      <c r="E2583" s="4" t="str">
        <f t="array" ref="E2583">XLOOKUP(A2583,'Fintech, Regulatory Arbitrage, '!A:A,'Fintech, Regulatory Arbitrage, '!C:C,"")</f>
        <v/>
      </c>
    </row>
    <row r="2584">
      <c r="A2584" s="1" t="s">
        <v>2603</v>
      </c>
      <c r="B2584" s="2">
        <v>23.0</v>
      </c>
      <c r="C2584" s="4"/>
      <c r="E2584" s="4" t="str">
        <f t="array" ref="E2584">XLOOKUP(A2584,'Fintech, Regulatory Arbitrage, '!A:A,'Fintech, Regulatory Arbitrage, '!C:C,"")</f>
        <v/>
      </c>
    </row>
    <row r="2585">
      <c r="A2585" s="1" t="s">
        <v>2604</v>
      </c>
      <c r="B2585" s="2">
        <v>23.0</v>
      </c>
      <c r="C2585" s="4"/>
      <c r="E2585" s="4" t="str">
        <f t="array" ref="E2585">XLOOKUP(A2585,'Fintech, Regulatory Arbitrage, '!A:A,'Fintech, Regulatory Arbitrage, '!C:C,"")</f>
        <v/>
      </c>
    </row>
    <row r="2586">
      <c r="A2586" s="1" t="s">
        <v>2605</v>
      </c>
      <c r="B2586" s="2">
        <v>23.0</v>
      </c>
      <c r="C2586" s="4"/>
      <c r="E2586" s="4" t="str">
        <f t="array" ref="E2586">XLOOKUP(A2586,'Fintech, Regulatory Arbitrage, '!A:A,'Fintech, Regulatory Arbitrage, '!C:C,"")</f>
        <v/>
      </c>
    </row>
    <row r="2587">
      <c r="A2587" s="1" t="s">
        <v>2606</v>
      </c>
      <c r="B2587" s="2">
        <v>23.0</v>
      </c>
      <c r="C2587" s="4"/>
      <c r="E2587" s="4" t="str">
        <f t="array" ref="E2587">XLOOKUP(A2587,'Fintech, Regulatory Arbitrage, '!A:A,'Fintech, Regulatory Arbitrage, '!C:C,"")</f>
        <v/>
      </c>
    </row>
    <row r="2588">
      <c r="A2588" s="1" t="s">
        <v>2607</v>
      </c>
      <c r="B2588" s="2">
        <v>23.0</v>
      </c>
      <c r="C2588" s="4"/>
      <c r="E2588" s="4" t="str">
        <f t="array" ref="E2588">XLOOKUP(A2588,'Fintech, Regulatory Arbitrage, '!A:A,'Fintech, Regulatory Arbitrage, '!C:C,"")</f>
        <v/>
      </c>
    </row>
    <row r="2589">
      <c r="A2589" s="1" t="s">
        <v>2608</v>
      </c>
      <c r="B2589" s="2">
        <v>23.0</v>
      </c>
      <c r="C2589" s="4"/>
      <c r="E2589" s="4" t="str">
        <f t="array" ref="E2589">XLOOKUP(A2589,'Fintech, Regulatory Arbitrage, '!A:A,'Fintech, Regulatory Arbitrage, '!C:C,"")</f>
        <v/>
      </c>
    </row>
    <row r="2590">
      <c r="A2590" s="1" t="s">
        <v>2609</v>
      </c>
      <c r="B2590" s="2">
        <v>23.0</v>
      </c>
      <c r="C2590" s="4"/>
      <c r="E2590" s="4" t="str">
        <f t="array" ref="E2590">XLOOKUP(A2590,'Fintech, Regulatory Arbitrage, '!A:A,'Fintech, Regulatory Arbitrage, '!C:C,"")</f>
        <v/>
      </c>
    </row>
    <row r="2591">
      <c r="A2591" s="1" t="s">
        <v>2610</v>
      </c>
      <c r="B2591" s="2">
        <v>23.0</v>
      </c>
      <c r="C2591" s="4"/>
      <c r="E2591" s="4" t="str">
        <f t="array" ref="E2591">XLOOKUP(A2591,'Fintech, Regulatory Arbitrage, '!A:A,'Fintech, Regulatory Arbitrage, '!C:C,"")</f>
        <v/>
      </c>
    </row>
    <row r="2592">
      <c r="A2592" s="1" t="s">
        <v>2611</v>
      </c>
      <c r="B2592" s="2">
        <v>23.0</v>
      </c>
      <c r="C2592" s="4"/>
      <c r="E2592" s="4" t="str">
        <f t="array" ref="E2592">XLOOKUP(A2592,'Fintech, Regulatory Arbitrage, '!A:A,'Fintech, Regulatory Arbitrage, '!C:C,"")</f>
        <v/>
      </c>
    </row>
    <row r="2593">
      <c r="A2593" s="1" t="s">
        <v>2612</v>
      </c>
      <c r="B2593" s="2">
        <v>23.0</v>
      </c>
      <c r="C2593" s="4"/>
      <c r="E2593" s="4" t="str">
        <f t="array" ref="E2593">XLOOKUP(A2593,'Fintech, Regulatory Arbitrage, '!A:A,'Fintech, Regulatory Arbitrage, '!C:C,"")</f>
        <v/>
      </c>
    </row>
    <row r="2594">
      <c r="A2594" s="1" t="s">
        <v>2613</v>
      </c>
      <c r="B2594" s="2">
        <v>23.0</v>
      </c>
      <c r="C2594" s="4"/>
      <c r="E2594" s="4" t="str">
        <f t="array" ref="E2594">XLOOKUP(A2594,'Fintech, Regulatory Arbitrage, '!A:A,'Fintech, Regulatory Arbitrage, '!C:C,"")</f>
        <v/>
      </c>
    </row>
    <row r="2595">
      <c r="A2595" s="1" t="s">
        <v>2614</v>
      </c>
      <c r="B2595" s="2">
        <v>23.0</v>
      </c>
      <c r="C2595" s="4"/>
      <c r="E2595" s="4" t="str">
        <f t="array" ref="E2595">XLOOKUP(A2595,'Fintech, Regulatory Arbitrage, '!A:A,'Fintech, Regulatory Arbitrage, '!C:C,"")</f>
        <v/>
      </c>
    </row>
    <row r="2596">
      <c r="A2596" s="1" t="s">
        <v>2615</v>
      </c>
      <c r="B2596" s="2">
        <v>23.0</v>
      </c>
      <c r="C2596" s="4"/>
      <c r="E2596" s="4" t="str">
        <f t="array" ref="E2596">XLOOKUP(A2596,'Fintech, Regulatory Arbitrage, '!A:A,'Fintech, Regulatory Arbitrage, '!C:C,"")</f>
        <v/>
      </c>
    </row>
    <row r="2597">
      <c r="A2597" s="1" t="s">
        <v>2616</v>
      </c>
      <c r="B2597" s="2">
        <v>23.0</v>
      </c>
      <c r="C2597" s="4"/>
      <c r="E2597" s="4" t="str">
        <f t="array" ref="E2597">XLOOKUP(A2597,'Fintech, Regulatory Arbitrage, '!A:A,'Fintech, Regulatory Arbitrage, '!C:C,"")</f>
        <v/>
      </c>
    </row>
    <row r="2598">
      <c r="A2598" s="1" t="s">
        <v>2617</v>
      </c>
      <c r="B2598" s="2">
        <v>23.0</v>
      </c>
      <c r="C2598" s="4"/>
      <c r="E2598" s="4" t="str">
        <f t="array" ref="E2598">XLOOKUP(A2598,'Fintech, Regulatory Arbitrage, '!A:A,'Fintech, Regulatory Arbitrage, '!C:C,"")</f>
        <v/>
      </c>
    </row>
    <row r="2599">
      <c r="A2599" s="1" t="s">
        <v>2618</v>
      </c>
      <c r="B2599" s="2">
        <v>23.0</v>
      </c>
      <c r="C2599" s="4"/>
      <c r="E2599" s="4" t="str">
        <f t="array" ref="E2599">XLOOKUP(A2599,'Fintech, Regulatory Arbitrage, '!A:A,'Fintech, Regulatory Arbitrage, '!C:C,"")</f>
        <v/>
      </c>
    </row>
    <row r="2600">
      <c r="A2600" s="1" t="s">
        <v>2619</v>
      </c>
      <c r="B2600" s="2">
        <v>23.0</v>
      </c>
      <c r="C2600" s="4"/>
      <c r="E2600" s="4" t="str">
        <f t="array" ref="E2600">XLOOKUP(A2600,'Fintech, Regulatory Arbitrage, '!A:A,'Fintech, Regulatory Arbitrage, '!C:C,"")</f>
        <v/>
      </c>
    </row>
    <row r="2601">
      <c r="A2601" s="1" t="s">
        <v>2620</v>
      </c>
      <c r="B2601" s="2">
        <v>23.0</v>
      </c>
      <c r="C2601" s="4"/>
      <c r="E2601" s="4" t="str">
        <f t="array" ref="E2601">XLOOKUP(A2601,'Fintech, Regulatory Arbitrage, '!A:A,'Fintech, Regulatory Arbitrage, '!C:C,"")</f>
        <v/>
      </c>
    </row>
    <row r="2602">
      <c r="A2602" s="1" t="s">
        <v>2621</v>
      </c>
      <c r="B2602" s="2">
        <v>23.0</v>
      </c>
      <c r="C2602" s="4"/>
      <c r="E2602" s="4" t="str">
        <f t="array" ref="E2602">XLOOKUP(A2602,'Fintech, Regulatory Arbitrage, '!A:A,'Fintech, Regulatory Arbitrage, '!C:C,"")</f>
        <v/>
      </c>
    </row>
    <row r="2603">
      <c r="A2603" s="1" t="s">
        <v>2622</v>
      </c>
      <c r="B2603" s="2">
        <v>23.0</v>
      </c>
      <c r="C2603" s="4"/>
      <c r="E2603" s="4" t="str">
        <f t="array" ref="E2603">XLOOKUP(A2603,'Fintech, Regulatory Arbitrage, '!A:A,'Fintech, Regulatory Arbitrage, '!C:C,"")</f>
        <v/>
      </c>
    </row>
    <row r="2604">
      <c r="A2604" s="1" t="s">
        <v>2623</v>
      </c>
      <c r="B2604" s="2">
        <v>23.0</v>
      </c>
      <c r="C2604" s="4"/>
      <c r="E2604" s="4" t="str">
        <f t="array" ref="E2604">XLOOKUP(A2604,'Fintech, Regulatory Arbitrage, '!A:A,'Fintech, Regulatory Arbitrage, '!C:C,"")</f>
        <v/>
      </c>
    </row>
    <row r="2605">
      <c r="A2605" s="1" t="s">
        <v>2624</v>
      </c>
      <c r="B2605" s="2">
        <v>23.0</v>
      </c>
      <c r="C2605" s="4"/>
      <c r="E2605" s="4" t="str">
        <f t="array" ref="E2605">XLOOKUP(A2605,'Fintech, Regulatory Arbitrage, '!A:A,'Fintech, Regulatory Arbitrage, '!C:C,"")</f>
        <v/>
      </c>
    </row>
    <row r="2606">
      <c r="A2606" s="1" t="s">
        <v>2625</v>
      </c>
      <c r="B2606" s="2">
        <v>23.0</v>
      </c>
      <c r="C2606" s="4"/>
      <c r="E2606" s="4" t="str">
        <f t="array" ref="E2606">XLOOKUP(A2606,'Fintech, Regulatory Arbitrage, '!A:A,'Fintech, Regulatory Arbitrage, '!C:C,"")</f>
        <v/>
      </c>
    </row>
    <row r="2607">
      <c r="A2607" s="1" t="s">
        <v>2626</v>
      </c>
      <c r="B2607" s="2">
        <v>23.0</v>
      </c>
      <c r="C2607" s="4"/>
      <c r="E2607" s="4" t="str">
        <f t="array" ref="E2607">XLOOKUP(A2607,'Fintech, Regulatory Arbitrage, '!A:A,'Fintech, Regulatory Arbitrage, '!C:C,"")</f>
        <v/>
      </c>
    </row>
    <row r="2608">
      <c r="A2608" s="1" t="s">
        <v>2627</v>
      </c>
      <c r="B2608" s="2">
        <v>23.0</v>
      </c>
      <c r="C2608" s="4"/>
      <c r="E2608" s="4" t="str">
        <f t="array" ref="E2608">XLOOKUP(A2608,'Fintech, Regulatory Arbitrage, '!A:A,'Fintech, Regulatory Arbitrage, '!C:C,"")</f>
        <v/>
      </c>
    </row>
    <row r="2609">
      <c r="A2609" s="1" t="s">
        <v>2628</v>
      </c>
      <c r="B2609" s="2">
        <v>23.0</v>
      </c>
      <c r="C2609" s="4"/>
      <c r="E2609" s="4" t="str">
        <f t="array" ref="E2609">XLOOKUP(A2609,'Fintech, Regulatory Arbitrage, '!A:A,'Fintech, Regulatory Arbitrage, '!C:C,"")</f>
        <v/>
      </c>
    </row>
    <row r="2610">
      <c r="A2610" s="1" t="s">
        <v>2629</v>
      </c>
      <c r="B2610" s="2">
        <v>23.0</v>
      </c>
      <c r="C2610" s="4"/>
      <c r="E2610" s="4" t="str">
        <f t="array" ref="E2610">XLOOKUP(A2610,'Fintech, Regulatory Arbitrage, '!A:A,'Fintech, Regulatory Arbitrage, '!C:C,"")</f>
        <v/>
      </c>
    </row>
    <row r="2611">
      <c r="A2611" s="1" t="s">
        <v>2630</v>
      </c>
      <c r="B2611" s="2">
        <v>23.0</v>
      </c>
      <c r="C2611" s="4"/>
      <c r="E2611" s="4" t="str">
        <f t="array" ref="E2611">XLOOKUP(A2611,'Fintech, Regulatory Arbitrage, '!A:A,'Fintech, Regulatory Arbitrage, '!C:C,"")</f>
        <v/>
      </c>
    </row>
    <row r="2612">
      <c r="A2612" s="1" t="s">
        <v>2631</v>
      </c>
      <c r="B2612" s="2">
        <v>23.0</v>
      </c>
      <c r="C2612" s="4"/>
      <c r="E2612" s="4" t="str">
        <f t="array" ref="E2612">XLOOKUP(A2612,'Fintech, Regulatory Arbitrage, '!A:A,'Fintech, Regulatory Arbitrage, '!C:C,"")</f>
        <v/>
      </c>
    </row>
    <row r="2613">
      <c r="A2613" s="1" t="s">
        <v>2632</v>
      </c>
      <c r="B2613" s="2">
        <v>23.0</v>
      </c>
      <c r="C2613" s="4"/>
      <c r="E2613" s="4" t="str">
        <f t="array" ref="E2613">XLOOKUP(A2613,'Fintech, Regulatory Arbitrage, '!A:A,'Fintech, Regulatory Arbitrage, '!C:C,"")</f>
        <v/>
      </c>
    </row>
    <row r="2614">
      <c r="A2614" s="1" t="s">
        <v>2633</v>
      </c>
      <c r="B2614" s="2">
        <v>23.0</v>
      </c>
      <c r="C2614" s="4"/>
      <c r="E2614" s="4" t="str">
        <f t="array" ref="E2614">XLOOKUP(A2614,'Fintech, Regulatory Arbitrage, '!A:A,'Fintech, Regulatory Arbitrage, '!C:C,"")</f>
        <v/>
      </c>
    </row>
    <row r="2615">
      <c r="A2615" s="1" t="s">
        <v>2634</v>
      </c>
      <c r="B2615" s="2">
        <v>23.0</v>
      </c>
      <c r="C2615" s="4"/>
      <c r="E2615" s="4" t="str">
        <f t="array" ref="E2615">XLOOKUP(A2615,'Fintech, Regulatory Arbitrage, '!A:A,'Fintech, Regulatory Arbitrage, '!C:C,"")</f>
        <v/>
      </c>
    </row>
    <row r="2616">
      <c r="A2616" s="1" t="s">
        <v>2635</v>
      </c>
      <c r="B2616" s="2">
        <v>23.0</v>
      </c>
      <c r="C2616" s="4"/>
      <c r="E2616" s="4" t="str">
        <f t="array" ref="E2616">XLOOKUP(A2616,'Fintech, Regulatory Arbitrage, '!A:A,'Fintech, Regulatory Arbitrage, '!C:C,"")</f>
        <v/>
      </c>
    </row>
    <row r="2617">
      <c r="A2617" s="1" t="s">
        <v>2636</v>
      </c>
      <c r="B2617" s="2">
        <v>23.0</v>
      </c>
      <c r="C2617" s="4"/>
      <c r="E2617" s="4" t="str">
        <f t="array" ref="E2617">XLOOKUP(A2617,'Fintech, Regulatory Arbitrage, '!A:A,'Fintech, Regulatory Arbitrage, '!C:C,"")</f>
        <v/>
      </c>
    </row>
    <row r="2618">
      <c r="A2618" s="1" t="s">
        <v>2637</v>
      </c>
      <c r="B2618" s="2">
        <v>23.0</v>
      </c>
      <c r="C2618" s="4"/>
      <c r="E2618" s="4" t="str">
        <f t="array" ref="E2618">XLOOKUP(A2618,'Fintech, Regulatory Arbitrage, '!A:A,'Fintech, Regulatory Arbitrage, '!C:C,"")</f>
        <v/>
      </c>
    </row>
    <row r="2619">
      <c r="A2619" s="1" t="s">
        <v>2638</v>
      </c>
      <c r="B2619" s="2">
        <v>23.0</v>
      </c>
      <c r="C2619" s="4"/>
      <c r="E2619" s="4" t="str">
        <f t="array" ref="E2619">XLOOKUP(A2619,'Fintech, Regulatory Arbitrage, '!A:A,'Fintech, Regulatory Arbitrage, '!C:C,"")</f>
        <v/>
      </c>
    </row>
    <row r="2620">
      <c r="A2620" s="1" t="s">
        <v>2639</v>
      </c>
      <c r="B2620" s="2">
        <v>23.0</v>
      </c>
      <c r="C2620" s="4"/>
      <c r="E2620" s="4" t="str">
        <f t="array" ref="E2620">XLOOKUP(A2620,'Fintech, Regulatory Arbitrage, '!A:A,'Fintech, Regulatory Arbitrage, '!C:C,"")</f>
        <v/>
      </c>
    </row>
    <row r="2621">
      <c r="A2621" s="1" t="s">
        <v>2640</v>
      </c>
      <c r="B2621" s="2">
        <v>23.0</v>
      </c>
      <c r="C2621" s="4"/>
      <c r="E2621" s="4" t="str">
        <f t="array" ref="E2621">XLOOKUP(A2621,'Fintech, Regulatory Arbitrage, '!A:A,'Fintech, Regulatory Arbitrage, '!C:C,"")</f>
        <v/>
      </c>
    </row>
    <row r="2622">
      <c r="A2622" s="1" t="s">
        <v>2641</v>
      </c>
      <c r="B2622" s="2">
        <v>23.0</v>
      </c>
      <c r="C2622" s="4"/>
      <c r="E2622" s="4" t="str">
        <f t="array" ref="E2622">XLOOKUP(A2622,'Fintech, Regulatory Arbitrage, '!A:A,'Fintech, Regulatory Arbitrage, '!C:C,"")</f>
        <v/>
      </c>
    </row>
    <row r="2623">
      <c r="A2623" s="1" t="s">
        <v>2642</v>
      </c>
      <c r="B2623" s="2">
        <v>23.0</v>
      </c>
      <c r="C2623" s="4"/>
      <c r="E2623" s="4" t="str">
        <f t="array" ref="E2623">XLOOKUP(A2623,'Fintech, Regulatory Arbitrage, '!A:A,'Fintech, Regulatory Arbitrage, '!C:C,"")</f>
        <v/>
      </c>
    </row>
    <row r="2624">
      <c r="A2624" s="1" t="s">
        <v>2643</v>
      </c>
      <c r="B2624" s="2">
        <v>23.0</v>
      </c>
      <c r="C2624" s="4"/>
      <c r="E2624" s="4" t="str">
        <f t="array" ref="E2624">XLOOKUP(A2624,'Fintech, Regulatory Arbitrage, '!A:A,'Fintech, Regulatory Arbitrage, '!C:C,"")</f>
        <v/>
      </c>
    </row>
    <row r="2625">
      <c r="A2625" s="1" t="s">
        <v>2644</v>
      </c>
      <c r="B2625" s="2">
        <v>23.0</v>
      </c>
      <c r="C2625" s="4"/>
      <c r="E2625" s="4" t="str">
        <f t="array" ref="E2625">XLOOKUP(A2625,'Fintech, Regulatory Arbitrage, '!A:A,'Fintech, Regulatory Arbitrage, '!C:C,"")</f>
        <v/>
      </c>
    </row>
    <row r="2626">
      <c r="A2626" s="1" t="s">
        <v>2645</v>
      </c>
      <c r="B2626" s="2">
        <v>23.0</v>
      </c>
      <c r="C2626" s="4"/>
      <c r="E2626" s="4" t="str">
        <f t="array" ref="E2626">XLOOKUP(A2626,'Fintech, Regulatory Arbitrage, '!A:A,'Fintech, Regulatory Arbitrage, '!C:C,"")</f>
        <v/>
      </c>
    </row>
    <row r="2627">
      <c r="A2627" s="1" t="s">
        <v>2646</v>
      </c>
      <c r="B2627" s="2">
        <v>23.0</v>
      </c>
      <c r="C2627" s="4"/>
      <c r="E2627" s="4" t="str">
        <f t="array" ref="E2627">XLOOKUP(A2627,'Fintech, Regulatory Arbitrage, '!A:A,'Fintech, Regulatory Arbitrage, '!C:C,"")</f>
        <v/>
      </c>
    </row>
    <row r="2628">
      <c r="A2628" s="1" t="s">
        <v>2647</v>
      </c>
      <c r="B2628" s="2">
        <v>23.0</v>
      </c>
      <c r="C2628" s="4"/>
      <c r="E2628" s="4" t="str">
        <f t="array" ref="E2628">XLOOKUP(A2628,'Fintech, Regulatory Arbitrage, '!A:A,'Fintech, Regulatory Arbitrage, '!C:C,"")</f>
        <v/>
      </c>
    </row>
    <row r="2629">
      <c r="A2629" s="1" t="s">
        <v>2648</v>
      </c>
      <c r="B2629" s="2">
        <v>22.0</v>
      </c>
      <c r="C2629" s="4"/>
      <c r="E2629" s="4" t="str">
        <f t="array" ref="E2629">XLOOKUP(A2629,'Fintech, Regulatory Arbitrage, '!A:A,'Fintech, Regulatory Arbitrage, '!C:C,"")</f>
        <v/>
      </c>
    </row>
    <row r="2630">
      <c r="A2630" s="1" t="s">
        <v>2649</v>
      </c>
      <c r="B2630" s="2">
        <v>22.0</v>
      </c>
      <c r="C2630" s="4"/>
      <c r="E2630" s="4" t="str">
        <f t="array" ref="E2630">XLOOKUP(A2630,'Fintech, Regulatory Arbitrage, '!A:A,'Fintech, Regulatory Arbitrage, '!C:C,"")</f>
        <v/>
      </c>
    </row>
    <row r="2631">
      <c r="A2631" s="1" t="s">
        <v>2650</v>
      </c>
      <c r="B2631" s="2">
        <v>22.0</v>
      </c>
      <c r="C2631" s="4"/>
      <c r="E2631" s="4" t="str">
        <f t="array" ref="E2631">XLOOKUP(A2631,'Fintech, Regulatory Arbitrage, '!A:A,'Fintech, Regulatory Arbitrage, '!C:C,"")</f>
        <v/>
      </c>
    </row>
    <row r="2632">
      <c r="A2632" s="1" t="s">
        <v>2651</v>
      </c>
      <c r="B2632" s="2">
        <v>22.0</v>
      </c>
      <c r="C2632" s="4"/>
      <c r="E2632" s="4" t="str">
        <f t="array" ref="E2632">XLOOKUP(A2632,'Fintech, Regulatory Arbitrage, '!A:A,'Fintech, Regulatory Arbitrage, '!C:C,"")</f>
        <v/>
      </c>
    </row>
    <row r="2633">
      <c r="A2633" s="1" t="s">
        <v>2652</v>
      </c>
      <c r="B2633" s="2">
        <v>22.0</v>
      </c>
      <c r="C2633" s="4"/>
      <c r="E2633" s="4" t="str">
        <f t="array" ref="E2633">XLOOKUP(A2633,'Fintech, Regulatory Arbitrage, '!A:A,'Fintech, Regulatory Arbitrage, '!C:C,"")</f>
        <v/>
      </c>
    </row>
    <row r="2634">
      <c r="A2634" s="1" t="s">
        <v>2653</v>
      </c>
      <c r="B2634" s="2">
        <v>22.0</v>
      </c>
      <c r="C2634" s="4"/>
      <c r="E2634" s="4" t="str">
        <f t="array" ref="E2634">XLOOKUP(A2634,'Fintech, Regulatory Arbitrage, '!A:A,'Fintech, Regulatory Arbitrage, '!C:C,"")</f>
        <v/>
      </c>
    </row>
    <row r="2635">
      <c r="A2635" s="1" t="s">
        <v>2654</v>
      </c>
      <c r="B2635" s="2">
        <v>22.0</v>
      </c>
      <c r="C2635" s="4"/>
      <c r="E2635" s="4" t="str">
        <f t="array" ref="E2635">XLOOKUP(A2635,'Fintech, Regulatory Arbitrage, '!A:A,'Fintech, Regulatory Arbitrage, '!C:C,"")</f>
        <v/>
      </c>
    </row>
    <row r="2636">
      <c r="A2636" s="1" t="s">
        <v>2655</v>
      </c>
      <c r="B2636" s="2">
        <v>22.0</v>
      </c>
      <c r="C2636" s="4"/>
      <c r="E2636" s="4" t="str">
        <f t="array" ref="E2636">XLOOKUP(A2636,'Fintech, Regulatory Arbitrage, '!A:A,'Fintech, Regulatory Arbitrage, '!C:C,"")</f>
        <v/>
      </c>
    </row>
    <row r="2637">
      <c r="A2637" s="1" t="s">
        <v>2656</v>
      </c>
      <c r="B2637" s="2">
        <v>22.0</v>
      </c>
      <c r="C2637" s="4"/>
      <c r="E2637" s="4" t="str">
        <f t="array" ref="E2637">XLOOKUP(A2637,'Fintech, Regulatory Arbitrage, '!A:A,'Fintech, Regulatory Arbitrage, '!C:C,"")</f>
        <v/>
      </c>
    </row>
    <row r="2638">
      <c r="A2638" s="1" t="s">
        <v>2657</v>
      </c>
      <c r="B2638" s="2">
        <v>22.0</v>
      </c>
      <c r="C2638" s="4"/>
      <c r="E2638" s="4" t="str">
        <f t="array" ref="E2638">XLOOKUP(A2638,'Fintech, Regulatory Arbitrage, '!A:A,'Fintech, Regulatory Arbitrage, '!C:C,"")</f>
        <v/>
      </c>
    </row>
    <row r="2639">
      <c r="A2639" s="1" t="s">
        <v>2658</v>
      </c>
      <c r="B2639" s="2">
        <v>22.0</v>
      </c>
      <c r="C2639" s="4"/>
      <c r="E2639" s="4" t="str">
        <f t="array" ref="E2639">XLOOKUP(A2639,'Fintech, Regulatory Arbitrage, '!A:A,'Fintech, Regulatory Arbitrage, '!C:C,"")</f>
        <v/>
      </c>
    </row>
    <row r="2640">
      <c r="A2640" s="1" t="s">
        <v>2659</v>
      </c>
      <c r="B2640" s="2">
        <v>22.0</v>
      </c>
      <c r="C2640" s="4"/>
      <c r="E2640" s="4" t="str">
        <f t="array" ref="E2640">XLOOKUP(A2640,'Fintech, Regulatory Arbitrage, '!A:A,'Fintech, Regulatory Arbitrage, '!C:C,"")</f>
        <v/>
      </c>
    </row>
    <row r="2641">
      <c r="A2641" s="1" t="s">
        <v>2660</v>
      </c>
      <c r="B2641" s="2">
        <v>22.0</v>
      </c>
      <c r="C2641" s="4"/>
      <c r="E2641" s="4" t="str">
        <f t="array" ref="E2641">XLOOKUP(A2641,'Fintech, Regulatory Arbitrage, '!A:A,'Fintech, Regulatory Arbitrage, '!C:C,"")</f>
        <v/>
      </c>
    </row>
    <row r="2642">
      <c r="A2642" s="1" t="s">
        <v>2661</v>
      </c>
      <c r="B2642" s="2">
        <v>22.0</v>
      </c>
      <c r="C2642" s="4"/>
      <c r="E2642" s="4" t="str">
        <f t="array" ref="E2642">XLOOKUP(A2642,'Fintech, Regulatory Arbitrage, '!A:A,'Fintech, Regulatory Arbitrage, '!C:C,"")</f>
        <v/>
      </c>
    </row>
    <row r="2643">
      <c r="A2643" s="1" t="s">
        <v>2662</v>
      </c>
      <c r="B2643" s="2">
        <v>22.0</v>
      </c>
      <c r="C2643" s="4"/>
      <c r="E2643" s="4" t="str">
        <f t="array" ref="E2643">XLOOKUP(A2643,'Fintech, Regulatory Arbitrage, '!A:A,'Fintech, Regulatory Arbitrage, '!C:C,"")</f>
        <v/>
      </c>
    </row>
    <row r="2644">
      <c r="A2644" s="1" t="s">
        <v>2663</v>
      </c>
      <c r="B2644" s="2">
        <v>22.0</v>
      </c>
      <c r="C2644" s="4"/>
      <c r="E2644" s="4" t="str">
        <f t="array" ref="E2644">XLOOKUP(A2644,'Fintech, Regulatory Arbitrage, '!A:A,'Fintech, Regulatory Arbitrage, '!C:C,"")</f>
        <v/>
      </c>
    </row>
    <row r="2645">
      <c r="A2645" s="1" t="s">
        <v>2664</v>
      </c>
      <c r="B2645" s="2">
        <v>22.0</v>
      </c>
      <c r="C2645" s="4"/>
      <c r="E2645" s="4" t="str">
        <f t="array" ref="E2645">XLOOKUP(A2645,'Fintech, Regulatory Arbitrage, '!A:A,'Fintech, Regulatory Arbitrage, '!C:C,"")</f>
        <v/>
      </c>
    </row>
    <row r="2646">
      <c r="A2646" s="1" t="s">
        <v>2665</v>
      </c>
      <c r="B2646" s="2">
        <v>22.0</v>
      </c>
      <c r="C2646" s="4"/>
      <c r="E2646" s="4" t="str">
        <f t="array" ref="E2646">XLOOKUP(A2646,'Fintech, Regulatory Arbitrage, '!A:A,'Fintech, Regulatory Arbitrage, '!C:C,"")</f>
        <v/>
      </c>
    </row>
    <row r="2647">
      <c r="A2647" s="1" t="s">
        <v>2666</v>
      </c>
      <c r="B2647" s="2">
        <v>22.0</v>
      </c>
      <c r="C2647" s="4"/>
      <c r="E2647" s="4" t="str">
        <f t="array" ref="E2647">XLOOKUP(A2647,'Fintech, Regulatory Arbitrage, '!A:A,'Fintech, Regulatory Arbitrage, '!C:C,"")</f>
        <v/>
      </c>
    </row>
    <row r="2648">
      <c r="A2648" s="1" t="s">
        <v>2667</v>
      </c>
      <c r="B2648" s="2">
        <v>22.0</v>
      </c>
      <c r="C2648" s="4"/>
      <c r="E2648" s="4" t="str">
        <f t="array" ref="E2648">XLOOKUP(A2648,'Fintech, Regulatory Arbitrage, '!A:A,'Fintech, Regulatory Arbitrage, '!C:C,"")</f>
        <v/>
      </c>
    </row>
    <row r="2649">
      <c r="A2649" s="1" t="s">
        <v>2668</v>
      </c>
      <c r="B2649" s="2">
        <v>22.0</v>
      </c>
      <c r="C2649" s="4"/>
      <c r="E2649" s="4" t="str">
        <f t="array" ref="E2649">XLOOKUP(A2649,'Fintech, Regulatory Arbitrage, '!A:A,'Fintech, Regulatory Arbitrage, '!C:C,"")</f>
        <v/>
      </c>
    </row>
    <row r="2650">
      <c r="A2650" s="1" t="s">
        <v>2669</v>
      </c>
      <c r="B2650" s="2">
        <v>22.0</v>
      </c>
      <c r="C2650" s="4"/>
      <c r="E2650" s="4" t="str">
        <f t="array" ref="E2650">XLOOKUP(A2650,'Fintech, Regulatory Arbitrage, '!A:A,'Fintech, Regulatory Arbitrage, '!C:C,"")</f>
        <v/>
      </c>
    </row>
    <row r="2651">
      <c r="A2651" s="1" t="s">
        <v>2670</v>
      </c>
      <c r="B2651" s="2">
        <v>22.0</v>
      </c>
      <c r="C2651" s="4"/>
      <c r="E2651" s="4" t="str">
        <f t="array" ref="E2651">XLOOKUP(A2651,'Fintech, Regulatory Arbitrage, '!A:A,'Fintech, Regulatory Arbitrage, '!C:C,"")</f>
        <v/>
      </c>
    </row>
    <row r="2652">
      <c r="A2652" s="1" t="s">
        <v>2671</v>
      </c>
      <c r="B2652" s="2">
        <v>22.0</v>
      </c>
      <c r="C2652" s="4"/>
      <c r="E2652" s="4" t="str">
        <f t="array" ref="E2652">XLOOKUP(A2652,'Fintech, Regulatory Arbitrage, '!A:A,'Fintech, Regulatory Arbitrage, '!C:C,"")</f>
        <v/>
      </c>
    </row>
    <row r="2653">
      <c r="A2653" s="1" t="s">
        <v>2672</v>
      </c>
      <c r="B2653" s="2">
        <v>22.0</v>
      </c>
      <c r="C2653" s="4"/>
      <c r="E2653" s="4" t="str">
        <f t="array" ref="E2653">XLOOKUP(A2653,'Fintech, Regulatory Arbitrage, '!A:A,'Fintech, Regulatory Arbitrage, '!C:C,"")</f>
        <v/>
      </c>
    </row>
    <row r="2654">
      <c r="A2654" s="1" t="s">
        <v>2673</v>
      </c>
      <c r="B2654" s="2">
        <v>22.0</v>
      </c>
      <c r="C2654" s="4"/>
      <c r="E2654" s="4" t="str">
        <f t="array" ref="E2654">XLOOKUP(A2654,'Fintech, Regulatory Arbitrage, '!A:A,'Fintech, Regulatory Arbitrage, '!C:C,"")</f>
        <v/>
      </c>
    </row>
    <row r="2655">
      <c r="A2655" s="1" t="s">
        <v>2674</v>
      </c>
      <c r="B2655" s="2">
        <v>22.0</v>
      </c>
      <c r="C2655" s="4"/>
      <c r="E2655" s="4" t="str">
        <f t="array" ref="E2655">XLOOKUP(A2655,'Fintech, Regulatory Arbitrage, '!A:A,'Fintech, Regulatory Arbitrage, '!C:C,"")</f>
        <v/>
      </c>
    </row>
    <row r="2656">
      <c r="A2656" s="1" t="s">
        <v>2675</v>
      </c>
      <c r="B2656" s="2">
        <v>22.0</v>
      </c>
      <c r="C2656" s="4"/>
      <c r="E2656" s="4" t="str">
        <f t="array" ref="E2656">XLOOKUP(A2656,'Fintech, Regulatory Arbitrage, '!A:A,'Fintech, Regulatory Arbitrage, '!C:C,"")</f>
        <v/>
      </c>
    </row>
    <row r="2657">
      <c r="A2657" s="1" t="s">
        <v>2676</v>
      </c>
      <c r="B2657" s="2">
        <v>22.0</v>
      </c>
      <c r="C2657" s="4"/>
      <c r="E2657" s="4" t="str">
        <f t="array" ref="E2657">XLOOKUP(A2657,'Fintech, Regulatory Arbitrage, '!A:A,'Fintech, Regulatory Arbitrage, '!C:C,"")</f>
        <v/>
      </c>
    </row>
    <row r="2658">
      <c r="A2658" s="1" t="s">
        <v>2677</v>
      </c>
      <c r="B2658" s="2">
        <v>22.0</v>
      </c>
      <c r="C2658" s="4"/>
      <c r="E2658" s="4" t="str">
        <f t="array" ref="E2658">XLOOKUP(A2658,'Fintech, Regulatory Arbitrage, '!A:A,'Fintech, Regulatory Arbitrage, '!C:C,"")</f>
        <v/>
      </c>
    </row>
    <row r="2659">
      <c r="A2659" s="1" t="s">
        <v>2678</v>
      </c>
      <c r="B2659" s="2">
        <v>22.0</v>
      </c>
      <c r="C2659" s="4"/>
      <c r="E2659" s="4" t="str">
        <f t="array" ref="E2659">XLOOKUP(A2659,'Fintech, Regulatory Arbitrage, '!A:A,'Fintech, Regulatory Arbitrage, '!C:C,"")</f>
        <v/>
      </c>
    </row>
    <row r="2660">
      <c r="A2660" s="1" t="s">
        <v>2679</v>
      </c>
      <c r="B2660" s="2">
        <v>22.0</v>
      </c>
      <c r="C2660" s="4"/>
      <c r="E2660" s="4" t="str">
        <f t="array" ref="E2660">XLOOKUP(A2660,'Fintech, Regulatory Arbitrage, '!A:A,'Fintech, Regulatory Arbitrage, '!C:C,"")</f>
        <v/>
      </c>
    </row>
    <row r="2661">
      <c r="A2661" s="1" t="s">
        <v>2680</v>
      </c>
      <c r="B2661" s="2">
        <v>22.0</v>
      </c>
      <c r="C2661" s="4"/>
      <c r="E2661" s="4" t="str">
        <f t="array" ref="E2661">XLOOKUP(A2661,'Fintech, Regulatory Arbitrage, '!A:A,'Fintech, Regulatory Arbitrage, '!C:C,"")</f>
        <v/>
      </c>
    </row>
    <row r="2662">
      <c r="A2662" s="1" t="s">
        <v>2681</v>
      </c>
      <c r="B2662" s="2">
        <v>22.0</v>
      </c>
      <c r="C2662" s="4"/>
      <c r="E2662" s="4" t="str">
        <f t="array" ref="E2662">XLOOKUP(A2662,'Fintech, Regulatory Arbitrage, '!A:A,'Fintech, Regulatory Arbitrage, '!C:C,"")</f>
        <v/>
      </c>
    </row>
    <row r="2663">
      <c r="A2663" s="1" t="s">
        <v>2682</v>
      </c>
      <c r="B2663" s="2">
        <v>22.0</v>
      </c>
      <c r="C2663" s="4"/>
      <c r="E2663" s="4" t="str">
        <f t="array" ref="E2663">XLOOKUP(A2663,'Fintech, Regulatory Arbitrage, '!A:A,'Fintech, Regulatory Arbitrage, '!C:C,"")</f>
        <v/>
      </c>
    </row>
    <row r="2664">
      <c r="A2664" s="1" t="s">
        <v>2683</v>
      </c>
      <c r="B2664" s="2">
        <v>22.0</v>
      </c>
      <c r="C2664" s="4"/>
      <c r="E2664" s="4" t="str">
        <f t="array" ref="E2664">XLOOKUP(A2664,'Fintech, Regulatory Arbitrage, '!A:A,'Fintech, Regulatory Arbitrage, '!C:C,"")</f>
        <v/>
      </c>
    </row>
    <row r="2665">
      <c r="A2665" s="1" t="s">
        <v>2684</v>
      </c>
      <c r="B2665" s="2">
        <v>22.0</v>
      </c>
      <c r="C2665" s="4"/>
      <c r="E2665" s="4" t="str">
        <f t="array" ref="E2665">XLOOKUP(A2665,'Fintech, Regulatory Arbitrage, '!A:A,'Fintech, Regulatory Arbitrage, '!C:C,"")</f>
        <v/>
      </c>
    </row>
    <row r="2666">
      <c r="A2666" s="1" t="s">
        <v>2685</v>
      </c>
      <c r="B2666" s="2">
        <v>22.0</v>
      </c>
      <c r="C2666" s="4"/>
      <c r="E2666" s="4" t="str">
        <f t="array" ref="E2666">XLOOKUP(A2666,'Fintech, Regulatory Arbitrage, '!A:A,'Fintech, Regulatory Arbitrage, '!C:C,"")</f>
        <v/>
      </c>
    </row>
    <row r="2667">
      <c r="A2667" s="1" t="s">
        <v>2686</v>
      </c>
      <c r="B2667" s="2">
        <v>22.0</v>
      </c>
      <c r="C2667" s="4"/>
      <c r="E2667" s="4" t="str">
        <f t="array" ref="E2667">XLOOKUP(A2667,'Fintech, Regulatory Arbitrage, '!A:A,'Fintech, Regulatory Arbitrage, '!C:C,"")</f>
        <v/>
      </c>
    </row>
    <row r="2668">
      <c r="A2668" s="1" t="s">
        <v>2687</v>
      </c>
      <c r="B2668" s="2">
        <v>22.0</v>
      </c>
      <c r="C2668" s="4"/>
      <c r="E2668" s="4" t="str">
        <f t="array" ref="E2668">XLOOKUP(A2668,'Fintech, Regulatory Arbitrage, '!A:A,'Fintech, Regulatory Arbitrage, '!C:C,"")</f>
        <v/>
      </c>
    </row>
    <row r="2669">
      <c r="A2669" s="1" t="s">
        <v>2688</v>
      </c>
      <c r="B2669" s="2">
        <v>22.0</v>
      </c>
      <c r="C2669" s="4"/>
      <c r="E2669" s="4" t="str">
        <f t="array" ref="E2669">XLOOKUP(A2669,'Fintech, Regulatory Arbitrage, '!A:A,'Fintech, Regulatory Arbitrage, '!C:C,"")</f>
        <v/>
      </c>
    </row>
    <row r="2670">
      <c r="A2670" s="1" t="s">
        <v>2689</v>
      </c>
      <c r="B2670" s="2">
        <v>22.0</v>
      </c>
      <c r="C2670" s="4"/>
      <c r="E2670" s="4" t="str">
        <f t="array" ref="E2670">XLOOKUP(A2670,'Fintech, Regulatory Arbitrage, '!A:A,'Fintech, Regulatory Arbitrage, '!C:C,"")</f>
        <v/>
      </c>
    </row>
    <row r="2671">
      <c r="A2671" s="1" t="s">
        <v>2690</v>
      </c>
      <c r="B2671" s="2">
        <v>22.0</v>
      </c>
      <c r="C2671" s="4"/>
      <c r="E2671" s="4" t="str">
        <f t="array" ref="E2671">XLOOKUP(A2671,'Fintech, Regulatory Arbitrage, '!A:A,'Fintech, Regulatory Arbitrage, '!C:C,"")</f>
        <v/>
      </c>
    </row>
    <row r="2672">
      <c r="A2672" s="1" t="s">
        <v>2691</v>
      </c>
      <c r="B2672" s="2">
        <v>22.0</v>
      </c>
      <c r="C2672" s="4"/>
      <c r="E2672" s="4" t="str">
        <f t="array" ref="E2672">XLOOKUP(A2672,'Fintech, Regulatory Arbitrage, '!A:A,'Fintech, Regulatory Arbitrage, '!C:C,"")</f>
        <v/>
      </c>
    </row>
    <row r="2673">
      <c r="A2673" s="1" t="s">
        <v>2692</v>
      </c>
      <c r="B2673" s="2">
        <v>22.0</v>
      </c>
      <c r="C2673" s="4"/>
      <c r="E2673" s="4" t="str">
        <f t="array" ref="E2673">XLOOKUP(A2673,'Fintech, Regulatory Arbitrage, '!A:A,'Fintech, Regulatory Arbitrage, '!C:C,"")</f>
        <v/>
      </c>
    </row>
    <row r="2674">
      <c r="A2674" s="1" t="s">
        <v>2693</v>
      </c>
      <c r="B2674" s="2">
        <v>22.0</v>
      </c>
      <c r="C2674" s="4"/>
      <c r="E2674" s="4" t="str">
        <f t="array" ref="E2674">XLOOKUP(A2674,'Fintech, Regulatory Arbitrage, '!A:A,'Fintech, Regulatory Arbitrage, '!C:C,"")</f>
        <v/>
      </c>
    </row>
    <row r="2675">
      <c r="A2675" s="1" t="s">
        <v>2694</v>
      </c>
      <c r="B2675" s="2">
        <v>22.0</v>
      </c>
      <c r="C2675" s="4"/>
      <c r="E2675" s="4" t="str">
        <f t="array" ref="E2675">XLOOKUP(A2675,'Fintech, Regulatory Arbitrage, '!A:A,'Fintech, Regulatory Arbitrage, '!C:C,"")</f>
        <v/>
      </c>
    </row>
    <row r="2676">
      <c r="A2676" s="1" t="s">
        <v>2695</v>
      </c>
      <c r="B2676" s="2">
        <v>22.0</v>
      </c>
      <c r="C2676" s="4"/>
      <c r="E2676" s="4" t="str">
        <f t="array" ref="E2676">XLOOKUP(A2676,'Fintech, Regulatory Arbitrage, '!A:A,'Fintech, Regulatory Arbitrage, '!C:C,"")</f>
        <v/>
      </c>
    </row>
    <row r="2677">
      <c r="A2677" s="1" t="s">
        <v>2696</v>
      </c>
      <c r="B2677" s="2">
        <v>22.0</v>
      </c>
      <c r="C2677" s="4"/>
      <c r="E2677" s="4" t="str">
        <f t="array" ref="E2677">XLOOKUP(A2677,'Fintech, Regulatory Arbitrage, '!A:A,'Fintech, Regulatory Arbitrage, '!C:C,"")</f>
        <v/>
      </c>
    </row>
    <row r="2678">
      <c r="A2678" s="1" t="s">
        <v>2697</v>
      </c>
      <c r="B2678" s="2">
        <v>22.0</v>
      </c>
      <c r="C2678" s="4"/>
      <c r="E2678" s="4" t="str">
        <f t="array" ref="E2678">XLOOKUP(A2678,'Fintech, Regulatory Arbitrage, '!A:A,'Fintech, Regulatory Arbitrage, '!C:C,"")</f>
        <v/>
      </c>
    </row>
    <row r="2679">
      <c r="A2679" s="1" t="s">
        <v>2698</v>
      </c>
      <c r="B2679" s="2">
        <v>22.0</v>
      </c>
      <c r="C2679" s="4"/>
      <c r="E2679" s="4" t="str">
        <f t="array" ref="E2679">XLOOKUP(A2679,'Fintech, Regulatory Arbitrage, '!A:A,'Fintech, Regulatory Arbitrage, '!C:C,"")</f>
        <v/>
      </c>
    </row>
    <row r="2680">
      <c r="A2680" s="1" t="s">
        <v>2699</v>
      </c>
      <c r="B2680" s="2">
        <v>22.0</v>
      </c>
      <c r="C2680" s="4"/>
      <c r="E2680" s="4" t="str">
        <f t="array" ref="E2680">XLOOKUP(A2680,'Fintech, Regulatory Arbitrage, '!A:A,'Fintech, Regulatory Arbitrage, '!C:C,"")</f>
        <v/>
      </c>
    </row>
    <row r="2681">
      <c r="A2681" s="1" t="s">
        <v>2700</v>
      </c>
      <c r="B2681" s="2">
        <v>22.0</v>
      </c>
      <c r="C2681" s="4"/>
      <c r="E2681" s="4" t="str">
        <f t="array" ref="E2681">XLOOKUP(A2681,'Fintech, Regulatory Arbitrage, '!A:A,'Fintech, Regulatory Arbitrage, '!C:C,"")</f>
        <v/>
      </c>
    </row>
    <row r="2682">
      <c r="A2682" s="1" t="s">
        <v>2701</v>
      </c>
      <c r="B2682" s="2">
        <v>22.0</v>
      </c>
      <c r="C2682" s="4"/>
      <c r="E2682" s="4" t="str">
        <f t="array" ref="E2682">XLOOKUP(A2682,'Fintech, Regulatory Arbitrage, '!A:A,'Fintech, Regulatory Arbitrage, '!C:C,"")</f>
        <v/>
      </c>
    </row>
    <row r="2683">
      <c r="A2683" s="1" t="s">
        <v>2702</v>
      </c>
      <c r="B2683" s="2">
        <v>22.0</v>
      </c>
      <c r="C2683" s="4"/>
      <c r="E2683" s="4" t="str">
        <f t="array" ref="E2683">XLOOKUP(A2683,'Fintech, Regulatory Arbitrage, '!A:A,'Fintech, Regulatory Arbitrage, '!C:C,"")</f>
        <v/>
      </c>
    </row>
    <row r="2684">
      <c r="A2684" s="1" t="s">
        <v>2703</v>
      </c>
      <c r="B2684" s="2">
        <v>22.0</v>
      </c>
      <c r="C2684" s="4"/>
      <c r="E2684" s="4" t="str">
        <f t="array" ref="E2684">XLOOKUP(A2684,'Fintech, Regulatory Arbitrage, '!A:A,'Fintech, Regulatory Arbitrage, '!C:C,"")</f>
        <v/>
      </c>
    </row>
    <row r="2685">
      <c r="A2685" s="1" t="s">
        <v>2704</v>
      </c>
      <c r="B2685" s="2">
        <v>22.0</v>
      </c>
      <c r="C2685" s="4"/>
      <c r="E2685" s="4" t="str">
        <f t="array" ref="E2685">XLOOKUP(A2685,'Fintech, Regulatory Arbitrage, '!A:A,'Fintech, Regulatory Arbitrage, '!C:C,"")</f>
        <v/>
      </c>
    </row>
    <row r="2686">
      <c r="A2686" s="1" t="s">
        <v>2705</v>
      </c>
      <c r="B2686" s="2">
        <v>22.0</v>
      </c>
      <c r="C2686" s="4"/>
      <c r="E2686" s="4" t="str">
        <f t="array" ref="E2686">XLOOKUP(A2686,'Fintech, Regulatory Arbitrage, '!A:A,'Fintech, Regulatory Arbitrage, '!C:C,"")</f>
        <v/>
      </c>
    </row>
    <row r="2687">
      <c r="A2687" s="1" t="s">
        <v>2706</v>
      </c>
      <c r="B2687" s="2">
        <v>22.0</v>
      </c>
      <c r="C2687" s="4"/>
      <c r="E2687" s="4" t="str">
        <f t="array" ref="E2687">XLOOKUP(A2687,'Fintech, Regulatory Arbitrage, '!A:A,'Fintech, Regulatory Arbitrage, '!C:C,"")</f>
        <v/>
      </c>
    </row>
    <row r="2688">
      <c r="A2688" s="1" t="s">
        <v>2707</v>
      </c>
      <c r="B2688" s="2">
        <v>22.0</v>
      </c>
      <c r="C2688" s="4"/>
      <c r="E2688" s="4" t="str">
        <f t="array" ref="E2688">XLOOKUP(A2688,'Fintech, Regulatory Arbitrage, '!A:A,'Fintech, Regulatory Arbitrage, '!C:C,"")</f>
        <v/>
      </c>
    </row>
    <row r="2689">
      <c r="A2689" s="1" t="s">
        <v>2708</v>
      </c>
      <c r="B2689" s="2">
        <v>22.0</v>
      </c>
      <c r="C2689" s="4"/>
      <c r="E2689" s="4" t="str">
        <f t="array" ref="E2689">XLOOKUP(A2689,'Fintech, Regulatory Arbitrage, '!A:A,'Fintech, Regulatory Arbitrage, '!C:C,"")</f>
        <v/>
      </c>
    </row>
    <row r="2690">
      <c r="A2690" s="1" t="s">
        <v>2709</v>
      </c>
      <c r="B2690" s="2">
        <v>22.0</v>
      </c>
      <c r="C2690" s="4"/>
      <c r="E2690" s="4" t="str">
        <f t="array" ref="E2690">XLOOKUP(A2690,'Fintech, Regulatory Arbitrage, '!A:A,'Fintech, Regulatory Arbitrage, '!C:C,"")</f>
        <v/>
      </c>
    </row>
    <row r="2691">
      <c r="A2691" s="1" t="s">
        <v>2710</v>
      </c>
      <c r="B2691" s="2">
        <v>22.0</v>
      </c>
      <c r="C2691" s="4"/>
      <c r="E2691" s="4" t="str">
        <f t="array" ref="E2691">XLOOKUP(A2691,'Fintech, Regulatory Arbitrage, '!A:A,'Fintech, Regulatory Arbitrage, '!C:C,"")</f>
        <v/>
      </c>
    </row>
    <row r="2692">
      <c r="A2692" s="1" t="s">
        <v>2711</v>
      </c>
      <c r="B2692" s="2">
        <v>22.0</v>
      </c>
      <c r="C2692" s="4"/>
      <c r="E2692" s="4" t="str">
        <f t="array" ref="E2692">XLOOKUP(A2692,'Fintech, Regulatory Arbitrage, '!A:A,'Fintech, Regulatory Arbitrage, '!C:C,"")</f>
        <v/>
      </c>
    </row>
    <row r="2693">
      <c r="A2693" s="1" t="s">
        <v>2712</v>
      </c>
      <c r="B2693" s="2">
        <v>22.0</v>
      </c>
      <c r="C2693" s="4"/>
      <c r="E2693" s="4" t="str">
        <f t="array" ref="E2693">XLOOKUP(A2693,'Fintech, Regulatory Arbitrage, '!A:A,'Fintech, Regulatory Arbitrage, '!C:C,"")</f>
        <v/>
      </c>
    </row>
    <row r="2694">
      <c r="A2694" s="1" t="s">
        <v>2713</v>
      </c>
      <c r="B2694" s="2">
        <v>22.0</v>
      </c>
      <c r="C2694" s="4"/>
      <c r="E2694" s="4" t="str">
        <f t="array" ref="E2694">XLOOKUP(A2694,'Fintech, Regulatory Arbitrage, '!A:A,'Fintech, Regulatory Arbitrage, '!C:C,"")</f>
        <v/>
      </c>
    </row>
    <row r="2695">
      <c r="A2695" s="1" t="s">
        <v>2714</v>
      </c>
      <c r="B2695" s="2">
        <v>21.0</v>
      </c>
      <c r="C2695" s="4"/>
      <c r="E2695" s="4" t="str">
        <f t="array" ref="E2695">XLOOKUP(A2695,'Fintech, Regulatory Arbitrage, '!A:A,'Fintech, Regulatory Arbitrage, '!C:C,"")</f>
        <v/>
      </c>
    </row>
    <row r="2696">
      <c r="A2696" s="1" t="s">
        <v>2715</v>
      </c>
      <c r="B2696" s="2">
        <v>21.0</v>
      </c>
      <c r="C2696" s="4"/>
      <c r="E2696" s="4" t="str">
        <f t="array" ref="E2696">XLOOKUP(A2696,'Fintech, Regulatory Arbitrage, '!A:A,'Fintech, Regulatory Arbitrage, '!C:C,"")</f>
        <v/>
      </c>
    </row>
    <row r="2697">
      <c r="A2697" s="1" t="s">
        <v>2716</v>
      </c>
      <c r="B2697" s="2">
        <v>21.0</v>
      </c>
      <c r="C2697" s="4"/>
      <c r="E2697" s="4" t="str">
        <f t="array" ref="E2697">XLOOKUP(A2697,'Fintech, Regulatory Arbitrage, '!A:A,'Fintech, Regulatory Arbitrage, '!C:C,"")</f>
        <v/>
      </c>
    </row>
    <row r="2698">
      <c r="A2698" s="1" t="s">
        <v>2717</v>
      </c>
      <c r="B2698" s="2">
        <v>21.0</v>
      </c>
      <c r="C2698" s="4"/>
      <c r="E2698" s="4" t="str">
        <f t="array" ref="E2698">XLOOKUP(A2698,'Fintech, Regulatory Arbitrage, '!A:A,'Fintech, Regulatory Arbitrage, '!C:C,"")</f>
        <v/>
      </c>
    </row>
    <row r="2699">
      <c r="A2699" s="1" t="s">
        <v>2718</v>
      </c>
      <c r="B2699" s="2">
        <v>21.0</v>
      </c>
      <c r="C2699" s="4"/>
      <c r="E2699" s="4" t="str">
        <f t="array" ref="E2699">XLOOKUP(A2699,'Fintech, Regulatory Arbitrage, '!A:A,'Fintech, Regulatory Arbitrage, '!C:C,"")</f>
        <v/>
      </c>
    </row>
    <row r="2700">
      <c r="A2700" s="1" t="s">
        <v>2719</v>
      </c>
      <c r="B2700" s="2">
        <v>21.0</v>
      </c>
      <c r="C2700" s="4"/>
      <c r="E2700" s="4" t="str">
        <f t="array" ref="E2700">XLOOKUP(A2700,'Fintech, Regulatory Arbitrage, '!A:A,'Fintech, Regulatory Arbitrage, '!C:C,"")</f>
        <v/>
      </c>
    </row>
    <row r="2701">
      <c r="A2701" s="1" t="s">
        <v>2720</v>
      </c>
      <c r="B2701" s="2">
        <v>21.0</v>
      </c>
      <c r="C2701" s="4"/>
      <c r="E2701" s="4" t="str">
        <f t="array" ref="E2701">XLOOKUP(A2701,'Fintech, Regulatory Arbitrage, '!A:A,'Fintech, Regulatory Arbitrage, '!C:C,"")</f>
        <v/>
      </c>
    </row>
    <row r="2702">
      <c r="A2702" s="1" t="s">
        <v>2721</v>
      </c>
      <c r="B2702" s="2">
        <v>21.0</v>
      </c>
      <c r="C2702" s="4"/>
      <c r="E2702" s="4" t="str">
        <f t="array" ref="E2702">XLOOKUP(A2702,'Fintech, Regulatory Arbitrage, '!A:A,'Fintech, Regulatory Arbitrage, '!C:C,"")</f>
        <v/>
      </c>
    </row>
    <row r="2703">
      <c r="A2703" s="1" t="s">
        <v>2722</v>
      </c>
      <c r="B2703" s="2">
        <v>21.0</v>
      </c>
      <c r="C2703" s="4"/>
      <c r="E2703" s="4" t="str">
        <f t="array" ref="E2703">XLOOKUP(A2703,'Fintech, Regulatory Arbitrage, '!A:A,'Fintech, Regulatory Arbitrage, '!C:C,"")</f>
        <v/>
      </c>
    </row>
    <row r="2704">
      <c r="A2704" s="1" t="s">
        <v>2723</v>
      </c>
      <c r="B2704" s="2">
        <v>21.0</v>
      </c>
      <c r="C2704" s="4"/>
      <c r="E2704" s="4" t="str">
        <f t="array" ref="E2704">XLOOKUP(A2704,'Fintech, Regulatory Arbitrage, '!A:A,'Fintech, Regulatory Arbitrage, '!C:C,"")</f>
        <v/>
      </c>
    </row>
    <row r="2705">
      <c r="A2705" s="1" t="s">
        <v>2724</v>
      </c>
      <c r="B2705" s="2">
        <v>21.0</v>
      </c>
      <c r="C2705" s="4"/>
      <c r="E2705" s="4" t="str">
        <f t="array" ref="E2705">XLOOKUP(A2705,'Fintech, Regulatory Arbitrage, '!A:A,'Fintech, Regulatory Arbitrage, '!C:C,"")</f>
        <v/>
      </c>
    </row>
    <row r="2706">
      <c r="A2706" s="1" t="s">
        <v>2725</v>
      </c>
      <c r="B2706" s="2">
        <v>21.0</v>
      </c>
      <c r="C2706" s="4"/>
      <c r="E2706" s="4" t="str">
        <f t="array" ref="E2706">XLOOKUP(A2706,'Fintech, Regulatory Arbitrage, '!A:A,'Fintech, Regulatory Arbitrage, '!C:C,"")</f>
        <v/>
      </c>
    </row>
    <row r="2707">
      <c r="A2707" s="1" t="s">
        <v>2726</v>
      </c>
      <c r="B2707" s="2">
        <v>21.0</v>
      </c>
      <c r="C2707" s="4"/>
      <c r="E2707" s="4" t="str">
        <f t="array" ref="E2707">XLOOKUP(A2707,'Fintech, Regulatory Arbitrage, '!A:A,'Fintech, Regulatory Arbitrage, '!C:C,"")</f>
        <v/>
      </c>
    </row>
    <row r="2708">
      <c r="A2708" s="1" t="s">
        <v>2727</v>
      </c>
      <c r="B2708" s="2">
        <v>21.0</v>
      </c>
      <c r="C2708" s="4"/>
      <c r="E2708" s="4" t="str">
        <f t="array" ref="E2708">XLOOKUP(A2708,'Fintech, Regulatory Arbitrage, '!A:A,'Fintech, Regulatory Arbitrage, '!C:C,"")</f>
        <v/>
      </c>
    </row>
    <row r="2709">
      <c r="A2709" s="1" t="s">
        <v>2728</v>
      </c>
      <c r="B2709" s="2">
        <v>21.0</v>
      </c>
      <c r="C2709" s="4"/>
      <c r="E2709" s="4" t="str">
        <f t="array" ref="E2709">XLOOKUP(A2709,'Fintech, Regulatory Arbitrage, '!A:A,'Fintech, Regulatory Arbitrage, '!C:C,"")</f>
        <v/>
      </c>
    </row>
    <row r="2710">
      <c r="A2710" s="1" t="s">
        <v>2729</v>
      </c>
      <c r="B2710" s="2">
        <v>21.0</v>
      </c>
      <c r="C2710" s="4"/>
      <c r="E2710" s="4" t="str">
        <f t="array" ref="E2710">XLOOKUP(A2710,'Fintech, Regulatory Arbitrage, '!A:A,'Fintech, Regulatory Arbitrage, '!C:C,"")</f>
        <v/>
      </c>
    </row>
    <row r="2711">
      <c r="A2711" s="1" t="s">
        <v>2730</v>
      </c>
      <c r="B2711" s="2">
        <v>21.0</v>
      </c>
      <c r="C2711" s="4"/>
      <c r="E2711" s="4" t="str">
        <f t="array" ref="E2711">XLOOKUP(A2711,'Fintech, Regulatory Arbitrage, '!A:A,'Fintech, Regulatory Arbitrage, '!C:C,"")</f>
        <v/>
      </c>
    </row>
    <row r="2712">
      <c r="A2712" s="1" t="s">
        <v>2731</v>
      </c>
      <c r="B2712" s="2">
        <v>21.0</v>
      </c>
      <c r="C2712" s="4"/>
      <c r="E2712" s="4" t="str">
        <f t="array" ref="E2712">XLOOKUP(A2712,'Fintech, Regulatory Arbitrage, '!A:A,'Fintech, Regulatory Arbitrage, '!C:C,"")</f>
        <v/>
      </c>
    </row>
    <row r="2713">
      <c r="A2713" s="1" t="s">
        <v>2732</v>
      </c>
      <c r="B2713" s="2">
        <v>21.0</v>
      </c>
      <c r="C2713" s="4"/>
      <c r="E2713" s="4" t="str">
        <f t="array" ref="E2713">XLOOKUP(A2713,'Fintech, Regulatory Arbitrage, '!A:A,'Fintech, Regulatory Arbitrage, '!C:C,"")</f>
        <v/>
      </c>
    </row>
    <row r="2714">
      <c r="A2714" s="1" t="s">
        <v>2733</v>
      </c>
      <c r="B2714" s="2">
        <v>21.0</v>
      </c>
      <c r="C2714" s="4"/>
      <c r="E2714" s="4" t="str">
        <f t="array" ref="E2714">XLOOKUP(A2714,'Fintech, Regulatory Arbitrage, '!A:A,'Fintech, Regulatory Arbitrage, '!C:C,"")</f>
        <v/>
      </c>
    </row>
    <row r="2715">
      <c r="A2715" s="1" t="s">
        <v>2734</v>
      </c>
      <c r="B2715" s="2">
        <v>21.0</v>
      </c>
      <c r="C2715" s="4"/>
      <c r="E2715" s="4" t="str">
        <f t="array" ref="E2715">XLOOKUP(A2715,'Fintech, Regulatory Arbitrage, '!A:A,'Fintech, Regulatory Arbitrage, '!C:C,"")</f>
        <v/>
      </c>
    </row>
    <row r="2716">
      <c r="A2716" s="1" t="s">
        <v>2735</v>
      </c>
      <c r="B2716" s="2">
        <v>21.0</v>
      </c>
      <c r="C2716" s="4"/>
      <c r="E2716" s="4" t="str">
        <f t="array" ref="E2716">XLOOKUP(A2716,'Fintech, Regulatory Arbitrage, '!A:A,'Fintech, Regulatory Arbitrage, '!C:C,"")</f>
        <v/>
      </c>
    </row>
    <row r="2717">
      <c r="A2717" s="1" t="s">
        <v>2736</v>
      </c>
      <c r="B2717" s="2">
        <v>21.0</v>
      </c>
      <c r="C2717" s="4"/>
      <c r="E2717" s="4" t="str">
        <f t="array" ref="E2717">XLOOKUP(A2717,'Fintech, Regulatory Arbitrage, '!A:A,'Fintech, Regulatory Arbitrage, '!C:C,"")</f>
        <v/>
      </c>
    </row>
    <row r="2718">
      <c r="A2718" s="1" t="s">
        <v>2737</v>
      </c>
      <c r="B2718" s="2">
        <v>21.0</v>
      </c>
      <c r="C2718" s="4"/>
      <c r="E2718" s="4" t="str">
        <f t="array" ref="E2718">XLOOKUP(A2718,'Fintech, Regulatory Arbitrage, '!A:A,'Fintech, Regulatory Arbitrage, '!C:C,"")</f>
        <v/>
      </c>
    </row>
    <row r="2719">
      <c r="A2719" s="1" t="s">
        <v>2738</v>
      </c>
      <c r="B2719" s="2">
        <v>21.0</v>
      </c>
      <c r="C2719" s="4"/>
      <c r="E2719" s="4" t="str">
        <f t="array" ref="E2719">XLOOKUP(A2719,'Fintech, Regulatory Arbitrage, '!A:A,'Fintech, Regulatory Arbitrage, '!C:C,"")</f>
        <v/>
      </c>
    </row>
    <row r="2720">
      <c r="A2720" s="1" t="s">
        <v>2739</v>
      </c>
      <c r="B2720" s="2">
        <v>21.0</v>
      </c>
      <c r="C2720" s="4"/>
      <c r="E2720" s="4" t="str">
        <f t="array" ref="E2720">XLOOKUP(A2720,'Fintech, Regulatory Arbitrage, '!A:A,'Fintech, Regulatory Arbitrage, '!C:C,"")</f>
        <v/>
      </c>
    </row>
    <row r="2721">
      <c r="A2721" s="1" t="s">
        <v>2740</v>
      </c>
      <c r="B2721" s="2">
        <v>21.0</v>
      </c>
      <c r="C2721" s="4"/>
      <c r="E2721" s="4" t="str">
        <f t="array" ref="E2721">XLOOKUP(A2721,'Fintech, Regulatory Arbitrage, '!A:A,'Fintech, Regulatory Arbitrage, '!C:C,"")</f>
        <v/>
      </c>
    </row>
    <row r="2722">
      <c r="A2722" s="1" t="s">
        <v>2741</v>
      </c>
      <c r="B2722" s="2">
        <v>21.0</v>
      </c>
      <c r="C2722" s="4"/>
      <c r="E2722" s="4" t="str">
        <f t="array" ref="E2722">XLOOKUP(A2722,'Fintech, Regulatory Arbitrage, '!A:A,'Fintech, Regulatory Arbitrage, '!C:C,"")</f>
        <v/>
      </c>
    </row>
    <row r="2723">
      <c r="A2723" s="1" t="s">
        <v>2742</v>
      </c>
      <c r="B2723" s="2">
        <v>21.0</v>
      </c>
      <c r="C2723" s="4"/>
      <c r="E2723" s="4" t="str">
        <f t="array" ref="E2723">XLOOKUP(A2723,'Fintech, Regulatory Arbitrage, '!A:A,'Fintech, Regulatory Arbitrage, '!C:C,"")</f>
        <v/>
      </c>
    </row>
    <row r="2724">
      <c r="A2724" s="1" t="s">
        <v>2743</v>
      </c>
      <c r="B2724" s="2">
        <v>21.0</v>
      </c>
      <c r="C2724" s="4"/>
      <c r="E2724" s="4" t="str">
        <f t="array" ref="E2724">XLOOKUP(A2724,'Fintech, Regulatory Arbitrage, '!A:A,'Fintech, Regulatory Arbitrage, '!C:C,"")</f>
        <v/>
      </c>
    </row>
    <row r="2725">
      <c r="A2725" s="1" t="s">
        <v>2744</v>
      </c>
      <c r="B2725" s="2">
        <v>21.0</v>
      </c>
      <c r="C2725" s="4"/>
      <c r="E2725" s="4" t="str">
        <f t="array" ref="E2725">XLOOKUP(A2725,'Fintech, Regulatory Arbitrage, '!A:A,'Fintech, Regulatory Arbitrage, '!C:C,"")</f>
        <v/>
      </c>
    </row>
    <row r="2726">
      <c r="A2726" s="1" t="s">
        <v>2745</v>
      </c>
      <c r="B2726" s="2">
        <v>21.0</v>
      </c>
      <c r="C2726" s="4"/>
      <c r="E2726" s="4" t="str">
        <f t="array" ref="E2726">XLOOKUP(A2726,'Fintech, Regulatory Arbitrage, '!A:A,'Fintech, Regulatory Arbitrage, '!C:C,"")</f>
        <v/>
      </c>
    </row>
    <row r="2727">
      <c r="A2727" s="1" t="s">
        <v>2746</v>
      </c>
      <c r="B2727" s="2">
        <v>21.0</v>
      </c>
      <c r="C2727" s="4"/>
      <c r="E2727" s="4" t="str">
        <f t="array" ref="E2727">XLOOKUP(A2727,'Fintech, Regulatory Arbitrage, '!A:A,'Fintech, Regulatory Arbitrage, '!C:C,"")</f>
        <v/>
      </c>
    </row>
    <row r="2728">
      <c r="A2728" s="1" t="s">
        <v>2747</v>
      </c>
      <c r="B2728" s="2">
        <v>21.0</v>
      </c>
      <c r="C2728" s="4"/>
      <c r="E2728" s="4" t="str">
        <f t="array" ref="E2728">XLOOKUP(A2728,'Fintech, Regulatory Arbitrage, '!A:A,'Fintech, Regulatory Arbitrage, '!C:C,"")</f>
        <v/>
      </c>
    </row>
    <row r="2729">
      <c r="A2729" s="1" t="s">
        <v>2748</v>
      </c>
      <c r="B2729" s="2">
        <v>21.0</v>
      </c>
      <c r="C2729" s="4"/>
      <c r="E2729" s="4" t="str">
        <f t="array" ref="E2729">XLOOKUP(A2729,'Fintech, Regulatory Arbitrage, '!A:A,'Fintech, Regulatory Arbitrage, '!C:C,"")</f>
        <v/>
      </c>
    </row>
    <row r="2730">
      <c r="A2730" s="1" t="s">
        <v>2749</v>
      </c>
      <c r="B2730" s="2">
        <v>21.0</v>
      </c>
      <c r="C2730" s="4"/>
      <c r="E2730" s="4" t="str">
        <f t="array" ref="E2730">XLOOKUP(A2730,'Fintech, Regulatory Arbitrage, '!A:A,'Fintech, Regulatory Arbitrage, '!C:C,"")</f>
        <v/>
      </c>
    </row>
    <row r="2731">
      <c r="A2731" s="1" t="s">
        <v>2750</v>
      </c>
      <c r="B2731" s="2">
        <v>21.0</v>
      </c>
      <c r="C2731" s="4"/>
      <c r="E2731" s="4" t="str">
        <f t="array" ref="E2731">XLOOKUP(A2731,'Fintech, Regulatory Arbitrage, '!A:A,'Fintech, Regulatory Arbitrage, '!C:C,"")</f>
        <v/>
      </c>
    </row>
    <row r="2732">
      <c r="A2732" s="1" t="s">
        <v>2751</v>
      </c>
      <c r="B2732" s="2">
        <v>21.0</v>
      </c>
      <c r="C2732" s="4"/>
      <c r="E2732" s="4" t="str">
        <f t="array" ref="E2732">XLOOKUP(A2732,'Fintech, Regulatory Arbitrage, '!A:A,'Fintech, Regulatory Arbitrage, '!C:C,"")</f>
        <v/>
      </c>
    </row>
    <row r="2733">
      <c r="A2733" s="1" t="s">
        <v>2752</v>
      </c>
      <c r="B2733" s="2">
        <v>21.0</v>
      </c>
      <c r="C2733" s="4"/>
      <c r="E2733" s="4" t="str">
        <f t="array" ref="E2733">XLOOKUP(A2733,'Fintech, Regulatory Arbitrage, '!A:A,'Fintech, Regulatory Arbitrage, '!C:C,"")</f>
        <v/>
      </c>
    </row>
    <row r="2734">
      <c r="A2734" s="1" t="s">
        <v>2753</v>
      </c>
      <c r="B2734" s="2">
        <v>21.0</v>
      </c>
      <c r="C2734" s="4"/>
      <c r="E2734" s="4" t="str">
        <f t="array" ref="E2734">XLOOKUP(A2734,'Fintech, Regulatory Arbitrage, '!A:A,'Fintech, Regulatory Arbitrage, '!C:C,"")</f>
        <v/>
      </c>
    </row>
    <row r="2735">
      <c r="A2735" s="1" t="s">
        <v>2754</v>
      </c>
      <c r="B2735" s="2">
        <v>21.0</v>
      </c>
      <c r="C2735" s="4"/>
      <c r="E2735" s="4" t="str">
        <f t="array" ref="E2735">XLOOKUP(A2735,'Fintech, Regulatory Arbitrage, '!A:A,'Fintech, Regulatory Arbitrage, '!C:C,"")</f>
        <v/>
      </c>
    </row>
    <row r="2736">
      <c r="A2736" s="1" t="s">
        <v>2755</v>
      </c>
      <c r="B2736" s="2">
        <v>21.0</v>
      </c>
      <c r="C2736" s="4"/>
      <c r="E2736" s="4" t="str">
        <f t="array" ref="E2736">XLOOKUP(A2736,'Fintech, Regulatory Arbitrage, '!A:A,'Fintech, Regulatory Arbitrage, '!C:C,"")</f>
        <v/>
      </c>
    </row>
    <row r="2737">
      <c r="A2737" s="1" t="s">
        <v>2756</v>
      </c>
      <c r="B2737" s="2">
        <v>21.0</v>
      </c>
      <c r="C2737" s="4"/>
      <c r="E2737" s="4" t="str">
        <f t="array" ref="E2737">XLOOKUP(A2737,'Fintech, Regulatory Arbitrage, '!A:A,'Fintech, Regulatory Arbitrage, '!C:C,"")</f>
        <v/>
      </c>
    </row>
    <row r="2738">
      <c r="A2738" s="1" t="s">
        <v>2757</v>
      </c>
      <c r="B2738" s="2">
        <v>21.0</v>
      </c>
      <c r="C2738" s="4"/>
      <c r="E2738" s="4" t="str">
        <f t="array" ref="E2738">XLOOKUP(A2738,'Fintech, Regulatory Arbitrage, '!A:A,'Fintech, Regulatory Arbitrage, '!C:C,"")</f>
        <v/>
      </c>
    </row>
    <row r="2739">
      <c r="A2739" s="1" t="s">
        <v>2758</v>
      </c>
      <c r="B2739" s="2">
        <v>21.0</v>
      </c>
      <c r="C2739" s="4"/>
      <c r="E2739" s="4" t="str">
        <f t="array" ref="E2739">XLOOKUP(A2739,'Fintech, Regulatory Arbitrage, '!A:A,'Fintech, Regulatory Arbitrage, '!C:C,"")</f>
        <v/>
      </c>
    </row>
    <row r="2740">
      <c r="A2740" s="1" t="s">
        <v>2759</v>
      </c>
      <c r="B2740" s="2">
        <v>21.0</v>
      </c>
      <c r="C2740" s="4"/>
      <c r="E2740" s="4" t="str">
        <f t="array" ref="E2740">XLOOKUP(A2740,'Fintech, Regulatory Arbitrage, '!A:A,'Fintech, Regulatory Arbitrage, '!C:C,"")</f>
        <v/>
      </c>
    </row>
    <row r="2741">
      <c r="A2741" s="1" t="s">
        <v>2760</v>
      </c>
      <c r="B2741" s="2">
        <v>21.0</v>
      </c>
      <c r="C2741" s="4"/>
      <c r="E2741" s="4" t="str">
        <f t="array" ref="E2741">XLOOKUP(A2741,'Fintech, Regulatory Arbitrage, '!A:A,'Fintech, Regulatory Arbitrage, '!C:C,"")</f>
        <v/>
      </c>
    </row>
    <row r="2742">
      <c r="A2742" s="1" t="s">
        <v>2761</v>
      </c>
      <c r="B2742" s="2">
        <v>21.0</v>
      </c>
      <c r="C2742" s="4"/>
      <c r="E2742" s="4" t="str">
        <f t="array" ref="E2742">XLOOKUP(A2742,'Fintech, Regulatory Arbitrage, '!A:A,'Fintech, Regulatory Arbitrage, '!C:C,"")</f>
        <v/>
      </c>
    </row>
    <row r="2743">
      <c r="A2743" s="1" t="s">
        <v>2762</v>
      </c>
      <c r="B2743" s="2">
        <v>21.0</v>
      </c>
      <c r="C2743" s="4"/>
      <c r="E2743" s="4" t="str">
        <f t="array" ref="E2743">XLOOKUP(A2743,'Fintech, Regulatory Arbitrage, '!A:A,'Fintech, Regulatory Arbitrage, '!C:C,"")</f>
        <v/>
      </c>
    </row>
    <row r="2744">
      <c r="A2744" s="1" t="s">
        <v>2763</v>
      </c>
      <c r="B2744" s="2">
        <v>21.0</v>
      </c>
      <c r="C2744" s="4"/>
      <c r="E2744" s="4" t="str">
        <f t="array" ref="E2744">XLOOKUP(A2744,'Fintech, Regulatory Arbitrage, '!A:A,'Fintech, Regulatory Arbitrage, '!C:C,"")</f>
        <v/>
      </c>
    </row>
    <row r="2745">
      <c r="A2745" s="1" t="s">
        <v>2764</v>
      </c>
      <c r="B2745" s="2">
        <v>21.0</v>
      </c>
      <c r="C2745" s="4"/>
      <c r="E2745" s="4" t="str">
        <f t="array" ref="E2745">XLOOKUP(A2745,'Fintech, Regulatory Arbitrage, '!A:A,'Fintech, Regulatory Arbitrage, '!C:C,"")</f>
        <v/>
      </c>
    </row>
    <row r="2746">
      <c r="A2746" s="1" t="s">
        <v>2765</v>
      </c>
      <c r="B2746" s="2">
        <v>21.0</v>
      </c>
      <c r="C2746" s="4"/>
      <c r="E2746" s="4" t="str">
        <f t="array" ref="E2746">XLOOKUP(A2746,'Fintech, Regulatory Arbitrage, '!A:A,'Fintech, Regulatory Arbitrage, '!C:C,"")</f>
        <v/>
      </c>
    </row>
    <row r="2747">
      <c r="A2747" s="1" t="s">
        <v>2766</v>
      </c>
      <c r="B2747" s="2">
        <v>21.0</v>
      </c>
      <c r="C2747" s="4"/>
      <c r="E2747" s="4" t="str">
        <f t="array" ref="E2747">XLOOKUP(A2747,'Fintech, Regulatory Arbitrage, '!A:A,'Fintech, Regulatory Arbitrage, '!C:C,"")</f>
        <v/>
      </c>
    </row>
    <row r="2748">
      <c r="A2748" s="1" t="s">
        <v>2767</v>
      </c>
      <c r="B2748" s="2">
        <v>21.0</v>
      </c>
      <c r="C2748" s="4"/>
      <c r="E2748" s="4" t="str">
        <f t="array" ref="E2748">XLOOKUP(A2748,'Fintech, Regulatory Arbitrage, '!A:A,'Fintech, Regulatory Arbitrage, '!C:C,"")</f>
        <v/>
      </c>
    </row>
    <row r="2749">
      <c r="A2749" s="1" t="s">
        <v>2768</v>
      </c>
      <c r="B2749" s="2">
        <v>21.0</v>
      </c>
      <c r="C2749" s="4"/>
      <c r="E2749" s="4" t="str">
        <f t="array" ref="E2749">XLOOKUP(A2749,'Fintech, Regulatory Arbitrage, '!A:A,'Fintech, Regulatory Arbitrage, '!C:C,"")</f>
        <v/>
      </c>
    </row>
    <row r="2750">
      <c r="A2750" s="1" t="s">
        <v>2769</v>
      </c>
      <c r="B2750" s="2">
        <v>21.0</v>
      </c>
      <c r="C2750" s="4"/>
      <c r="E2750" s="4" t="str">
        <f t="array" ref="E2750">XLOOKUP(A2750,'Fintech, Regulatory Arbitrage, '!A:A,'Fintech, Regulatory Arbitrage, '!C:C,"")</f>
        <v/>
      </c>
    </row>
    <row r="2751">
      <c r="A2751" s="1" t="s">
        <v>2770</v>
      </c>
      <c r="B2751" s="2">
        <v>21.0</v>
      </c>
      <c r="C2751" s="4"/>
      <c r="E2751" s="4" t="str">
        <f t="array" ref="E2751">XLOOKUP(A2751,'Fintech, Regulatory Arbitrage, '!A:A,'Fintech, Regulatory Arbitrage, '!C:C,"")</f>
        <v/>
      </c>
    </row>
    <row r="2752">
      <c r="A2752" s="1" t="s">
        <v>2771</v>
      </c>
      <c r="B2752" s="2">
        <v>21.0</v>
      </c>
      <c r="C2752" s="4"/>
      <c r="E2752" s="4" t="str">
        <f t="array" ref="E2752">XLOOKUP(A2752,'Fintech, Regulatory Arbitrage, '!A:A,'Fintech, Regulatory Arbitrage, '!C:C,"")</f>
        <v/>
      </c>
    </row>
    <row r="2753">
      <c r="A2753" s="1" t="s">
        <v>2772</v>
      </c>
      <c r="B2753" s="2">
        <v>21.0</v>
      </c>
      <c r="C2753" s="4"/>
      <c r="E2753" s="4" t="str">
        <f t="array" ref="E2753">XLOOKUP(A2753,'Fintech, Regulatory Arbitrage, '!A:A,'Fintech, Regulatory Arbitrage, '!C:C,"")</f>
        <v/>
      </c>
    </row>
    <row r="2754">
      <c r="A2754" s="1" t="s">
        <v>2773</v>
      </c>
      <c r="B2754" s="2">
        <v>21.0</v>
      </c>
      <c r="C2754" s="4"/>
      <c r="E2754" s="4" t="str">
        <f t="array" ref="E2754">XLOOKUP(A2754,'Fintech, Regulatory Arbitrage, '!A:A,'Fintech, Regulatory Arbitrage, '!C:C,"")</f>
        <v/>
      </c>
    </row>
    <row r="2755">
      <c r="A2755" s="1" t="s">
        <v>2774</v>
      </c>
      <c r="B2755" s="2">
        <v>21.0</v>
      </c>
      <c r="C2755" s="4"/>
      <c r="E2755" s="4" t="str">
        <f t="array" ref="E2755">XLOOKUP(A2755,'Fintech, Regulatory Arbitrage, '!A:A,'Fintech, Regulatory Arbitrage, '!C:C,"")</f>
        <v/>
      </c>
    </row>
    <row r="2756">
      <c r="A2756" s="1" t="s">
        <v>2775</v>
      </c>
      <c r="B2756" s="2">
        <v>21.0</v>
      </c>
      <c r="C2756" s="4"/>
      <c r="E2756" s="4" t="str">
        <f t="array" ref="E2756">XLOOKUP(A2756,'Fintech, Regulatory Arbitrage, '!A:A,'Fintech, Regulatory Arbitrage, '!C:C,"")</f>
        <v/>
      </c>
    </row>
    <row r="2757">
      <c r="A2757" s="1" t="s">
        <v>2776</v>
      </c>
      <c r="B2757" s="2">
        <v>21.0</v>
      </c>
      <c r="C2757" s="4"/>
      <c r="E2757" s="4" t="str">
        <f t="array" ref="E2757">XLOOKUP(A2757,'Fintech, Regulatory Arbitrage, '!A:A,'Fintech, Regulatory Arbitrage, '!C:C,"")</f>
        <v/>
      </c>
    </row>
    <row r="2758">
      <c r="A2758" s="1" t="s">
        <v>2777</v>
      </c>
      <c r="B2758" s="2">
        <v>21.0</v>
      </c>
      <c r="C2758" s="4"/>
      <c r="E2758" s="4" t="str">
        <f t="array" ref="E2758">XLOOKUP(A2758,'Fintech, Regulatory Arbitrage, '!A:A,'Fintech, Regulatory Arbitrage, '!C:C,"")</f>
        <v/>
      </c>
    </row>
    <row r="2759">
      <c r="A2759" s="1" t="s">
        <v>2778</v>
      </c>
      <c r="B2759" s="2">
        <v>21.0</v>
      </c>
      <c r="C2759" s="4"/>
      <c r="E2759" s="4" t="str">
        <f t="array" ref="E2759">XLOOKUP(A2759,'Fintech, Regulatory Arbitrage, '!A:A,'Fintech, Regulatory Arbitrage, '!C:C,"")</f>
        <v/>
      </c>
    </row>
    <row r="2760">
      <c r="A2760" s="1" t="s">
        <v>2779</v>
      </c>
      <c r="B2760" s="2">
        <v>21.0</v>
      </c>
      <c r="C2760" s="4"/>
      <c r="E2760" s="4" t="str">
        <f t="array" ref="E2760">XLOOKUP(A2760,'Fintech, Regulatory Arbitrage, '!A:A,'Fintech, Regulatory Arbitrage, '!C:C,"")</f>
        <v/>
      </c>
    </row>
    <row r="2761">
      <c r="A2761" s="1" t="s">
        <v>2780</v>
      </c>
      <c r="B2761" s="2">
        <v>20.0</v>
      </c>
      <c r="C2761" s="4"/>
      <c r="E2761" s="4" t="str">
        <f t="array" ref="E2761">XLOOKUP(A2761,'Fintech, Regulatory Arbitrage, '!A:A,'Fintech, Regulatory Arbitrage, '!C:C,"")</f>
        <v/>
      </c>
    </row>
    <row r="2762">
      <c r="A2762" s="1" t="s">
        <v>2781</v>
      </c>
      <c r="B2762" s="2">
        <v>20.0</v>
      </c>
      <c r="C2762" s="4"/>
      <c r="E2762" s="4" t="str">
        <f t="array" ref="E2762">XLOOKUP(A2762,'Fintech, Regulatory Arbitrage, '!A:A,'Fintech, Regulatory Arbitrage, '!C:C,"")</f>
        <v/>
      </c>
    </row>
    <row r="2763">
      <c r="A2763" s="1" t="s">
        <v>2782</v>
      </c>
      <c r="B2763" s="2">
        <v>20.0</v>
      </c>
      <c r="C2763" s="4"/>
      <c r="E2763" s="4" t="str">
        <f t="array" ref="E2763">XLOOKUP(A2763,'Fintech, Regulatory Arbitrage, '!A:A,'Fintech, Regulatory Arbitrage, '!C:C,"")</f>
        <v/>
      </c>
    </row>
    <row r="2764">
      <c r="A2764" s="1" t="s">
        <v>2783</v>
      </c>
      <c r="B2764" s="2">
        <v>20.0</v>
      </c>
      <c r="C2764" s="4"/>
      <c r="E2764" s="4" t="str">
        <f t="array" ref="E2764">XLOOKUP(A2764,'Fintech, Regulatory Arbitrage, '!A:A,'Fintech, Regulatory Arbitrage, '!C:C,"")</f>
        <v/>
      </c>
    </row>
    <row r="2765">
      <c r="A2765" s="1" t="s">
        <v>2784</v>
      </c>
      <c r="B2765" s="2">
        <v>20.0</v>
      </c>
      <c r="C2765" s="4"/>
      <c r="E2765" s="4" t="str">
        <f t="array" ref="E2765">XLOOKUP(A2765,'Fintech, Regulatory Arbitrage, '!A:A,'Fintech, Regulatory Arbitrage, '!C:C,"")</f>
        <v/>
      </c>
    </row>
    <row r="2766">
      <c r="A2766" s="1" t="s">
        <v>2785</v>
      </c>
      <c r="B2766" s="2">
        <v>20.0</v>
      </c>
      <c r="C2766" s="4"/>
      <c r="E2766" s="4" t="str">
        <f t="array" ref="E2766">XLOOKUP(A2766,'Fintech, Regulatory Arbitrage, '!A:A,'Fintech, Regulatory Arbitrage, '!C:C,"")</f>
        <v/>
      </c>
    </row>
    <row r="2767">
      <c r="A2767" s="1" t="s">
        <v>2786</v>
      </c>
      <c r="B2767" s="2">
        <v>20.0</v>
      </c>
      <c r="C2767" s="4"/>
      <c r="E2767" s="4" t="str">
        <f t="array" ref="E2767">XLOOKUP(A2767,'Fintech, Regulatory Arbitrage, '!A:A,'Fintech, Regulatory Arbitrage, '!C:C,"")</f>
        <v/>
      </c>
    </row>
    <row r="2768">
      <c r="A2768" s="1" t="s">
        <v>2787</v>
      </c>
      <c r="B2768" s="2">
        <v>20.0</v>
      </c>
      <c r="C2768" s="4"/>
      <c r="E2768" s="4" t="str">
        <f t="array" ref="E2768">XLOOKUP(A2768,'Fintech, Regulatory Arbitrage, '!A:A,'Fintech, Regulatory Arbitrage, '!C:C,"")</f>
        <v/>
      </c>
    </row>
    <row r="2769">
      <c r="A2769" s="1" t="s">
        <v>2788</v>
      </c>
      <c r="B2769" s="2">
        <v>20.0</v>
      </c>
      <c r="C2769" s="4"/>
      <c r="E2769" s="4" t="str">
        <f t="array" ref="E2769">XLOOKUP(A2769,'Fintech, Regulatory Arbitrage, '!A:A,'Fintech, Regulatory Arbitrage, '!C:C,"")</f>
        <v/>
      </c>
    </row>
    <row r="2770">
      <c r="A2770" s="1" t="s">
        <v>2789</v>
      </c>
      <c r="B2770" s="2">
        <v>20.0</v>
      </c>
      <c r="C2770" s="4"/>
      <c r="E2770" s="4" t="str">
        <f t="array" ref="E2770">XLOOKUP(A2770,'Fintech, Regulatory Arbitrage, '!A:A,'Fintech, Regulatory Arbitrage, '!C:C,"")</f>
        <v/>
      </c>
    </row>
    <row r="2771">
      <c r="A2771" s="1" t="s">
        <v>2790</v>
      </c>
      <c r="B2771" s="2">
        <v>20.0</v>
      </c>
      <c r="C2771" s="4"/>
      <c r="E2771" s="4" t="str">
        <f t="array" ref="E2771">XLOOKUP(A2771,'Fintech, Regulatory Arbitrage, '!A:A,'Fintech, Regulatory Arbitrage, '!C:C,"")</f>
        <v/>
      </c>
    </row>
    <row r="2772">
      <c r="A2772" s="1" t="s">
        <v>2791</v>
      </c>
      <c r="B2772" s="2">
        <v>20.0</v>
      </c>
      <c r="C2772" s="4"/>
      <c r="E2772" s="4" t="str">
        <f t="array" ref="E2772">XLOOKUP(A2772,'Fintech, Regulatory Arbitrage, '!A:A,'Fintech, Regulatory Arbitrage, '!C:C,"")</f>
        <v/>
      </c>
    </row>
    <row r="2773">
      <c r="A2773" s="1" t="s">
        <v>2792</v>
      </c>
      <c r="B2773" s="2">
        <v>20.0</v>
      </c>
      <c r="C2773" s="4"/>
      <c r="E2773" s="4" t="str">
        <f t="array" ref="E2773">XLOOKUP(A2773,'Fintech, Regulatory Arbitrage, '!A:A,'Fintech, Regulatory Arbitrage, '!C:C,"")</f>
        <v/>
      </c>
    </row>
    <row r="2774">
      <c r="A2774" s="1" t="s">
        <v>2793</v>
      </c>
      <c r="B2774" s="2">
        <v>20.0</v>
      </c>
      <c r="C2774" s="4"/>
      <c r="E2774" s="4" t="str">
        <f t="array" ref="E2774">XLOOKUP(A2774,'Fintech, Regulatory Arbitrage, '!A:A,'Fintech, Regulatory Arbitrage, '!C:C,"")</f>
        <v/>
      </c>
    </row>
    <row r="2775">
      <c r="A2775" s="1" t="s">
        <v>2794</v>
      </c>
      <c r="B2775" s="2">
        <v>20.0</v>
      </c>
      <c r="C2775" s="4"/>
      <c r="E2775" s="4" t="str">
        <f t="array" ref="E2775">XLOOKUP(A2775,'Fintech, Regulatory Arbitrage, '!A:A,'Fintech, Regulatory Arbitrage, '!C:C,"")</f>
        <v/>
      </c>
    </row>
    <row r="2776">
      <c r="A2776" s="1" t="s">
        <v>2795</v>
      </c>
      <c r="B2776" s="2">
        <v>20.0</v>
      </c>
      <c r="C2776" s="4"/>
      <c r="E2776" s="4" t="str">
        <f t="array" ref="E2776">XLOOKUP(A2776,'Fintech, Regulatory Arbitrage, '!A:A,'Fintech, Regulatory Arbitrage, '!C:C,"")</f>
        <v/>
      </c>
    </row>
    <row r="2777">
      <c r="A2777" s="1" t="s">
        <v>2796</v>
      </c>
      <c r="B2777" s="2">
        <v>20.0</v>
      </c>
      <c r="C2777" s="4"/>
      <c r="E2777" s="4" t="str">
        <f t="array" ref="E2777">XLOOKUP(A2777,'Fintech, Regulatory Arbitrage, '!A:A,'Fintech, Regulatory Arbitrage, '!C:C,"")</f>
        <v/>
      </c>
    </row>
    <row r="2778">
      <c r="A2778" s="1" t="s">
        <v>2797</v>
      </c>
      <c r="B2778" s="2">
        <v>20.0</v>
      </c>
      <c r="C2778" s="4"/>
      <c r="E2778" s="4" t="str">
        <f t="array" ref="E2778">XLOOKUP(A2778,'Fintech, Regulatory Arbitrage, '!A:A,'Fintech, Regulatory Arbitrage, '!C:C,"")</f>
        <v/>
      </c>
    </row>
    <row r="2779">
      <c r="A2779" s="1" t="s">
        <v>2798</v>
      </c>
      <c r="B2779" s="2">
        <v>20.0</v>
      </c>
      <c r="C2779" s="4"/>
      <c r="E2779" s="4" t="str">
        <f t="array" ref="E2779">XLOOKUP(A2779,'Fintech, Regulatory Arbitrage, '!A:A,'Fintech, Regulatory Arbitrage, '!C:C,"")</f>
        <v/>
      </c>
    </row>
    <row r="2780">
      <c r="A2780" s="1" t="s">
        <v>2799</v>
      </c>
      <c r="B2780" s="2">
        <v>20.0</v>
      </c>
      <c r="C2780" s="4"/>
      <c r="E2780" s="4" t="str">
        <f t="array" ref="E2780">XLOOKUP(A2780,'Fintech, Regulatory Arbitrage, '!A:A,'Fintech, Regulatory Arbitrage, '!C:C,"")</f>
        <v/>
      </c>
    </row>
    <row r="2781">
      <c r="A2781" s="1" t="s">
        <v>2800</v>
      </c>
      <c r="B2781" s="2">
        <v>20.0</v>
      </c>
      <c r="C2781" s="4"/>
      <c r="E2781" s="4" t="str">
        <f t="array" ref="E2781">XLOOKUP(A2781,'Fintech, Regulatory Arbitrage, '!A:A,'Fintech, Regulatory Arbitrage, '!C:C,"")</f>
        <v/>
      </c>
    </row>
    <row r="2782">
      <c r="A2782" s="1" t="s">
        <v>2801</v>
      </c>
      <c r="B2782" s="2">
        <v>20.0</v>
      </c>
      <c r="C2782" s="4"/>
      <c r="E2782" s="4" t="str">
        <f t="array" ref="E2782">XLOOKUP(A2782,'Fintech, Regulatory Arbitrage, '!A:A,'Fintech, Regulatory Arbitrage, '!C:C,"")</f>
        <v/>
      </c>
    </row>
    <row r="2783">
      <c r="A2783" s="1" t="s">
        <v>2802</v>
      </c>
      <c r="B2783" s="2">
        <v>20.0</v>
      </c>
      <c r="C2783" s="4"/>
      <c r="E2783" s="4" t="str">
        <f t="array" ref="E2783">XLOOKUP(A2783,'Fintech, Regulatory Arbitrage, '!A:A,'Fintech, Regulatory Arbitrage, '!C:C,"")</f>
        <v/>
      </c>
    </row>
    <row r="2784">
      <c r="A2784" s="1" t="s">
        <v>2803</v>
      </c>
      <c r="B2784" s="2">
        <v>20.0</v>
      </c>
      <c r="C2784" s="4"/>
      <c r="E2784" s="4" t="str">
        <f t="array" ref="E2784">XLOOKUP(A2784,'Fintech, Regulatory Arbitrage, '!A:A,'Fintech, Regulatory Arbitrage, '!C:C,"")</f>
        <v/>
      </c>
    </row>
    <row r="2785">
      <c r="A2785" s="1" t="s">
        <v>2804</v>
      </c>
      <c r="B2785" s="2">
        <v>20.0</v>
      </c>
      <c r="C2785" s="4"/>
      <c r="E2785" s="4" t="str">
        <f t="array" ref="E2785">XLOOKUP(A2785,'Fintech, Regulatory Arbitrage, '!A:A,'Fintech, Regulatory Arbitrage, '!C:C,"")</f>
        <v/>
      </c>
    </row>
    <row r="2786">
      <c r="A2786" s="1" t="s">
        <v>2805</v>
      </c>
      <c r="B2786" s="2">
        <v>20.0</v>
      </c>
      <c r="C2786" s="4"/>
      <c r="E2786" s="4" t="str">
        <f t="array" ref="E2786">XLOOKUP(A2786,'Fintech, Regulatory Arbitrage, '!A:A,'Fintech, Regulatory Arbitrage, '!C:C,"")</f>
        <v/>
      </c>
    </row>
    <row r="2787">
      <c r="A2787" s="1" t="s">
        <v>2806</v>
      </c>
      <c r="B2787" s="2">
        <v>20.0</v>
      </c>
      <c r="C2787" s="4"/>
      <c r="E2787" s="4" t="str">
        <f t="array" ref="E2787">XLOOKUP(A2787,'Fintech, Regulatory Arbitrage, '!A:A,'Fintech, Regulatory Arbitrage, '!C:C,"")</f>
        <v/>
      </c>
    </row>
    <row r="2788">
      <c r="A2788" s="1" t="s">
        <v>2807</v>
      </c>
      <c r="B2788" s="2">
        <v>20.0</v>
      </c>
      <c r="C2788" s="4"/>
      <c r="E2788" s="4" t="str">
        <f t="array" ref="E2788">XLOOKUP(A2788,'Fintech, Regulatory Arbitrage, '!A:A,'Fintech, Regulatory Arbitrage, '!C:C,"")</f>
        <v/>
      </c>
    </row>
    <row r="2789">
      <c r="A2789" s="1" t="s">
        <v>2808</v>
      </c>
      <c r="B2789" s="2">
        <v>20.0</v>
      </c>
      <c r="C2789" s="4"/>
      <c r="E2789" s="4" t="str">
        <f t="array" ref="E2789">XLOOKUP(A2789,'Fintech, Regulatory Arbitrage, '!A:A,'Fintech, Regulatory Arbitrage, '!C:C,"")</f>
        <v/>
      </c>
    </row>
    <row r="2790">
      <c r="A2790" s="1" t="s">
        <v>2809</v>
      </c>
      <c r="B2790" s="2">
        <v>20.0</v>
      </c>
      <c r="C2790" s="4"/>
      <c r="E2790" s="4" t="str">
        <f t="array" ref="E2790">XLOOKUP(A2790,'Fintech, Regulatory Arbitrage, '!A:A,'Fintech, Regulatory Arbitrage, '!C:C,"")</f>
        <v/>
      </c>
    </row>
    <row r="2791">
      <c r="A2791" s="1" t="s">
        <v>2810</v>
      </c>
      <c r="B2791" s="2">
        <v>20.0</v>
      </c>
      <c r="C2791" s="4"/>
      <c r="E2791" s="4" t="str">
        <f t="array" ref="E2791">XLOOKUP(A2791,'Fintech, Regulatory Arbitrage, '!A:A,'Fintech, Regulatory Arbitrage, '!C:C,"")</f>
        <v/>
      </c>
    </row>
    <row r="2792">
      <c r="A2792" s="1" t="s">
        <v>2811</v>
      </c>
      <c r="B2792" s="2">
        <v>20.0</v>
      </c>
      <c r="C2792" s="4"/>
      <c r="E2792" s="4" t="str">
        <f t="array" ref="E2792">XLOOKUP(A2792,'Fintech, Regulatory Arbitrage, '!A:A,'Fintech, Regulatory Arbitrage, '!C:C,"")</f>
        <v/>
      </c>
    </row>
    <row r="2793">
      <c r="A2793" s="1" t="s">
        <v>2812</v>
      </c>
      <c r="B2793" s="2">
        <v>20.0</v>
      </c>
      <c r="C2793" s="4"/>
      <c r="E2793" s="4" t="str">
        <f t="array" ref="E2793">XLOOKUP(A2793,'Fintech, Regulatory Arbitrage, '!A:A,'Fintech, Regulatory Arbitrage, '!C:C,"")</f>
        <v/>
      </c>
    </row>
    <row r="2794">
      <c r="A2794" s="1" t="s">
        <v>2813</v>
      </c>
      <c r="B2794" s="2">
        <v>20.0</v>
      </c>
      <c r="C2794" s="4"/>
      <c r="E2794" s="4" t="str">
        <f t="array" ref="E2794">XLOOKUP(A2794,'Fintech, Regulatory Arbitrage, '!A:A,'Fintech, Regulatory Arbitrage, '!C:C,"")</f>
        <v/>
      </c>
    </row>
    <row r="2795">
      <c r="A2795" s="1" t="s">
        <v>2814</v>
      </c>
      <c r="B2795" s="2">
        <v>20.0</v>
      </c>
      <c r="C2795" s="4"/>
      <c r="E2795" s="4" t="str">
        <f t="array" ref="E2795">XLOOKUP(A2795,'Fintech, Regulatory Arbitrage, '!A:A,'Fintech, Regulatory Arbitrage, '!C:C,"")</f>
        <v/>
      </c>
    </row>
    <row r="2796">
      <c r="A2796" s="1" t="s">
        <v>2815</v>
      </c>
      <c r="B2796" s="2">
        <v>20.0</v>
      </c>
      <c r="C2796" s="4"/>
      <c r="E2796" s="4" t="str">
        <f t="array" ref="E2796">XLOOKUP(A2796,'Fintech, Regulatory Arbitrage, '!A:A,'Fintech, Regulatory Arbitrage, '!C:C,"")</f>
        <v/>
      </c>
    </row>
    <row r="2797">
      <c r="A2797" s="1" t="s">
        <v>2816</v>
      </c>
      <c r="B2797" s="2">
        <v>20.0</v>
      </c>
      <c r="C2797" s="4"/>
      <c r="E2797" s="4" t="str">
        <f t="array" ref="E2797">XLOOKUP(A2797,'Fintech, Regulatory Arbitrage, '!A:A,'Fintech, Regulatory Arbitrage, '!C:C,"")</f>
        <v/>
      </c>
    </row>
    <row r="2798">
      <c r="A2798" s="1" t="s">
        <v>2817</v>
      </c>
      <c r="B2798" s="2">
        <v>20.0</v>
      </c>
      <c r="C2798" s="4"/>
      <c r="E2798" s="4" t="str">
        <f t="array" ref="E2798">XLOOKUP(A2798,'Fintech, Regulatory Arbitrage, '!A:A,'Fintech, Regulatory Arbitrage, '!C:C,"")</f>
        <v/>
      </c>
    </row>
    <row r="2799">
      <c r="A2799" s="1" t="s">
        <v>2818</v>
      </c>
      <c r="B2799" s="2">
        <v>20.0</v>
      </c>
      <c r="C2799" s="4"/>
      <c r="E2799" s="4" t="str">
        <f t="array" ref="E2799">XLOOKUP(A2799,'Fintech, Regulatory Arbitrage, '!A:A,'Fintech, Regulatory Arbitrage, '!C:C,"")</f>
        <v/>
      </c>
    </row>
    <row r="2800">
      <c r="A2800" s="1" t="s">
        <v>2819</v>
      </c>
      <c r="B2800" s="2">
        <v>20.0</v>
      </c>
      <c r="C2800" s="4"/>
      <c r="E2800" s="4" t="str">
        <f t="array" ref="E2800">XLOOKUP(A2800,'Fintech, Regulatory Arbitrage, '!A:A,'Fintech, Regulatory Arbitrage, '!C:C,"")</f>
        <v/>
      </c>
    </row>
    <row r="2801">
      <c r="A2801" s="1" t="s">
        <v>2820</v>
      </c>
      <c r="B2801" s="2">
        <v>20.0</v>
      </c>
      <c r="C2801" s="4"/>
      <c r="E2801" s="4" t="str">
        <f t="array" ref="E2801">XLOOKUP(A2801,'Fintech, Regulatory Arbitrage, '!A:A,'Fintech, Regulatory Arbitrage, '!C:C,"")</f>
        <v/>
      </c>
    </row>
    <row r="2802">
      <c r="A2802" s="1" t="s">
        <v>2821</v>
      </c>
      <c r="B2802" s="2">
        <v>20.0</v>
      </c>
      <c r="C2802" s="4"/>
      <c r="E2802" s="4" t="str">
        <f t="array" ref="E2802">XLOOKUP(A2802,'Fintech, Regulatory Arbitrage, '!A:A,'Fintech, Regulatory Arbitrage, '!C:C,"")</f>
        <v/>
      </c>
    </row>
    <row r="2803">
      <c r="A2803" s="1" t="s">
        <v>2822</v>
      </c>
      <c r="B2803" s="2">
        <v>20.0</v>
      </c>
      <c r="C2803" s="4"/>
      <c r="E2803" s="4" t="str">
        <f t="array" ref="E2803">XLOOKUP(A2803,'Fintech, Regulatory Arbitrage, '!A:A,'Fintech, Regulatory Arbitrage, '!C:C,"")</f>
        <v/>
      </c>
    </row>
    <row r="2804">
      <c r="A2804" s="1" t="s">
        <v>2823</v>
      </c>
      <c r="B2804" s="2">
        <v>20.0</v>
      </c>
      <c r="C2804" s="4"/>
      <c r="E2804" s="4" t="str">
        <f t="array" ref="E2804">XLOOKUP(A2804,'Fintech, Regulatory Arbitrage, '!A:A,'Fintech, Regulatory Arbitrage, '!C:C,"")</f>
        <v/>
      </c>
    </row>
    <row r="2805">
      <c r="A2805" s="1" t="s">
        <v>2824</v>
      </c>
      <c r="B2805" s="2">
        <v>20.0</v>
      </c>
      <c r="C2805" s="4"/>
      <c r="E2805" s="4" t="str">
        <f t="array" ref="E2805">XLOOKUP(A2805,'Fintech, Regulatory Arbitrage, '!A:A,'Fintech, Regulatory Arbitrage, '!C:C,"")</f>
        <v/>
      </c>
    </row>
    <row r="2806">
      <c r="A2806" s="1" t="s">
        <v>2825</v>
      </c>
      <c r="B2806" s="2">
        <v>20.0</v>
      </c>
      <c r="C2806" s="4"/>
      <c r="E2806" s="4" t="str">
        <f t="array" ref="E2806">XLOOKUP(A2806,'Fintech, Regulatory Arbitrage, '!A:A,'Fintech, Regulatory Arbitrage, '!C:C,"")</f>
        <v/>
      </c>
    </row>
    <row r="2807">
      <c r="A2807" s="1" t="s">
        <v>2826</v>
      </c>
      <c r="B2807" s="2">
        <v>20.0</v>
      </c>
      <c r="C2807" s="4"/>
      <c r="E2807" s="4" t="str">
        <f t="array" ref="E2807">XLOOKUP(A2807,'Fintech, Regulatory Arbitrage, '!A:A,'Fintech, Regulatory Arbitrage, '!C:C,"")</f>
        <v/>
      </c>
    </row>
    <row r="2808">
      <c r="A2808" s="1" t="s">
        <v>2827</v>
      </c>
      <c r="B2808" s="2">
        <v>20.0</v>
      </c>
      <c r="C2808" s="4"/>
      <c r="E2808" s="4" t="str">
        <f t="array" ref="E2808">XLOOKUP(A2808,'Fintech, Regulatory Arbitrage, '!A:A,'Fintech, Regulatory Arbitrage, '!C:C,"")</f>
        <v/>
      </c>
    </row>
    <row r="2809">
      <c r="A2809" s="1" t="s">
        <v>2828</v>
      </c>
      <c r="B2809" s="2">
        <v>20.0</v>
      </c>
      <c r="C2809" s="4"/>
      <c r="E2809" s="4" t="str">
        <f t="array" ref="E2809">XLOOKUP(A2809,'Fintech, Regulatory Arbitrage, '!A:A,'Fintech, Regulatory Arbitrage, '!C:C,"")</f>
        <v/>
      </c>
    </row>
    <row r="2810">
      <c r="A2810" s="1" t="s">
        <v>2829</v>
      </c>
      <c r="B2810" s="2">
        <v>20.0</v>
      </c>
      <c r="C2810" s="4"/>
      <c r="E2810" s="4" t="str">
        <f t="array" ref="E2810">XLOOKUP(A2810,'Fintech, Regulatory Arbitrage, '!A:A,'Fintech, Regulatory Arbitrage, '!C:C,"")</f>
        <v/>
      </c>
    </row>
    <row r="2811">
      <c r="A2811" s="1" t="s">
        <v>2830</v>
      </c>
      <c r="B2811" s="2">
        <v>20.0</v>
      </c>
      <c r="C2811" s="4"/>
      <c r="E2811" s="4" t="str">
        <f t="array" ref="E2811">XLOOKUP(A2811,'Fintech, Regulatory Arbitrage, '!A:A,'Fintech, Regulatory Arbitrage, '!C:C,"")</f>
        <v/>
      </c>
    </row>
    <row r="2812">
      <c r="A2812" s="1" t="s">
        <v>2831</v>
      </c>
      <c r="B2812" s="2">
        <v>20.0</v>
      </c>
      <c r="C2812" s="4"/>
      <c r="E2812" s="4" t="str">
        <f t="array" ref="E2812">XLOOKUP(A2812,'Fintech, Regulatory Arbitrage, '!A:A,'Fintech, Regulatory Arbitrage, '!C:C,"")</f>
        <v/>
      </c>
    </row>
    <row r="2813">
      <c r="A2813" s="1" t="s">
        <v>2832</v>
      </c>
      <c r="B2813" s="2">
        <v>20.0</v>
      </c>
      <c r="C2813" s="4"/>
      <c r="E2813" s="4" t="str">
        <f t="array" ref="E2813">XLOOKUP(A2813,'Fintech, Regulatory Arbitrage, '!A:A,'Fintech, Regulatory Arbitrage, '!C:C,"")</f>
        <v/>
      </c>
    </row>
    <row r="2814">
      <c r="A2814" s="1" t="s">
        <v>2833</v>
      </c>
      <c r="B2814" s="2">
        <v>20.0</v>
      </c>
      <c r="C2814" s="4"/>
      <c r="E2814" s="4" t="str">
        <f t="array" ref="E2814">XLOOKUP(A2814,'Fintech, Regulatory Arbitrage, '!A:A,'Fintech, Regulatory Arbitrage, '!C:C,"")</f>
        <v/>
      </c>
    </row>
    <row r="2815">
      <c r="A2815" s="1" t="s">
        <v>2834</v>
      </c>
      <c r="B2815" s="2">
        <v>20.0</v>
      </c>
      <c r="C2815" s="4"/>
      <c r="E2815" s="4" t="str">
        <f t="array" ref="E2815">XLOOKUP(A2815,'Fintech, Regulatory Arbitrage, '!A:A,'Fintech, Regulatory Arbitrage, '!C:C,"")</f>
        <v/>
      </c>
    </row>
    <row r="2816">
      <c r="A2816" s="1" t="s">
        <v>2835</v>
      </c>
      <c r="B2816" s="2">
        <v>20.0</v>
      </c>
      <c r="C2816" s="4"/>
      <c r="E2816" s="4" t="str">
        <f t="array" ref="E2816">XLOOKUP(A2816,'Fintech, Regulatory Arbitrage, '!A:A,'Fintech, Regulatory Arbitrage, '!C:C,"")</f>
        <v/>
      </c>
    </row>
    <row r="2817">
      <c r="A2817" s="1" t="s">
        <v>2836</v>
      </c>
      <c r="B2817" s="2">
        <v>20.0</v>
      </c>
      <c r="C2817" s="4"/>
      <c r="E2817" s="4" t="str">
        <f t="array" ref="E2817">XLOOKUP(A2817,'Fintech, Regulatory Arbitrage, '!A:A,'Fintech, Regulatory Arbitrage, '!C:C,"")</f>
        <v/>
      </c>
    </row>
    <row r="2818">
      <c r="A2818" s="1" t="s">
        <v>2837</v>
      </c>
      <c r="B2818" s="2">
        <v>20.0</v>
      </c>
      <c r="C2818" s="4"/>
      <c r="E2818" s="4" t="str">
        <f t="array" ref="E2818">XLOOKUP(A2818,'Fintech, Regulatory Arbitrage, '!A:A,'Fintech, Regulatory Arbitrage, '!C:C,"")</f>
        <v/>
      </c>
    </row>
    <row r="2819">
      <c r="A2819" s="1" t="s">
        <v>2838</v>
      </c>
      <c r="B2819" s="2">
        <v>20.0</v>
      </c>
      <c r="C2819" s="4"/>
      <c r="E2819" s="4" t="str">
        <f t="array" ref="E2819">XLOOKUP(A2819,'Fintech, Regulatory Arbitrage, '!A:A,'Fintech, Regulatory Arbitrage, '!C:C,"")</f>
        <v/>
      </c>
    </row>
    <row r="2820">
      <c r="A2820" s="1" t="s">
        <v>2839</v>
      </c>
      <c r="B2820" s="2">
        <v>20.0</v>
      </c>
      <c r="C2820" s="4"/>
      <c r="E2820" s="4" t="str">
        <f t="array" ref="E2820">XLOOKUP(A2820,'Fintech, Regulatory Arbitrage, '!A:A,'Fintech, Regulatory Arbitrage, '!C:C,"")</f>
        <v/>
      </c>
    </row>
    <row r="2821">
      <c r="A2821" s="1" t="s">
        <v>2840</v>
      </c>
      <c r="B2821" s="2">
        <v>20.0</v>
      </c>
      <c r="C2821" s="4"/>
      <c r="E2821" s="4" t="str">
        <f t="array" ref="E2821">XLOOKUP(A2821,'Fintech, Regulatory Arbitrage, '!A:A,'Fintech, Regulatory Arbitrage, '!C:C,"")</f>
        <v/>
      </c>
    </row>
    <row r="2822">
      <c r="A2822" s="1" t="s">
        <v>2841</v>
      </c>
      <c r="B2822" s="2">
        <v>20.0</v>
      </c>
      <c r="C2822" s="4"/>
      <c r="E2822" s="4" t="str">
        <f t="array" ref="E2822">XLOOKUP(A2822,'Fintech, Regulatory Arbitrage, '!A:A,'Fintech, Regulatory Arbitrage, '!C:C,"")</f>
        <v/>
      </c>
    </row>
    <row r="2823">
      <c r="A2823" s="1" t="s">
        <v>2842</v>
      </c>
      <c r="B2823" s="2">
        <v>20.0</v>
      </c>
      <c r="C2823" s="4"/>
      <c r="E2823" s="4" t="str">
        <f t="array" ref="E2823">XLOOKUP(A2823,'Fintech, Regulatory Arbitrage, '!A:A,'Fintech, Regulatory Arbitrage, '!C:C,"")</f>
        <v/>
      </c>
    </row>
    <row r="2824">
      <c r="A2824" s="1" t="s">
        <v>2843</v>
      </c>
      <c r="B2824" s="2">
        <v>20.0</v>
      </c>
      <c r="C2824" s="4"/>
      <c r="E2824" s="4" t="str">
        <f t="array" ref="E2824">XLOOKUP(A2824,'Fintech, Regulatory Arbitrage, '!A:A,'Fintech, Regulatory Arbitrage, '!C:C,"")</f>
        <v/>
      </c>
    </row>
    <row r="2825">
      <c r="A2825" s="1" t="s">
        <v>2844</v>
      </c>
      <c r="B2825" s="2">
        <v>20.0</v>
      </c>
      <c r="C2825" s="4"/>
      <c r="E2825" s="4" t="str">
        <f t="array" ref="E2825">XLOOKUP(A2825,'Fintech, Regulatory Arbitrage, '!A:A,'Fintech, Regulatory Arbitrage, '!C:C,"")</f>
        <v/>
      </c>
    </row>
    <row r="2826">
      <c r="A2826" s="1" t="s">
        <v>2845</v>
      </c>
      <c r="B2826" s="2">
        <v>20.0</v>
      </c>
      <c r="C2826" s="4"/>
      <c r="E2826" s="4" t="str">
        <f t="array" ref="E2826">XLOOKUP(A2826,'Fintech, Regulatory Arbitrage, '!A:A,'Fintech, Regulatory Arbitrage, '!C:C,"")</f>
        <v/>
      </c>
    </row>
    <row r="2827">
      <c r="A2827" s="1" t="s">
        <v>2846</v>
      </c>
      <c r="B2827" s="2">
        <v>20.0</v>
      </c>
      <c r="C2827" s="4"/>
      <c r="E2827" s="4" t="str">
        <f t="array" ref="E2827">XLOOKUP(A2827,'Fintech, Regulatory Arbitrage, '!A:A,'Fintech, Regulatory Arbitrage, '!C:C,"")</f>
        <v/>
      </c>
    </row>
    <row r="2828">
      <c r="A2828" s="1" t="s">
        <v>2847</v>
      </c>
      <c r="B2828" s="2">
        <v>20.0</v>
      </c>
      <c r="C2828" s="4"/>
      <c r="E2828" s="4" t="str">
        <f t="array" ref="E2828">XLOOKUP(A2828,'Fintech, Regulatory Arbitrage, '!A:A,'Fintech, Regulatory Arbitrage, '!C:C,"")</f>
        <v/>
      </c>
    </row>
    <row r="2829">
      <c r="A2829" s="1" t="s">
        <v>2848</v>
      </c>
      <c r="B2829" s="2">
        <v>20.0</v>
      </c>
      <c r="C2829" s="4"/>
      <c r="E2829" s="4" t="str">
        <f t="array" ref="E2829">XLOOKUP(A2829,'Fintech, Regulatory Arbitrage, '!A:A,'Fintech, Regulatory Arbitrage, '!C:C,"")</f>
        <v/>
      </c>
    </row>
    <row r="2830">
      <c r="A2830" s="1" t="s">
        <v>2849</v>
      </c>
      <c r="B2830" s="2">
        <v>20.0</v>
      </c>
      <c r="C2830" s="4"/>
      <c r="E2830" s="4" t="str">
        <f t="array" ref="E2830">XLOOKUP(A2830,'Fintech, Regulatory Arbitrage, '!A:A,'Fintech, Regulatory Arbitrage, '!C:C,"")</f>
        <v/>
      </c>
    </row>
    <row r="2831">
      <c r="A2831" s="1" t="s">
        <v>2850</v>
      </c>
      <c r="B2831" s="2">
        <v>20.0</v>
      </c>
      <c r="C2831" s="4"/>
      <c r="E2831" s="4" t="str">
        <f t="array" ref="E2831">XLOOKUP(A2831,'Fintech, Regulatory Arbitrage, '!A:A,'Fintech, Regulatory Arbitrage, '!C:C,"")</f>
        <v/>
      </c>
    </row>
    <row r="2832">
      <c r="A2832" s="1" t="s">
        <v>2851</v>
      </c>
      <c r="B2832" s="2">
        <v>20.0</v>
      </c>
      <c r="C2832" s="4"/>
      <c r="E2832" s="4" t="str">
        <f t="array" ref="E2832">XLOOKUP(A2832,'Fintech, Regulatory Arbitrage, '!A:A,'Fintech, Regulatory Arbitrage, '!C:C,"")</f>
        <v/>
      </c>
    </row>
    <row r="2833">
      <c r="A2833" s="1" t="s">
        <v>2852</v>
      </c>
      <c r="B2833" s="2">
        <v>20.0</v>
      </c>
      <c r="C2833" s="4"/>
      <c r="E2833" s="4" t="str">
        <f t="array" ref="E2833">XLOOKUP(A2833,'Fintech, Regulatory Arbitrage, '!A:A,'Fintech, Regulatory Arbitrage, '!C:C,"")</f>
        <v/>
      </c>
    </row>
    <row r="2834">
      <c r="A2834" s="1" t="s">
        <v>2853</v>
      </c>
      <c r="B2834" s="2">
        <v>20.0</v>
      </c>
      <c r="C2834" s="4"/>
      <c r="E2834" s="4" t="str">
        <f t="array" ref="E2834">XLOOKUP(A2834,'Fintech, Regulatory Arbitrage, '!A:A,'Fintech, Regulatory Arbitrage, '!C:C,"")</f>
        <v/>
      </c>
    </row>
    <row r="2835">
      <c r="A2835" s="1" t="s">
        <v>2854</v>
      </c>
      <c r="B2835" s="2">
        <v>20.0</v>
      </c>
      <c r="C2835" s="4"/>
      <c r="E2835" s="4" t="str">
        <f t="array" ref="E2835">XLOOKUP(A2835,'Fintech, Regulatory Arbitrage, '!A:A,'Fintech, Regulatory Arbitrage, '!C:C,"")</f>
        <v/>
      </c>
    </row>
    <row r="2836">
      <c r="A2836" s="1" t="s">
        <v>2855</v>
      </c>
      <c r="B2836" s="2">
        <v>20.0</v>
      </c>
      <c r="C2836" s="4"/>
      <c r="E2836" s="4" t="str">
        <f t="array" ref="E2836">XLOOKUP(A2836,'Fintech, Regulatory Arbitrage, '!A:A,'Fintech, Regulatory Arbitrage, '!C:C,"")</f>
        <v/>
      </c>
    </row>
    <row r="2837">
      <c r="A2837" s="1" t="s">
        <v>2856</v>
      </c>
      <c r="B2837" s="2">
        <v>20.0</v>
      </c>
      <c r="C2837" s="4"/>
      <c r="E2837" s="4" t="str">
        <f t="array" ref="E2837">XLOOKUP(A2837,'Fintech, Regulatory Arbitrage, '!A:A,'Fintech, Regulatory Arbitrage, '!C:C,"")</f>
        <v/>
      </c>
    </row>
    <row r="2838">
      <c r="A2838" s="1" t="s">
        <v>2857</v>
      </c>
      <c r="B2838" s="2">
        <v>19.0</v>
      </c>
      <c r="C2838" s="4"/>
      <c r="E2838" s="4" t="str">
        <f t="array" ref="E2838">XLOOKUP(A2838,'Fintech, Regulatory Arbitrage, '!A:A,'Fintech, Regulatory Arbitrage, '!C:C,"")</f>
        <v/>
      </c>
    </row>
    <row r="2839">
      <c r="A2839" s="1" t="s">
        <v>2858</v>
      </c>
      <c r="B2839" s="2">
        <v>19.0</v>
      </c>
      <c r="C2839" s="4"/>
      <c r="E2839" s="4" t="str">
        <f t="array" ref="E2839">XLOOKUP(A2839,'Fintech, Regulatory Arbitrage, '!A:A,'Fintech, Regulatory Arbitrage, '!C:C,"")</f>
        <v/>
      </c>
    </row>
    <row r="2840">
      <c r="A2840" s="1" t="s">
        <v>2859</v>
      </c>
      <c r="B2840" s="2">
        <v>19.0</v>
      </c>
      <c r="C2840" s="4"/>
      <c r="E2840" s="4" t="str">
        <f t="array" ref="E2840">XLOOKUP(A2840,'Fintech, Regulatory Arbitrage, '!A:A,'Fintech, Regulatory Arbitrage, '!C:C,"")</f>
        <v/>
      </c>
    </row>
    <row r="2841">
      <c r="A2841" s="1" t="s">
        <v>2860</v>
      </c>
      <c r="B2841" s="2">
        <v>19.0</v>
      </c>
      <c r="C2841" s="4"/>
      <c r="E2841" s="4" t="str">
        <f t="array" ref="E2841">XLOOKUP(A2841,'Fintech, Regulatory Arbitrage, '!A:A,'Fintech, Regulatory Arbitrage, '!C:C,"")</f>
        <v/>
      </c>
    </row>
    <row r="2842">
      <c r="A2842" s="1" t="s">
        <v>2861</v>
      </c>
      <c r="B2842" s="2">
        <v>19.0</v>
      </c>
      <c r="C2842" s="4"/>
      <c r="E2842" s="4" t="str">
        <f t="array" ref="E2842">XLOOKUP(A2842,'Fintech, Regulatory Arbitrage, '!A:A,'Fintech, Regulatory Arbitrage, '!C:C,"")</f>
        <v/>
      </c>
    </row>
    <row r="2843">
      <c r="A2843" s="1" t="s">
        <v>2862</v>
      </c>
      <c r="B2843" s="2">
        <v>19.0</v>
      </c>
      <c r="C2843" s="4"/>
      <c r="E2843" s="4" t="str">
        <f t="array" ref="E2843">XLOOKUP(A2843,'Fintech, Regulatory Arbitrage, '!A:A,'Fintech, Regulatory Arbitrage, '!C:C,"")</f>
        <v/>
      </c>
    </row>
    <row r="2844">
      <c r="A2844" s="1" t="s">
        <v>2863</v>
      </c>
      <c r="B2844" s="2">
        <v>19.0</v>
      </c>
      <c r="C2844" s="4"/>
      <c r="E2844" s="4" t="str">
        <f t="array" ref="E2844">XLOOKUP(A2844,'Fintech, Regulatory Arbitrage, '!A:A,'Fintech, Regulatory Arbitrage, '!C:C,"")</f>
        <v/>
      </c>
    </row>
    <row r="2845">
      <c r="A2845" s="1" t="s">
        <v>2864</v>
      </c>
      <c r="B2845" s="2">
        <v>19.0</v>
      </c>
      <c r="C2845" s="4"/>
      <c r="E2845" s="4" t="str">
        <f t="array" ref="E2845">XLOOKUP(A2845,'Fintech, Regulatory Arbitrage, '!A:A,'Fintech, Regulatory Arbitrage, '!C:C,"")</f>
        <v/>
      </c>
    </row>
    <row r="2846">
      <c r="A2846" s="1" t="s">
        <v>2865</v>
      </c>
      <c r="B2846" s="2">
        <v>19.0</v>
      </c>
      <c r="C2846" s="4"/>
      <c r="E2846" s="4" t="str">
        <f t="array" ref="E2846">XLOOKUP(A2846,'Fintech, Regulatory Arbitrage, '!A:A,'Fintech, Regulatory Arbitrage, '!C:C,"")</f>
        <v/>
      </c>
    </row>
    <row r="2847">
      <c r="A2847" s="1" t="s">
        <v>2866</v>
      </c>
      <c r="B2847" s="2">
        <v>19.0</v>
      </c>
      <c r="C2847" s="4"/>
      <c r="E2847" s="4" t="str">
        <f t="array" ref="E2847">XLOOKUP(A2847,'Fintech, Regulatory Arbitrage, '!A:A,'Fintech, Regulatory Arbitrage, '!C:C,"")</f>
        <v/>
      </c>
    </row>
    <row r="2848">
      <c r="A2848" s="1" t="s">
        <v>2867</v>
      </c>
      <c r="B2848" s="2">
        <v>19.0</v>
      </c>
      <c r="C2848" s="4"/>
      <c r="E2848" s="4" t="str">
        <f t="array" ref="E2848">XLOOKUP(A2848,'Fintech, Regulatory Arbitrage, '!A:A,'Fintech, Regulatory Arbitrage, '!C:C,"")</f>
        <v/>
      </c>
    </row>
    <row r="2849">
      <c r="A2849" s="1" t="s">
        <v>2868</v>
      </c>
      <c r="B2849" s="2">
        <v>19.0</v>
      </c>
      <c r="C2849" s="4"/>
      <c r="E2849" s="4" t="str">
        <f t="array" ref="E2849">XLOOKUP(A2849,'Fintech, Regulatory Arbitrage, '!A:A,'Fintech, Regulatory Arbitrage, '!C:C,"")</f>
        <v/>
      </c>
    </row>
    <row r="2850">
      <c r="A2850" s="1" t="s">
        <v>2869</v>
      </c>
      <c r="B2850" s="2">
        <v>19.0</v>
      </c>
      <c r="C2850" s="4"/>
      <c r="E2850" s="4" t="str">
        <f t="array" ref="E2850">XLOOKUP(A2850,'Fintech, Regulatory Arbitrage, '!A:A,'Fintech, Regulatory Arbitrage, '!C:C,"")</f>
        <v/>
      </c>
    </row>
    <row r="2851">
      <c r="A2851" s="1" t="s">
        <v>2870</v>
      </c>
      <c r="B2851" s="2">
        <v>19.0</v>
      </c>
      <c r="C2851" s="4"/>
      <c r="E2851" s="4" t="str">
        <f t="array" ref="E2851">XLOOKUP(A2851,'Fintech, Regulatory Arbitrage, '!A:A,'Fintech, Regulatory Arbitrage, '!C:C,"")</f>
        <v/>
      </c>
    </row>
    <row r="2852">
      <c r="A2852" s="1" t="s">
        <v>2871</v>
      </c>
      <c r="B2852" s="2">
        <v>19.0</v>
      </c>
      <c r="C2852" s="4"/>
      <c r="E2852" s="4" t="str">
        <f t="array" ref="E2852">XLOOKUP(A2852,'Fintech, Regulatory Arbitrage, '!A:A,'Fintech, Regulatory Arbitrage, '!C:C,"")</f>
        <v/>
      </c>
    </row>
    <row r="2853">
      <c r="A2853" s="1" t="s">
        <v>2872</v>
      </c>
      <c r="B2853" s="2">
        <v>19.0</v>
      </c>
      <c r="C2853" s="4"/>
      <c r="E2853" s="4" t="str">
        <f t="array" ref="E2853">XLOOKUP(A2853,'Fintech, Regulatory Arbitrage, '!A:A,'Fintech, Regulatory Arbitrage, '!C:C,"")</f>
        <v/>
      </c>
    </row>
    <row r="2854">
      <c r="A2854" s="1" t="s">
        <v>2873</v>
      </c>
      <c r="B2854" s="2">
        <v>19.0</v>
      </c>
      <c r="C2854" s="4"/>
      <c r="E2854" s="4" t="str">
        <f t="array" ref="E2854">XLOOKUP(A2854,'Fintech, Regulatory Arbitrage, '!A:A,'Fintech, Regulatory Arbitrage, '!C:C,"")</f>
        <v/>
      </c>
    </row>
    <row r="2855">
      <c r="A2855" s="1" t="s">
        <v>2874</v>
      </c>
      <c r="B2855" s="2">
        <v>19.0</v>
      </c>
      <c r="C2855" s="4"/>
      <c r="E2855" s="4" t="str">
        <f t="array" ref="E2855">XLOOKUP(A2855,'Fintech, Regulatory Arbitrage, '!A:A,'Fintech, Regulatory Arbitrage, '!C:C,"")</f>
        <v/>
      </c>
    </row>
    <row r="2856">
      <c r="A2856" s="1" t="s">
        <v>2875</v>
      </c>
      <c r="B2856" s="2">
        <v>19.0</v>
      </c>
      <c r="C2856" s="4"/>
      <c r="E2856" s="4" t="str">
        <f t="array" ref="E2856">XLOOKUP(A2856,'Fintech, Regulatory Arbitrage, '!A:A,'Fintech, Regulatory Arbitrage, '!C:C,"")</f>
        <v/>
      </c>
    </row>
    <row r="2857">
      <c r="A2857" s="1" t="s">
        <v>2876</v>
      </c>
      <c r="B2857" s="2">
        <v>19.0</v>
      </c>
      <c r="C2857" s="4"/>
      <c r="E2857" s="4" t="str">
        <f t="array" ref="E2857">XLOOKUP(A2857,'Fintech, Regulatory Arbitrage, '!A:A,'Fintech, Regulatory Arbitrage, '!C:C,"")</f>
        <v/>
      </c>
    </row>
    <row r="2858">
      <c r="A2858" s="1" t="s">
        <v>2877</v>
      </c>
      <c r="B2858" s="2">
        <v>19.0</v>
      </c>
      <c r="C2858" s="4"/>
      <c r="E2858" s="4" t="str">
        <f t="array" ref="E2858">XLOOKUP(A2858,'Fintech, Regulatory Arbitrage, '!A:A,'Fintech, Regulatory Arbitrage, '!C:C,"")</f>
        <v/>
      </c>
    </row>
    <row r="2859">
      <c r="A2859" s="1" t="s">
        <v>2878</v>
      </c>
      <c r="B2859" s="2">
        <v>19.0</v>
      </c>
      <c r="C2859" s="4"/>
      <c r="E2859" s="4" t="str">
        <f t="array" ref="E2859">XLOOKUP(A2859,'Fintech, Regulatory Arbitrage, '!A:A,'Fintech, Regulatory Arbitrage, '!C:C,"")</f>
        <v/>
      </c>
    </row>
    <row r="2860">
      <c r="A2860" s="1" t="s">
        <v>2879</v>
      </c>
      <c r="B2860" s="2">
        <v>19.0</v>
      </c>
      <c r="C2860" s="4"/>
      <c r="E2860" s="4" t="str">
        <f t="array" ref="E2860">XLOOKUP(A2860,'Fintech, Regulatory Arbitrage, '!A:A,'Fintech, Regulatory Arbitrage, '!C:C,"")</f>
        <v/>
      </c>
    </row>
    <row r="2861">
      <c r="A2861" s="1" t="s">
        <v>2880</v>
      </c>
      <c r="B2861" s="2">
        <v>19.0</v>
      </c>
      <c r="C2861" s="4"/>
      <c r="E2861" s="4" t="str">
        <f t="array" ref="E2861">XLOOKUP(A2861,'Fintech, Regulatory Arbitrage, '!A:A,'Fintech, Regulatory Arbitrage, '!C:C,"")</f>
        <v/>
      </c>
    </row>
    <row r="2862">
      <c r="A2862" s="1" t="s">
        <v>2881</v>
      </c>
      <c r="B2862" s="2">
        <v>19.0</v>
      </c>
      <c r="C2862" s="4"/>
      <c r="E2862" s="4" t="str">
        <f t="array" ref="E2862">XLOOKUP(A2862,'Fintech, Regulatory Arbitrage, '!A:A,'Fintech, Regulatory Arbitrage, '!C:C,"")</f>
        <v/>
      </c>
    </row>
    <row r="2863">
      <c r="A2863" s="1" t="s">
        <v>2882</v>
      </c>
      <c r="B2863" s="2">
        <v>19.0</v>
      </c>
      <c r="C2863" s="4"/>
      <c r="E2863" s="4" t="str">
        <f t="array" ref="E2863">XLOOKUP(A2863,'Fintech, Regulatory Arbitrage, '!A:A,'Fintech, Regulatory Arbitrage, '!C:C,"")</f>
        <v/>
      </c>
    </row>
    <row r="2864">
      <c r="A2864" s="1" t="s">
        <v>2883</v>
      </c>
      <c r="B2864" s="2">
        <v>19.0</v>
      </c>
      <c r="C2864" s="4"/>
      <c r="E2864" s="4" t="str">
        <f t="array" ref="E2864">XLOOKUP(A2864,'Fintech, Regulatory Arbitrage, '!A:A,'Fintech, Regulatory Arbitrage, '!C:C,"")</f>
        <v/>
      </c>
    </row>
    <row r="2865">
      <c r="A2865" s="1" t="s">
        <v>2884</v>
      </c>
      <c r="B2865" s="2">
        <v>19.0</v>
      </c>
      <c r="C2865" s="4"/>
      <c r="E2865" s="4" t="str">
        <f t="array" ref="E2865">XLOOKUP(A2865,'Fintech, Regulatory Arbitrage, '!A:A,'Fintech, Regulatory Arbitrage, '!C:C,"")</f>
        <v/>
      </c>
    </row>
    <row r="2866">
      <c r="A2866" s="1" t="s">
        <v>2885</v>
      </c>
      <c r="B2866" s="2">
        <v>19.0</v>
      </c>
      <c r="C2866" s="4"/>
      <c r="E2866" s="4" t="str">
        <f t="array" ref="E2866">XLOOKUP(A2866,'Fintech, Regulatory Arbitrage, '!A:A,'Fintech, Regulatory Arbitrage, '!C:C,"")</f>
        <v/>
      </c>
    </row>
    <row r="2867">
      <c r="A2867" s="1" t="s">
        <v>2886</v>
      </c>
      <c r="B2867" s="2">
        <v>19.0</v>
      </c>
      <c r="C2867" s="4"/>
      <c r="E2867" s="4" t="str">
        <f t="array" ref="E2867">XLOOKUP(A2867,'Fintech, Regulatory Arbitrage, '!A:A,'Fintech, Regulatory Arbitrage, '!C:C,"")</f>
        <v/>
      </c>
    </row>
    <row r="2868">
      <c r="A2868" s="1" t="s">
        <v>2887</v>
      </c>
      <c r="B2868" s="2">
        <v>19.0</v>
      </c>
      <c r="C2868" s="4"/>
      <c r="E2868" s="4" t="str">
        <f t="array" ref="E2868">XLOOKUP(A2868,'Fintech, Regulatory Arbitrage, '!A:A,'Fintech, Regulatory Arbitrage, '!C:C,"")</f>
        <v/>
      </c>
    </row>
    <row r="2869">
      <c r="A2869" s="1" t="s">
        <v>2888</v>
      </c>
      <c r="B2869" s="2">
        <v>19.0</v>
      </c>
      <c r="C2869" s="4"/>
      <c r="E2869" s="4" t="str">
        <f t="array" ref="E2869">XLOOKUP(A2869,'Fintech, Regulatory Arbitrage, '!A:A,'Fintech, Regulatory Arbitrage, '!C:C,"")</f>
        <v/>
      </c>
    </row>
    <row r="2870">
      <c r="A2870" s="1" t="s">
        <v>2889</v>
      </c>
      <c r="B2870" s="2">
        <v>19.0</v>
      </c>
      <c r="C2870" s="4"/>
      <c r="E2870" s="4" t="str">
        <f t="array" ref="E2870">XLOOKUP(A2870,'Fintech, Regulatory Arbitrage, '!A:A,'Fintech, Regulatory Arbitrage, '!C:C,"")</f>
        <v/>
      </c>
    </row>
    <row r="2871">
      <c r="A2871" s="1" t="s">
        <v>2890</v>
      </c>
      <c r="B2871" s="2">
        <v>19.0</v>
      </c>
      <c r="C2871" s="4"/>
      <c r="E2871" s="4" t="str">
        <f t="array" ref="E2871">XLOOKUP(A2871,'Fintech, Regulatory Arbitrage, '!A:A,'Fintech, Regulatory Arbitrage, '!C:C,"")</f>
        <v/>
      </c>
    </row>
    <row r="2872">
      <c r="A2872" s="1" t="s">
        <v>2891</v>
      </c>
      <c r="B2872" s="2">
        <v>19.0</v>
      </c>
      <c r="C2872" s="4"/>
      <c r="E2872" s="4" t="str">
        <f t="array" ref="E2872">XLOOKUP(A2872,'Fintech, Regulatory Arbitrage, '!A:A,'Fintech, Regulatory Arbitrage, '!C:C,"")</f>
        <v/>
      </c>
    </row>
    <row r="2873">
      <c r="A2873" s="1" t="s">
        <v>2892</v>
      </c>
      <c r="B2873" s="2">
        <v>19.0</v>
      </c>
      <c r="C2873" s="4"/>
      <c r="E2873" s="4" t="str">
        <f t="array" ref="E2873">XLOOKUP(A2873,'Fintech, Regulatory Arbitrage, '!A:A,'Fintech, Regulatory Arbitrage, '!C:C,"")</f>
        <v/>
      </c>
    </row>
    <row r="2874">
      <c r="A2874" s="1" t="s">
        <v>2893</v>
      </c>
      <c r="B2874" s="2">
        <v>19.0</v>
      </c>
      <c r="C2874" s="4"/>
      <c r="E2874" s="4" t="str">
        <f t="array" ref="E2874">XLOOKUP(A2874,'Fintech, Regulatory Arbitrage, '!A:A,'Fintech, Regulatory Arbitrage, '!C:C,"")</f>
        <v/>
      </c>
    </row>
    <row r="2875">
      <c r="A2875" s="1" t="s">
        <v>2894</v>
      </c>
      <c r="B2875" s="2">
        <v>19.0</v>
      </c>
      <c r="C2875" s="4"/>
      <c r="E2875" s="4" t="str">
        <f t="array" ref="E2875">XLOOKUP(A2875,'Fintech, Regulatory Arbitrage, '!A:A,'Fintech, Regulatory Arbitrage, '!C:C,"")</f>
        <v/>
      </c>
    </row>
    <row r="2876">
      <c r="A2876" s="1" t="s">
        <v>2895</v>
      </c>
      <c r="B2876" s="2">
        <v>19.0</v>
      </c>
      <c r="C2876" s="4"/>
      <c r="E2876" s="4" t="str">
        <f t="array" ref="E2876">XLOOKUP(A2876,'Fintech, Regulatory Arbitrage, '!A:A,'Fintech, Regulatory Arbitrage, '!C:C,"")</f>
        <v/>
      </c>
    </row>
    <row r="2877">
      <c r="A2877" s="1" t="s">
        <v>2896</v>
      </c>
      <c r="B2877" s="2">
        <v>19.0</v>
      </c>
      <c r="C2877" s="4"/>
      <c r="E2877" s="4" t="str">
        <f t="array" ref="E2877">XLOOKUP(A2877,'Fintech, Regulatory Arbitrage, '!A:A,'Fintech, Regulatory Arbitrage, '!C:C,"")</f>
        <v/>
      </c>
    </row>
    <row r="2878">
      <c r="A2878" s="1" t="s">
        <v>2897</v>
      </c>
      <c r="B2878" s="2">
        <v>19.0</v>
      </c>
      <c r="C2878" s="4"/>
      <c r="E2878" s="4" t="str">
        <f t="array" ref="E2878">XLOOKUP(A2878,'Fintech, Regulatory Arbitrage, '!A:A,'Fintech, Regulatory Arbitrage, '!C:C,"")</f>
        <v/>
      </c>
    </row>
    <row r="2879">
      <c r="A2879" s="1" t="s">
        <v>2898</v>
      </c>
      <c r="B2879" s="2">
        <v>19.0</v>
      </c>
      <c r="C2879" s="4"/>
      <c r="E2879" s="4" t="str">
        <f t="array" ref="E2879">XLOOKUP(A2879,'Fintech, Regulatory Arbitrage, '!A:A,'Fintech, Regulatory Arbitrage, '!C:C,"")</f>
        <v/>
      </c>
    </row>
    <row r="2880">
      <c r="A2880" s="1" t="s">
        <v>2899</v>
      </c>
      <c r="B2880" s="2">
        <v>19.0</v>
      </c>
      <c r="C2880" s="4"/>
      <c r="E2880" s="4" t="str">
        <f t="array" ref="E2880">XLOOKUP(A2880,'Fintech, Regulatory Arbitrage, '!A:A,'Fintech, Regulatory Arbitrage, '!C:C,"")</f>
        <v/>
      </c>
    </row>
    <row r="2881">
      <c r="A2881" s="1" t="s">
        <v>2900</v>
      </c>
      <c r="B2881" s="2">
        <v>19.0</v>
      </c>
      <c r="C2881" s="4"/>
      <c r="E2881" s="4" t="str">
        <f t="array" ref="E2881">XLOOKUP(A2881,'Fintech, Regulatory Arbitrage, '!A:A,'Fintech, Regulatory Arbitrage, '!C:C,"")</f>
        <v/>
      </c>
    </row>
    <row r="2882">
      <c r="A2882" s="1" t="s">
        <v>2901</v>
      </c>
      <c r="B2882" s="2">
        <v>19.0</v>
      </c>
      <c r="C2882" s="4"/>
      <c r="E2882" s="4" t="str">
        <f t="array" ref="E2882">XLOOKUP(A2882,'Fintech, Regulatory Arbitrage, '!A:A,'Fintech, Regulatory Arbitrage, '!C:C,"")</f>
        <v/>
      </c>
    </row>
    <row r="2883">
      <c r="A2883" s="1" t="s">
        <v>2902</v>
      </c>
      <c r="B2883" s="2">
        <v>19.0</v>
      </c>
      <c r="C2883" s="4"/>
      <c r="E2883" s="4" t="str">
        <f t="array" ref="E2883">XLOOKUP(A2883,'Fintech, Regulatory Arbitrage, '!A:A,'Fintech, Regulatory Arbitrage, '!C:C,"")</f>
        <v/>
      </c>
    </row>
    <row r="2884">
      <c r="A2884" s="1" t="s">
        <v>2903</v>
      </c>
      <c r="B2884" s="2">
        <v>19.0</v>
      </c>
      <c r="C2884" s="4"/>
      <c r="E2884" s="4" t="str">
        <f t="array" ref="E2884">XLOOKUP(A2884,'Fintech, Regulatory Arbitrage, '!A:A,'Fintech, Regulatory Arbitrage, '!C:C,"")</f>
        <v/>
      </c>
    </row>
    <row r="2885">
      <c r="A2885" s="1" t="s">
        <v>2904</v>
      </c>
      <c r="B2885" s="2">
        <v>19.0</v>
      </c>
      <c r="C2885" s="4"/>
      <c r="E2885" s="4" t="str">
        <f t="array" ref="E2885">XLOOKUP(A2885,'Fintech, Regulatory Arbitrage, '!A:A,'Fintech, Regulatory Arbitrage, '!C:C,"")</f>
        <v/>
      </c>
    </row>
    <row r="2886">
      <c r="A2886" s="1" t="s">
        <v>2905</v>
      </c>
      <c r="B2886" s="2">
        <v>19.0</v>
      </c>
      <c r="C2886" s="4"/>
      <c r="E2886" s="4" t="str">
        <f t="array" ref="E2886">XLOOKUP(A2886,'Fintech, Regulatory Arbitrage, '!A:A,'Fintech, Regulatory Arbitrage, '!C:C,"")</f>
        <v/>
      </c>
    </row>
    <row r="2887">
      <c r="A2887" s="1" t="s">
        <v>2906</v>
      </c>
      <c r="B2887" s="2">
        <v>19.0</v>
      </c>
      <c r="C2887" s="4"/>
      <c r="E2887" s="4" t="str">
        <f t="array" ref="E2887">XLOOKUP(A2887,'Fintech, Regulatory Arbitrage, '!A:A,'Fintech, Regulatory Arbitrage, '!C:C,"")</f>
        <v/>
      </c>
    </row>
    <row r="2888">
      <c r="A2888" s="1" t="s">
        <v>2907</v>
      </c>
      <c r="B2888" s="2">
        <v>19.0</v>
      </c>
      <c r="C2888" s="4"/>
      <c r="E2888" s="4" t="str">
        <f t="array" ref="E2888">XLOOKUP(A2888,'Fintech, Regulatory Arbitrage, '!A:A,'Fintech, Regulatory Arbitrage, '!C:C,"")</f>
        <v/>
      </c>
    </row>
    <row r="2889">
      <c r="A2889" s="1" t="s">
        <v>2908</v>
      </c>
      <c r="B2889" s="2">
        <v>19.0</v>
      </c>
      <c r="C2889" s="4"/>
      <c r="E2889" s="4" t="str">
        <f t="array" ref="E2889">XLOOKUP(A2889,'Fintech, Regulatory Arbitrage, '!A:A,'Fintech, Regulatory Arbitrage, '!C:C,"")</f>
        <v/>
      </c>
    </row>
    <row r="2890">
      <c r="A2890" s="1" t="s">
        <v>2909</v>
      </c>
      <c r="B2890" s="2">
        <v>19.0</v>
      </c>
      <c r="C2890" s="4"/>
      <c r="E2890" s="4" t="str">
        <f t="array" ref="E2890">XLOOKUP(A2890,'Fintech, Regulatory Arbitrage, '!A:A,'Fintech, Regulatory Arbitrage, '!C:C,"")</f>
        <v/>
      </c>
    </row>
    <row r="2891">
      <c r="A2891" s="1" t="s">
        <v>2910</v>
      </c>
      <c r="B2891" s="2">
        <v>19.0</v>
      </c>
      <c r="C2891" s="4"/>
      <c r="E2891" s="4" t="str">
        <f t="array" ref="E2891">XLOOKUP(A2891,'Fintech, Regulatory Arbitrage, '!A:A,'Fintech, Regulatory Arbitrage, '!C:C,"")</f>
        <v/>
      </c>
    </row>
    <row r="2892">
      <c r="A2892" s="1" t="s">
        <v>2911</v>
      </c>
      <c r="B2892" s="2">
        <v>19.0</v>
      </c>
      <c r="C2892" s="4"/>
      <c r="E2892" s="4" t="str">
        <f t="array" ref="E2892">XLOOKUP(A2892,'Fintech, Regulatory Arbitrage, '!A:A,'Fintech, Regulatory Arbitrage, '!C:C,"")</f>
        <v/>
      </c>
    </row>
    <row r="2893">
      <c r="A2893" s="1" t="s">
        <v>2912</v>
      </c>
      <c r="B2893" s="2">
        <v>19.0</v>
      </c>
      <c r="C2893" s="4"/>
      <c r="E2893" s="4" t="str">
        <f t="array" ref="E2893">XLOOKUP(A2893,'Fintech, Regulatory Arbitrage, '!A:A,'Fintech, Regulatory Arbitrage, '!C:C,"")</f>
        <v/>
      </c>
    </row>
    <row r="2894">
      <c r="A2894" s="1" t="s">
        <v>2913</v>
      </c>
      <c r="B2894" s="2">
        <v>19.0</v>
      </c>
      <c r="C2894" s="4"/>
      <c r="E2894" s="4" t="str">
        <f t="array" ref="E2894">XLOOKUP(A2894,'Fintech, Regulatory Arbitrage, '!A:A,'Fintech, Regulatory Arbitrage, '!C:C,"")</f>
        <v/>
      </c>
    </row>
    <row r="2895">
      <c r="A2895" s="1" t="s">
        <v>2914</v>
      </c>
      <c r="B2895" s="2">
        <v>19.0</v>
      </c>
      <c r="C2895" s="4"/>
      <c r="E2895" s="4" t="str">
        <f t="array" ref="E2895">XLOOKUP(A2895,'Fintech, Regulatory Arbitrage, '!A:A,'Fintech, Regulatory Arbitrage, '!C:C,"")</f>
        <v/>
      </c>
    </row>
    <row r="2896">
      <c r="A2896" s="1" t="s">
        <v>2915</v>
      </c>
      <c r="B2896" s="2">
        <v>19.0</v>
      </c>
      <c r="C2896" s="4"/>
      <c r="E2896" s="4" t="str">
        <f t="array" ref="E2896">XLOOKUP(A2896,'Fintech, Regulatory Arbitrage, '!A:A,'Fintech, Regulatory Arbitrage, '!C:C,"")</f>
        <v/>
      </c>
    </row>
    <row r="2897">
      <c r="A2897" s="1" t="s">
        <v>2916</v>
      </c>
      <c r="B2897" s="2">
        <v>19.0</v>
      </c>
      <c r="C2897" s="4"/>
      <c r="E2897" s="4" t="str">
        <f t="array" ref="E2897">XLOOKUP(A2897,'Fintech, Regulatory Arbitrage, '!A:A,'Fintech, Regulatory Arbitrage, '!C:C,"")</f>
        <v/>
      </c>
    </row>
    <row r="2898">
      <c r="A2898" s="1" t="s">
        <v>2917</v>
      </c>
      <c r="B2898" s="2">
        <v>19.0</v>
      </c>
      <c r="C2898" s="4"/>
      <c r="E2898" s="4" t="str">
        <f t="array" ref="E2898">XLOOKUP(A2898,'Fintech, Regulatory Arbitrage, '!A:A,'Fintech, Regulatory Arbitrage, '!C:C,"")</f>
        <v/>
      </c>
    </row>
    <row r="2899">
      <c r="A2899" s="1" t="s">
        <v>2918</v>
      </c>
      <c r="B2899" s="2">
        <v>18.0</v>
      </c>
      <c r="C2899" s="4"/>
      <c r="E2899" s="4" t="str">
        <f t="array" ref="E2899">XLOOKUP(A2899,'Fintech, Regulatory Arbitrage, '!A:A,'Fintech, Regulatory Arbitrage, '!C:C,"")</f>
        <v/>
      </c>
    </row>
    <row r="2900">
      <c r="A2900" s="1" t="s">
        <v>2919</v>
      </c>
      <c r="B2900" s="2">
        <v>18.0</v>
      </c>
      <c r="C2900" s="4"/>
      <c r="E2900" s="4" t="str">
        <f t="array" ref="E2900">XLOOKUP(A2900,'Fintech, Regulatory Arbitrage, '!A:A,'Fintech, Regulatory Arbitrage, '!C:C,"")</f>
        <v/>
      </c>
    </row>
    <row r="2901">
      <c r="A2901" s="1" t="s">
        <v>2920</v>
      </c>
      <c r="B2901" s="2">
        <v>18.0</v>
      </c>
      <c r="C2901" s="4"/>
      <c r="E2901" s="4" t="str">
        <f t="array" ref="E2901">XLOOKUP(A2901,'Fintech, Regulatory Arbitrage, '!A:A,'Fintech, Regulatory Arbitrage, '!C:C,"")</f>
        <v/>
      </c>
    </row>
    <row r="2902">
      <c r="A2902" s="1" t="s">
        <v>2921</v>
      </c>
      <c r="B2902" s="2">
        <v>18.0</v>
      </c>
      <c r="C2902" s="4"/>
      <c r="E2902" s="4" t="str">
        <f t="array" ref="E2902">XLOOKUP(A2902,'Fintech, Regulatory Arbitrage, '!A:A,'Fintech, Regulatory Arbitrage, '!C:C,"")</f>
        <v/>
      </c>
    </row>
    <row r="2903">
      <c r="A2903" s="1" t="s">
        <v>2922</v>
      </c>
      <c r="B2903" s="2">
        <v>18.0</v>
      </c>
      <c r="C2903" s="4"/>
      <c r="E2903" s="4" t="str">
        <f t="array" ref="E2903">XLOOKUP(A2903,'Fintech, Regulatory Arbitrage, '!A:A,'Fintech, Regulatory Arbitrage, '!C:C,"")</f>
        <v/>
      </c>
    </row>
    <row r="2904">
      <c r="A2904" s="1" t="s">
        <v>2923</v>
      </c>
      <c r="B2904" s="2">
        <v>18.0</v>
      </c>
      <c r="C2904" s="4"/>
      <c r="E2904" s="4" t="str">
        <f t="array" ref="E2904">XLOOKUP(A2904,'Fintech, Regulatory Arbitrage, '!A:A,'Fintech, Regulatory Arbitrage, '!C:C,"")</f>
        <v/>
      </c>
    </row>
    <row r="2905">
      <c r="A2905" s="1" t="s">
        <v>2924</v>
      </c>
      <c r="B2905" s="2">
        <v>18.0</v>
      </c>
      <c r="C2905" s="4"/>
      <c r="E2905" s="4" t="str">
        <f t="array" ref="E2905">XLOOKUP(A2905,'Fintech, Regulatory Arbitrage, '!A:A,'Fintech, Regulatory Arbitrage, '!C:C,"")</f>
        <v/>
      </c>
    </row>
    <row r="2906">
      <c r="A2906" s="1" t="s">
        <v>2925</v>
      </c>
      <c r="B2906" s="2">
        <v>18.0</v>
      </c>
      <c r="C2906" s="4"/>
      <c r="E2906" s="4" t="str">
        <f t="array" ref="E2906">XLOOKUP(A2906,'Fintech, Regulatory Arbitrage, '!A:A,'Fintech, Regulatory Arbitrage, '!C:C,"")</f>
        <v/>
      </c>
    </row>
    <row r="2907">
      <c r="A2907" s="1" t="s">
        <v>2926</v>
      </c>
      <c r="B2907" s="2">
        <v>18.0</v>
      </c>
      <c r="C2907" s="4"/>
      <c r="E2907" s="4" t="str">
        <f t="array" ref="E2907">XLOOKUP(A2907,'Fintech, Regulatory Arbitrage, '!A:A,'Fintech, Regulatory Arbitrage, '!C:C,"")</f>
        <v/>
      </c>
    </row>
    <row r="2908">
      <c r="A2908" s="1" t="s">
        <v>2927</v>
      </c>
      <c r="B2908" s="2">
        <v>18.0</v>
      </c>
      <c r="C2908" s="4"/>
      <c r="E2908" s="4" t="str">
        <f t="array" ref="E2908">XLOOKUP(A2908,'Fintech, Regulatory Arbitrage, '!A:A,'Fintech, Regulatory Arbitrage, '!C:C,"")</f>
        <v/>
      </c>
    </row>
    <row r="2909">
      <c r="A2909" s="1" t="s">
        <v>2928</v>
      </c>
      <c r="B2909" s="2">
        <v>18.0</v>
      </c>
      <c r="C2909" s="4"/>
      <c r="E2909" s="4" t="str">
        <f t="array" ref="E2909">XLOOKUP(A2909,'Fintech, Regulatory Arbitrage, '!A:A,'Fintech, Regulatory Arbitrage, '!C:C,"")</f>
        <v/>
      </c>
    </row>
    <row r="2910">
      <c r="A2910" s="1" t="s">
        <v>2929</v>
      </c>
      <c r="B2910" s="2">
        <v>18.0</v>
      </c>
      <c r="C2910" s="4"/>
      <c r="E2910" s="4" t="str">
        <f t="array" ref="E2910">XLOOKUP(A2910,'Fintech, Regulatory Arbitrage, '!A:A,'Fintech, Regulatory Arbitrage, '!C:C,"")</f>
        <v/>
      </c>
    </row>
    <row r="2911">
      <c r="A2911" s="1" t="s">
        <v>2930</v>
      </c>
      <c r="B2911" s="2">
        <v>18.0</v>
      </c>
      <c r="C2911" s="4"/>
      <c r="E2911" s="4" t="str">
        <f t="array" ref="E2911">XLOOKUP(A2911,'Fintech, Regulatory Arbitrage, '!A:A,'Fintech, Regulatory Arbitrage, '!C:C,"")</f>
        <v/>
      </c>
    </row>
    <row r="2912">
      <c r="A2912" s="1" t="s">
        <v>2931</v>
      </c>
      <c r="B2912" s="2">
        <v>18.0</v>
      </c>
      <c r="C2912" s="4"/>
      <c r="E2912" s="4" t="str">
        <f t="array" ref="E2912">XLOOKUP(A2912,'Fintech, Regulatory Arbitrage, '!A:A,'Fintech, Regulatory Arbitrage, '!C:C,"")</f>
        <v/>
      </c>
    </row>
    <row r="2913">
      <c r="A2913" s="1" t="s">
        <v>2932</v>
      </c>
      <c r="B2913" s="2">
        <v>18.0</v>
      </c>
      <c r="C2913" s="4"/>
      <c r="E2913" s="4" t="str">
        <f t="array" ref="E2913">XLOOKUP(A2913,'Fintech, Regulatory Arbitrage, '!A:A,'Fintech, Regulatory Arbitrage, '!C:C,"")</f>
        <v/>
      </c>
    </row>
    <row r="2914">
      <c r="A2914" s="1" t="s">
        <v>2933</v>
      </c>
      <c r="B2914" s="2">
        <v>18.0</v>
      </c>
      <c r="C2914" s="4"/>
      <c r="E2914" s="4" t="str">
        <f t="array" ref="E2914">XLOOKUP(A2914,'Fintech, Regulatory Arbitrage, '!A:A,'Fintech, Regulatory Arbitrage, '!C:C,"")</f>
        <v/>
      </c>
    </row>
    <row r="2915">
      <c r="A2915" s="1" t="s">
        <v>2934</v>
      </c>
      <c r="B2915" s="2">
        <v>18.0</v>
      </c>
      <c r="C2915" s="4"/>
      <c r="E2915" s="4" t="str">
        <f t="array" ref="E2915">XLOOKUP(A2915,'Fintech, Regulatory Arbitrage, '!A:A,'Fintech, Regulatory Arbitrage, '!C:C,"")</f>
        <v/>
      </c>
    </row>
    <row r="2916">
      <c r="A2916" s="1" t="s">
        <v>2935</v>
      </c>
      <c r="B2916" s="2">
        <v>18.0</v>
      </c>
      <c r="C2916" s="4"/>
      <c r="E2916" s="4" t="str">
        <f t="array" ref="E2916">XLOOKUP(A2916,'Fintech, Regulatory Arbitrage, '!A:A,'Fintech, Regulatory Arbitrage, '!C:C,"")</f>
        <v/>
      </c>
    </row>
    <row r="2917">
      <c r="A2917" s="1" t="s">
        <v>2936</v>
      </c>
      <c r="B2917" s="2">
        <v>18.0</v>
      </c>
      <c r="C2917" s="4"/>
      <c r="E2917" s="4" t="str">
        <f t="array" ref="E2917">XLOOKUP(A2917,'Fintech, Regulatory Arbitrage, '!A:A,'Fintech, Regulatory Arbitrage, '!C:C,"")</f>
        <v/>
      </c>
    </row>
    <row r="2918">
      <c r="A2918" s="1" t="s">
        <v>2937</v>
      </c>
      <c r="B2918" s="2">
        <v>18.0</v>
      </c>
      <c r="C2918" s="4"/>
      <c r="E2918" s="4" t="str">
        <f t="array" ref="E2918">XLOOKUP(A2918,'Fintech, Regulatory Arbitrage, '!A:A,'Fintech, Regulatory Arbitrage, '!C:C,"")</f>
        <v/>
      </c>
    </row>
    <row r="2919">
      <c r="A2919" s="1" t="s">
        <v>2938</v>
      </c>
      <c r="B2919" s="2">
        <v>18.0</v>
      </c>
      <c r="C2919" s="4"/>
      <c r="E2919" s="4" t="str">
        <f t="array" ref="E2919">XLOOKUP(A2919,'Fintech, Regulatory Arbitrage, '!A:A,'Fintech, Regulatory Arbitrage, '!C:C,"")</f>
        <v/>
      </c>
    </row>
    <row r="2920">
      <c r="A2920" s="1" t="s">
        <v>2939</v>
      </c>
      <c r="B2920" s="2">
        <v>18.0</v>
      </c>
      <c r="C2920" s="4"/>
      <c r="E2920" s="4" t="str">
        <f t="array" ref="E2920">XLOOKUP(A2920,'Fintech, Regulatory Arbitrage, '!A:A,'Fintech, Regulatory Arbitrage, '!C:C,"")</f>
        <v/>
      </c>
    </row>
    <row r="2921">
      <c r="A2921" s="1" t="s">
        <v>2940</v>
      </c>
      <c r="B2921" s="2">
        <v>18.0</v>
      </c>
      <c r="C2921" s="4"/>
      <c r="E2921" s="4" t="str">
        <f t="array" ref="E2921">XLOOKUP(A2921,'Fintech, Regulatory Arbitrage, '!A:A,'Fintech, Regulatory Arbitrage, '!C:C,"")</f>
        <v/>
      </c>
    </row>
    <row r="2922">
      <c r="A2922" s="1" t="s">
        <v>2941</v>
      </c>
      <c r="B2922" s="2">
        <v>18.0</v>
      </c>
      <c r="C2922" s="4"/>
      <c r="E2922" s="4" t="str">
        <f t="array" ref="E2922">XLOOKUP(A2922,'Fintech, Regulatory Arbitrage, '!A:A,'Fintech, Regulatory Arbitrage, '!C:C,"")</f>
        <v/>
      </c>
    </row>
    <row r="2923">
      <c r="A2923" s="1" t="s">
        <v>2942</v>
      </c>
      <c r="B2923" s="2">
        <v>18.0</v>
      </c>
      <c r="C2923" s="4"/>
      <c r="E2923" s="4" t="str">
        <f t="array" ref="E2923">XLOOKUP(A2923,'Fintech, Regulatory Arbitrage, '!A:A,'Fintech, Regulatory Arbitrage, '!C:C,"")</f>
        <v/>
      </c>
    </row>
    <row r="2924">
      <c r="A2924" s="1" t="s">
        <v>2943</v>
      </c>
      <c r="B2924" s="2">
        <v>18.0</v>
      </c>
      <c r="C2924" s="4"/>
      <c r="E2924" s="4" t="str">
        <f t="array" ref="E2924">XLOOKUP(A2924,'Fintech, Regulatory Arbitrage, '!A:A,'Fintech, Regulatory Arbitrage, '!C:C,"")</f>
        <v/>
      </c>
    </row>
    <row r="2925">
      <c r="A2925" s="1" t="s">
        <v>2944</v>
      </c>
      <c r="B2925" s="2">
        <v>18.0</v>
      </c>
      <c r="C2925" s="4"/>
      <c r="E2925" s="4" t="str">
        <f t="array" ref="E2925">XLOOKUP(A2925,'Fintech, Regulatory Arbitrage, '!A:A,'Fintech, Regulatory Arbitrage, '!C:C,"")</f>
        <v/>
      </c>
    </row>
    <row r="2926">
      <c r="A2926" s="1" t="s">
        <v>2945</v>
      </c>
      <c r="B2926" s="2">
        <v>18.0</v>
      </c>
      <c r="C2926" s="4"/>
      <c r="E2926" s="4" t="str">
        <f t="array" ref="E2926">XLOOKUP(A2926,'Fintech, Regulatory Arbitrage, '!A:A,'Fintech, Regulatory Arbitrage, '!C:C,"")</f>
        <v/>
      </c>
    </row>
    <row r="2927">
      <c r="A2927" s="1" t="s">
        <v>2946</v>
      </c>
      <c r="B2927" s="2">
        <v>18.0</v>
      </c>
      <c r="C2927" s="4"/>
      <c r="E2927" s="4" t="str">
        <f t="array" ref="E2927">XLOOKUP(A2927,'Fintech, Regulatory Arbitrage, '!A:A,'Fintech, Regulatory Arbitrage, '!C:C,"")</f>
        <v/>
      </c>
    </row>
    <row r="2928">
      <c r="A2928" s="1" t="s">
        <v>2947</v>
      </c>
      <c r="B2928" s="2">
        <v>18.0</v>
      </c>
      <c r="C2928" s="4"/>
      <c r="E2928" s="4" t="str">
        <f t="array" ref="E2928">XLOOKUP(A2928,'Fintech, Regulatory Arbitrage, '!A:A,'Fintech, Regulatory Arbitrage, '!C:C,"")</f>
        <v/>
      </c>
    </row>
    <row r="2929">
      <c r="A2929" s="1" t="s">
        <v>2948</v>
      </c>
      <c r="B2929" s="2">
        <v>18.0</v>
      </c>
      <c r="C2929" s="4"/>
      <c r="E2929" s="4" t="str">
        <f t="array" ref="E2929">XLOOKUP(A2929,'Fintech, Regulatory Arbitrage, '!A:A,'Fintech, Regulatory Arbitrage, '!C:C,"")</f>
        <v/>
      </c>
    </row>
    <row r="2930">
      <c r="A2930" s="1" t="s">
        <v>2949</v>
      </c>
      <c r="B2930" s="2">
        <v>18.0</v>
      </c>
      <c r="C2930" s="4"/>
      <c r="E2930" s="4" t="str">
        <f t="array" ref="E2930">XLOOKUP(A2930,'Fintech, Regulatory Arbitrage, '!A:A,'Fintech, Regulatory Arbitrage, '!C:C,"")</f>
        <v/>
      </c>
    </row>
    <row r="2931">
      <c r="A2931" s="1" t="s">
        <v>2950</v>
      </c>
      <c r="B2931" s="2">
        <v>18.0</v>
      </c>
      <c r="C2931" s="4"/>
      <c r="E2931" s="4" t="str">
        <f t="array" ref="E2931">XLOOKUP(A2931,'Fintech, Regulatory Arbitrage, '!A:A,'Fintech, Regulatory Arbitrage, '!C:C,"")</f>
        <v/>
      </c>
    </row>
    <row r="2932">
      <c r="A2932" s="1" t="s">
        <v>2951</v>
      </c>
      <c r="B2932" s="2">
        <v>18.0</v>
      </c>
      <c r="C2932" s="4"/>
      <c r="E2932" s="4" t="str">
        <f t="array" ref="E2932">XLOOKUP(A2932,'Fintech, Regulatory Arbitrage, '!A:A,'Fintech, Regulatory Arbitrage, '!C:C,"")</f>
        <v/>
      </c>
    </row>
    <row r="2933">
      <c r="A2933" s="1" t="s">
        <v>2952</v>
      </c>
      <c r="B2933" s="2">
        <v>18.0</v>
      </c>
      <c r="C2933" s="4"/>
      <c r="E2933" s="4" t="str">
        <f t="array" ref="E2933">XLOOKUP(A2933,'Fintech, Regulatory Arbitrage, '!A:A,'Fintech, Regulatory Arbitrage, '!C:C,"")</f>
        <v/>
      </c>
    </row>
    <row r="2934">
      <c r="A2934" s="1" t="s">
        <v>2953</v>
      </c>
      <c r="B2934" s="2">
        <v>18.0</v>
      </c>
      <c r="C2934" s="4"/>
      <c r="E2934" s="4" t="str">
        <f t="array" ref="E2934">XLOOKUP(A2934,'Fintech, Regulatory Arbitrage, '!A:A,'Fintech, Regulatory Arbitrage, '!C:C,"")</f>
        <v/>
      </c>
    </row>
    <row r="2935">
      <c r="A2935" s="1" t="s">
        <v>2954</v>
      </c>
      <c r="B2935" s="2">
        <v>18.0</v>
      </c>
      <c r="C2935" s="4"/>
      <c r="E2935" s="4" t="str">
        <f t="array" ref="E2935">XLOOKUP(A2935,'Fintech, Regulatory Arbitrage, '!A:A,'Fintech, Regulatory Arbitrage, '!C:C,"")</f>
        <v/>
      </c>
    </row>
    <row r="2936">
      <c r="A2936" s="1" t="s">
        <v>2955</v>
      </c>
      <c r="B2936" s="2">
        <v>18.0</v>
      </c>
      <c r="C2936" s="4"/>
      <c r="E2936" s="4" t="str">
        <f t="array" ref="E2936">XLOOKUP(A2936,'Fintech, Regulatory Arbitrage, '!A:A,'Fintech, Regulatory Arbitrage, '!C:C,"")</f>
        <v/>
      </c>
    </row>
    <row r="2937">
      <c r="A2937" s="1" t="s">
        <v>2956</v>
      </c>
      <c r="B2937" s="2">
        <v>18.0</v>
      </c>
      <c r="C2937" s="4"/>
      <c r="E2937" s="4" t="str">
        <f t="array" ref="E2937">XLOOKUP(A2937,'Fintech, Regulatory Arbitrage, '!A:A,'Fintech, Regulatory Arbitrage, '!C:C,"")</f>
        <v/>
      </c>
    </row>
    <row r="2938">
      <c r="A2938" s="1" t="s">
        <v>2957</v>
      </c>
      <c r="B2938" s="2">
        <v>18.0</v>
      </c>
      <c r="C2938" s="4"/>
      <c r="E2938" s="4" t="str">
        <f t="array" ref="E2938">XLOOKUP(A2938,'Fintech, Regulatory Arbitrage, '!A:A,'Fintech, Regulatory Arbitrage, '!C:C,"")</f>
        <v/>
      </c>
    </row>
    <row r="2939">
      <c r="A2939" s="1" t="s">
        <v>2958</v>
      </c>
      <c r="B2939" s="2">
        <v>18.0</v>
      </c>
      <c r="C2939" s="4"/>
      <c r="E2939" s="4" t="str">
        <f t="array" ref="E2939">XLOOKUP(A2939,'Fintech, Regulatory Arbitrage, '!A:A,'Fintech, Regulatory Arbitrage, '!C:C,"")</f>
        <v/>
      </c>
    </row>
    <row r="2940">
      <c r="A2940" s="1" t="s">
        <v>2959</v>
      </c>
      <c r="B2940" s="2">
        <v>18.0</v>
      </c>
      <c r="C2940" s="4"/>
      <c r="E2940" s="4" t="str">
        <f t="array" ref="E2940">XLOOKUP(A2940,'Fintech, Regulatory Arbitrage, '!A:A,'Fintech, Regulatory Arbitrage, '!C:C,"")</f>
        <v/>
      </c>
    </row>
    <row r="2941">
      <c r="A2941" s="1" t="s">
        <v>2960</v>
      </c>
      <c r="B2941" s="2">
        <v>18.0</v>
      </c>
      <c r="C2941" s="4"/>
      <c r="E2941" s="4" t="str">
        <f t="array" ref="E2941">XLOOKUP(A2941,'Fintech, Regulatory Arbitrage, '!A:A,'Fintech, Regulatory Arbitrage, '!C:C,"")</f>
        <v/>
      </c>
    </row>
    <row r="2942">
      <c r="A2942" s="1" t="s">
        <v>2961</v>
      </c>
      <c r="B2942" s="2">
        <v>18.0</v>
      </c>
      <c r="C2942" s="4"/>
      <c r="E2942" s="4" t="str">
        <f t="array" ref="E2942">XLOOKUP(A2942,'Fintech, Regulatory Arbitrage, '!A:A,'Fintech, Regulatory Arbitrage, '!C:C,"")</f>
        <v/>
      </c>
    </row>
    <row r="2943">
      <c r="A2943" s="1" t="s">
        <v>2962</v>
      </c>
      <c r="B2943" s="2">
        <v>18.0</v>
      </c>
      <c r="C2943" s="4"/>
      <c r="E2943" s="4" t="str">
        <f t="array" ref="E2943">XLOOKUP(A2943,'Fintech, Regulatory Arbitrage, '!A:A,'Fintech, Regulatory Arbitrage, '!C:C,"")</f>
        <v/>
      </c>
    </row>
    <row r="2944">
      <c r="A2944" s="1" t="s">
        <v>2963</v>
      </c>
      <c r="B2944" s="2">
        <v>18.0</v>
      </c>
      <c r="C2944" s="4"/>
      <c r="E2944" s="4" t="str">
        <f t="array" ref="E2944">XLOOKUP(A2944,'Fintech, Regulatory Arbitrage, '!A:A,'Fintech, Regulatory Arbitrage, '!C:C,"")</f>
        <v/>
      </c>
    </row>
    <row r="2945">
      <c r="A2945" s="1" t="s">
        <v>2964</v>
      </c>
      <c r="B2945" s="2">
        <v>18.0</v>
      </c>
      <c r="C2945" s="4"/>
      <c r="E2945" s="4" t="str">
        <f t="array" ref="E2945">XLOOKUP(A2945,'Fintech, Regulatory Arbitrage, '!A:A,'Fintech, Regulatory Arbitrage, '!C:C,"")</f>
        <v/>
      </c>
    </row>
    <row r="2946">
      <c r="A2946" s="1" t="s">
        <v>2965</v>
      </c>
      <c r="B2946" s="2">
        <v>18.0</v>
      </c>
      <c r="C2946" s="4"/>
      <c r="E2946" s="4" t="str">
        <f t="array" ref="E2946">XLOOKUP(A2946,'Fintech, Regulatory Arbitrage, '!A:A,'Fintech, Regulatory Arbitrage, '!C:C,"")</f>
        <v/>
      </c>
    </row>
    <row r="2947">
      <c r="A2947" s="1" t="s">
        <v>2966</v>
      </c>
      <c r="B2947" s="2">
        <v>18.0</v>
      </c>
      <c r="C2947" s="4"/>
      <c r="E2947" s="4" t="str">
        <f t="array" ref="E2947">XLOOKUP(A2947,'Fintech, Regulatory Arbitrage, '!A:A,'Fintech, Regulatory Arbitrage, '!C:C,"")</f>
        <v/>
      </c>
    </row>
    <row r="2948">
      <c r="A2948" s="1" t="s">
        <v>2967</v>
      </c>
      <c r="B2948" s="2">
        <v>18.0</v>
      </c>
      <c r="C2948" s="4"/>
      <c r="E2948" s="4" t="str">
        <f t="array" ref="E2948">XLOOKUP(A2948,'Fintech, Regulatory Arbitrage, '!A:A,'Fintech, Regulatory Arbitrage, '!C:C,"")</f>
        <v/>
      </c>
    </row>
    <row r="2949">
      <c r="A2949" s="19" t="s">
        <v>2968</v>
      </c>
      <c r="B2949" s="2">
        <v>18.0</v>
      </c>
      <c r="C2949" s="4"/>
      <c r="E2949" s="4" t="str">
        <f t="array" ref="E2949">XLOOKUP(A2949,'Fintech, Regulatory Arbitrage, '!A:A,'Fintech, Regulatory Arbitrage, '!C:C,"")</f>
        <v/>
      </c>
    </row>
    <row r="2950">
      <c r="A2950" s="1" t="s">
        <v>2969</v>
      </c>
      <c r="B2950" s="2">
        <v>18.0</v>
      </c>
      <c r="C2950" s="4"/>
      <c r="E2950" s="4" t="str">
        <f t="array" ref="E2950">XLOOKUP(A2950,'Fintech, Regulatory Arbitrage, '!A:A,'Fintech, Regulatory Arbitrage, '!C:C,"")</f>
        <v/>
      </c>
    </row>
    <row r="2951">
      <c r="A2951" s="1" t="s">
        <v>2970</v>
      </c>
      <c r="B2951" s="2">
        <v>18.0</v>
      </c>
      <c r="C2951" s="4"/>
      <c r="E2951" s="4" t="str">
        <f t="array" ref="E2951">XLOOKUP(A2951,'Fintech, Regulatory Arbitrage, '!A:A,'Fintech, Regulatory Arbitrage, '!C:C,"")</f>
        <v/>
      </c>
    </row>
    <row r="2952">
      <c r="A2952" s="1" t="s">
        <v>2971</v>
      </c>
      <c r="B2952" s="2">
        <v>18.0</v>
      </c>
      <c r="C2952" s="4"/>
      <c r="E2952" s="4" t="str">
        <f t="array" ref="E2952">XLOOKUP(A2952,'Fintech, Regulatory Arbitrage, '!A:A,'Fintech, Regulatory Arbitrage, '!C:C,"")</f>
        <v/>
      </c>
    </row>
    <row r="2953">
      <c r="A2953" s="1" t="s">
        <v>2972</v>
      </c>
      <c r="B2953" s="2">
        <v>18.0</v>
      </c>
      <c r="C2953" s="4"/>
      <c r="E2953" s="4" t="str">
        <f t="array" ref="E2953">XLOOKUP(A2953,'Fintech, Regulatory Arbitrage, '!A:A,'Fintech, Regulatory Arbitrage, '!C:C,"")</f>
        <v/>
      </c>
    </row>
    <row r="2954">
      <c r="A2954" s="1" t="s">
        <v>2973</v>
      </c>
      <c r="B2954" s="2">
        <v>18.0</v>
      </c>
      <c r="C2954" s="4"/>
      <c r="E2954" s="4" t="str">
        <f t="array" ref="E2954">XLOOKUP(A2954,'Fintech, Regulatory Arbitrage, '!A:A,'Fintech, Regulatory Arbitrage, '!C:C,"")</f>
        <v/>
      </c>
    </row>
    <row r="2955">
      <c r="A2955" s="1" t="s">
        <v>2974</v>
      </c>
      <c r="B2955" s="2">
        <v>18.0</v>
      </c>
      <c r="C2955" s="4"/>
      <c r="E2955" s="4" t="str">
        <f t="array" ref="E2955">XLOOKUP(A2955,'Fintech, Regulatory Arbitrage, '!A:A,'Fintech, Regulatory Arbitrage, '!C:C,"")</f>
        <v/>
      </c>
    </row>
    <row r="2956">
      <c r="A2956" s="1" t="s">
        <v>2975</v>
      </c>
      <c r="B2956" s="2">
        <v>18.0</v>
      </c>
      <c r="C2956" s="4"/>
      <c r="E2956" s="4" t="str">
        <f t="array" ref="E2956">XLOOKUP(A2956,'Fintech, Regulatory Arbitrage, '!A:A,'Fintech, Regulatory Arbitrage, '!C:C,"")</f>
        <v/>
      </c>
    </row>
    <row r="2957">
      <c r="A2957" s="1" t="s">
        <v>2976</v>
      </c>
      <c r="B2957" s="2">
        <v>18.0</v>
      </c>
      <c r="C2957" s="4"/>
      <c r="E2957" s="4" t="str">
        <f t="array" ref="E2957">XLOOKUP(A2957,'Fintech, Regulatory Arbitrage, '!A:A,'Fintech, Regulatory Arbitrage, '!C:C,"")</f>
        <v/>
      </c>
    </row>
    <row r="2958">
      <c r="A2958" s="1" t="s">
        <v>2977</v>
      </c>
      <c r="B2958" s="2">
        <v>18.0</v>
      </c>
      <c r="C2958" s="4"/>
      <c r="E2958" s="4" t="str">
        <f t="array" ref="E2958">XLOOKUP(A2958,'Fintech, Regulatory Arbitrage, '!A:A,'Fintech, Regulatory Arbitrage, '!C:C,"")</f>
        <v/>
      </c>
    </row>
    <row r="2959">
      <c r="A2959" s="1" t="s">
        <v>2978</v>
      </c>
      <c r="B2959" s="2">
        <v>18.0</v>
      </c>
      <c r="C2959" s="4"/>
      <c r="E2959" s="4" t="str">
        <f t="array" ref="E2959">XLOOKUP(A2959,'Fintech, Regulatory Arbitrage, '!A:A,'Fintech, Regulatory Arbitrage, '!C:C,"")</f>
        <v/>
      </c>
    </row>
    <row r="2960">
      <c r="A2960" s="1" t="s">
        <v>2979</v>
      </c>
      <c r="B2960" s="2">
        <v>18.0</v>
      </c>
      <c r="C2960" s="4"/>
      <c r="E2960" s="4" t="str">
        <f t="array" ref="E2960">XLOOKUP(A2960,'Fintech, Regulatory Arbitrage, '!A:A,'Fintech, Regulatory Arbitrage, '!C:C,"")</f>
        <v/>
      </c>
    </row>
    <row r="2961">
      <c r="A2961" s="1" t="s">
        <v>2980</v>
      </c>
      <c r="B2961" s="2">
        <v>18.0</v>
      </c>
      <c r="C2961" s="4"/>
      <c r="E2961" s="4" t="str">
        <f t="array" ref="E2961">XLOOKUP(A2961,'Fintech, Regulatory Arbitrage, '!A:A,'Fintech, Regulatory Arbitrage, '!C:C,"")</f>
        <v/>
      </c>
    </row>
    <row r="2962">
      <c r="A2962" s="1" t="s">
        <v>2981</v>
      </c>
      <c r="B2962" s="2">
        <v>18.0</v>
      </c>
      <c r="C2962" s="4"/>
      <c r="E2962" s="4" t="str">
        <f t="array" ref="E2962">XLOOKUP(A2962,'Fintech, Regulatory Arbitrage, '!A:A,'Fintech, Regulatory Arbitrage, '!C:C,"")</f>
        <v/>
      </c>
    </row>
    <row r="2963">
      <c r="A2963" s="1" t="s">
        <v>2982</v>
      </c>
      <c r="B2963" s="2">
        <v>18.0</v>
      </c>
      <c r="C2963" s="4"/>
      <c r="E2963" s="4" t="str">
        <f t="array" ref="E2963">XLOOKUP(A2963,'Fintech, Regulatory Arbitrage, '!A:A,'Fintech, Regulatory Arbitrage, '!C:C,"")</f>
        <v/>
      </c>
    </row>
    <row r="2964">
      <c r="A2964" s="1" t="s">
        <v>2983</v>
      </c>
      <c r="B2964" s="2">
        <v>18.0</v>
      </c>
      <c r="C2964" s="4"/>
      <c r="E2964" s="4" t="str">
        <f t="array" ref="E2964">XLOOKUP(A2964,'Fintech, Regulatory Arbitrage, '!A:A,'Fintech, Regulatory Arbitrage, '!C:C,"")</f>
        <v/>
      </c>
    </row>
    <row r="2965">
      <c r="A2965" s="1" t="s">
        <v>2984</v>
      </c>
      <c r="B2965" s="2">
        <v>18.0</v>
      </c>
      <c r="C2965" s="4"/>
      <c r="E2965" s="4" t="str">
        <f t="array" ref="E2965">XLOOKUP(A2965,'Fintech, Regulatory Arbitrage, '!A:A,'Fintech, Regulatory Arbitrage, '!C:C,"")</f>
        <v/>
      </c>
    </row>
    <row r="2966">
      <c r="A2966" s="1" t="s">
        <v>2985</v>
      </c>
      <c r="B2966" s="2">
        <v>18.0</v>
      </c>
      <c r="C2966" s="4"/>
      <c r="E2966" s="4" t="str">
        <f t="array" ref="E2966">XLOOKUP(A2966,'Fintech, Regulatory Arbitrage, '!A:A,'Fintech, Regulatory Arbitrage, '!C:C,"")</f>
        <v/>
      </c>
    </row>
    <row r="2967">
      <c r="A2967" s="1" t="s">
        <v>2986</v>
      </c>
      <c r="B2967" s="2">
        <v>18.0</v>
      </c>
      <c r="C2967" s="4"/>
      <c r="E2967" s="4" t="str">
        <f t="array" ref="E2967">XLOOKUP(A2967,'Fintech, Regulatory Arbitrage, '!A:A,'Fintech, Regulatory Arbitrage, '!C:C,"")</f>
        <v/>
      </c>
    </row>
    <row r="2968">
      <c r="A2968" s="1" t="s">
        <v>2987</v>
      </c>
      <c r="B2968" s="2">
        <v>18.0</v>
      </c>
      <c r="C2968" s="4"/>
      <c r="E2968" s="4" t="str">
        <f t="array" ref="E2968">XLOOKUP(A2968,'Fintech, Regulatory Arbitrage, '!A:A,'Fintech, Regulatory Arbitrage, '!C:C,"")</f>
        <v/>
      </c>
    </row>
    <row r="2969">
      <c r="A2969" s="1" t="s">
        <v>2988</v>
      </c>
      <c r="B2969" s="2">
        <v>18.0</v>
      </c>
      <c r="C2969" s="4"/>
      <c r="E2969" s="4" t="str">
        <f t="array" ref="E2969">XLOOKUP(A2969,'Fintech, Regulatory Arbitrage, '!A:A,'Fintech, Regulatory Arbitrage, '!C:C,"")</f>
        <v/>
      </c>
    </row>
    <row r="2970">
      <c r="A2970" s="1" t="s">
        <v>2989</v>
      </c>
      <c r="B2970" s="2">
        <v>18.0</v>
      </c>
      <c r="C2970" s="4"/>
      <c r="E2970" s="4" t="str">
        <f t="array" ref="E2970">XLOOKUP(A2970,'Fintech, Regulatory Arbitrage, '!A:A,'Fintech, Regulatory Arbitrage, '!C:C,"")</f>
        <v/>
      </c>
    </row>
    <row r="2971">
      <c r="A2971" s="1" t="s">
        <v>2990</v>
      </c>
      <c r="B2971" s="2">
        <v>18.0</v>
      </c>
      <c r="C2971" s="4"/>
      <c r="E2971" s="4" t="str">
        <f t="array" ref="E2971">XLOOKUP(A2971,'Fintech, Regulatory Arbitrage, '!A:A,'Fintech, Regulatory Arbitrage, '!C:C,"")</f>
        <v/>
      </c>
    </row>
    <row r="2972">
      <c r="A2972" s="1" t="s">
        <v>2991</v>
      </c>
      <c r="B2972" s="2">
        <v>18.0</v>
      </c>
      <c r="C2972" s="4"/>
      <c r="E2972" s="4" t="str">
        <f t="array" ref="E2972">XLOOKUP(A2972,'Fintech, Regulatory Arbitrage, '!A:A,'Fintech, Regulatory Arbitrage, '!C:C,"")</f>
        <v/>
      </c>
    </row>
    <row r="2973">
      <c r="A2973" s="1" t="s">
        <v>2992</v>
      </c>
      <c r="B2973" s="2">
        <v>18.0</v>
      </c>
      <c r="C2973" s="4"/>
      <c r="E2973" s="4" t="str">
        <f t="array" ref="E2973">XLOOKUP(A2973,'Fintech, Regulatory Arbitrage, '!A:A,'Fintech, Regulatory Arbitrage, '!C:C,"")</f>
        <v/>
      </c>
    </row>
    <row r="2974">
      <c r="A2974" s="1" t="s">
        <v>2993</v>
      </c>
      <c r="B2974" s="2">
        <v>18.0</v>
      </c>
      <c r="C2974" s="4"/>
      <c r="E2974" s="4" t="str">
        <f t="array" ref="E2974">XLOOKUP(A2974,'Fintech, Regulatory Arbitrage, '!A:A,'Fintech, Regulatory Arbitrage, '!C:C,"")</f>
        <v/>
      </c>
    </row>
    <row r="2975">
      <c r="A2975" s="1" t="s">
        <v>2994</v>
      </c>
      <c r="B2975" s="2">
        <v>18.0</v>
      </c>
      <c r="C2975" s="4"/>
      <c r="E2975" s="4" t="str">
        <f t="array" ref="E2975">XLOOKUP(A2975,'Fintech, Regulatory Arbitrage, '!A:A,'Fintech, Regulatory Arbitrage, '!C:C,"")</f>
        <v/>
      </c>
    </row>
    <row r="2976">
      <c r="A2976" s="1" t="s">
        <v>2995</v>
      </c>
      <c r="B2976" s="2">
        <v>18.0</v>
      </c>
      <c r="C2976" s="4"/>
      <c r="E2976" s="4" t="str">
        <f t="array" ref="E2976">XLOOKUP(A2976,'Fintech, Regulatory Arbitrage, '!A:A,'Fintech, Regulatory Arbitrage, '!C:C,"")</f>
        <v/>
      </c>
    </row>
    <row r="2977">
      <c r="A2977" s="1" t="s">
        <v>2996</v>
      </c>
      <c r="B2977" s="2">
        <v>18.0</v>
      </c>
      <c r="C2977" s="4"/>
      <c r="E2977" s="4" t="str">
        <f t="array" ref="E2977">XLOOKUP(A2977,'Fintech, Regulatory Arbitrage, '!A:A,'Fintech, Regulatory Arbitrage, '!C:C,"")</f>
        <v/>
      </c>
    </row>
    <row r="2978">
      <c r="A2978" s="1" t="s">
        <v>2997</v>
      </c>
      <c r="B2978" s="2">
        <v>18.0</v>
      </c>
      <c r="C2978" s="4"/>
      <c r="E2978" s="4" t="str">
        <f t="array" ref="E2978">XLOOKUP(A2978,'Fintech, Regulatory Arbitrage, '!A:A,'Fintech, Regulatory Arbitrage, '!C:C,"")</f>
        <v/>
      </c>
    </row>
    <row r="2979">
      <c r="A2979" s="1" t="s">
        <v>2998</v>
      </c>
      <c r="B2979" s="2">
        <v>18.0</v>
      </c>
      <c r="C2979" s="4"/>
      <c r="E2979" s="4" t="str">
        <f t="array" ref="E2979">XLOOKUP(A2979,'Fintech, Regulatory Arbitrage, '!A:A,'Fintech, Regulatory Arbitrage, '!C:C,"")</f>
        <v/>
      </c>
    </row>
    <row r="2980">
      <c r="A2980" s="1" t="s">
        <v>2999</v>
      </c>
      <c r="B2980" s="2">
        <v>18.0</v>
      </c>
      <c r="C2980" s="4"/>
      <c r="E2980" s="4" t="str">
        <f t="array" ref="E2980">XLOOKUP(A2980,'Fintech, Regulatory Arbitrage, '!A:A,'Fintech, Regulatory Arbitrage, '!C:C,"")</f>
        <v/>
      </c>
    </row>
    <row r="2981">
      <c r="A2981" s="1" t="s">
        <v>3000</v>
      </c>
      <c r="B2981" s="2">
        <v>18.0</v>
      </c>
      <c r="C2981" s="4"/>
      <c r="E2981" s="4" t="str">
        <f t="array" ref="E2981">XLOOKUP(A2981,'Fintech, Regulatory Arbitrage, '!A:A,'Fintech, Regulatory Arbitrage, '!C:C,"")</f>
        <v/>
      </c>
    </row>
    <row r="2982">
      <c r="A2982" s="1" t="s">
        <v>3001</v>
      </c>
      <c r="B2982" s="2">
        <v>18.0</v>
      </c>
      <c r="C2982" s="4"/>
      <c r="E2982" s="4" t="str">
        <f t="array" ref="E2982">XLOOKUP(A2982,'Fintech, Regulatory Arbitrage, '!A:A,'Fintech, Regulatory Arbitrage, '!C:C,"")</f>
        <v/>
      </c>
    </row>
    <row r="2983">
      <c r="A2983" s="1" t="s">
        <v>3002</v>
      </c>
      <c r="B2983" s="2">
        <v>18.0</v>
      </c>
      <c r="C2983" s="4"/>
      <c r="E2983" s="4" t="str">
        <f t="array" ref="E2983">XLOOKUP(A2983,'Fintech, Regulatory Arbitrage, '!A:A,'Fintech, Regulatory Arbitrage, '!C:C,"")</f>
        <v/>
      </c>
    </row>
    <row r="2984">
      <c r="A2984" s="1" t="s">
        <v>3003</v>
      </c>
      <c r="B2984" s="2">
        <v>18.0</v>
      </c>
      <c r="C2984" s="4"/>
      <c r="E2984" s="4" t="str">
        <f t="array" ref="E2984">XLOOKUP(A2984,'Fintech, Regulatory Arbitrage, '!A:A,'Fintech, Regulatory Arbitrage, '!C:C,"")</f>
        <v/>
      </c>
    </row>
    <row r="2985">
      <c r="A2985" s="1" t="s">
        <v>3004</v>
      </c>
      <c r="B2985" s="2">
        <v>18.0</v>
      </c>
      <c r="C2985" s="4"/>
      <c r="E2985" s="4" t="str">
        <f t="array" ref="E2985">XLOOKUP(A2985,'Fintech, Regulatory Arbitrage, '!A:A,'Fintech, Regulatory Arbitrage, '!C:C,"")</f>
        <v/>
      </c>
    </row>
    <row r="2986">
      <c r="A2986" s="1" t="s">
        <v>3005</v>
      </c>
      <c r="B2986" s="2">
        <v>18.0</v>
      </c>
      <c r="C2986" s="4"/>
      <c r="E2986" s="4" t="str">
        <f t="array" ref="E2986">XLOOKUP(A2986,'Fintech, Regulatory Arbitrage, '!A:A,'Fintech, Regulatory Arbitrage, '!C:C,"")</f>
        <v/>
      </c>
    </row>
    <row r="2987">
      <c r="A2987" s="1" t="s">
        <v>3006</v>
      </c>
      <c r="B2987" s="2">
        <v>18.0</v>
      </c>
      <c r="C2987" s="4"/>
      <c r="E2987" s="4" t="str">
        <f t="array" ref="E2987">XLOOKUP(A2987,'Fintech, Regulatory Arbitrage, '!A:A,'Fintech, Regulatory Arbitrage, '!C:C,"")</f>
        <v/>
      </c>
    </row>
    <row r="2988">
      <c r="A2988" s="1" t="s">
        <v>3007</v>
      </c>
      <c r="B2988" s="2">
        <v>18.0</v>
      </c>
      <c r="C2988" s="4"/>
      <c r="E2988" s="4" t="str">
        <f t="array" ref="E2988">XLOOKUP(A2988,'Fintech, Regulatory Arbitrage, '!A:A,'Fintech, Regulatory Arbitrage, '!C:C,"")</f>
        <v/>
      </c>
    </row>
    <row r="2989">
      <c r="A2989" s="1" t="s">
        <v>3008</v>
      </c>
      <c r="B2989" s="2">
        <v>18.0</v>
      </c>
      <c r="C2989" s="4"/>
      <c r="E2989" s="4" t="str">
        <f t="array" ref="E2989">XLOOKUP(A2989,'Fintech, Regulatory Arbitrage, '!A:A,'Fintech, Regulatory Arbitrage, '!C:C,"")</f>
        <v/>
      </c>
    </row>
    <row r="2990">
      <c r="A2990" s="1" t="s">
        <v>3009</v>
      </c>
      <c r="B2990" s="2">
        <v>17.0</v>
      </c>
      <c r="C2990" s="4"/>
      <c r="E2990" s="4" t="str">
        <f t="array" ref="E2990">XLOOKUP(A2990,'Fintech, Regulatory Arbitrage, '!A:A,'Fintech, Regulatory Arbitrage, '!C:C,"")</f>
        <v/>
      </c>
    </row>
    <row r="2991">
      <c r="A2991" s="1" t="s">
        <v>3010</v>
      </c>
      <c r="B2991" s="2">
        <v>17.0</v>
      </c>
      <c r="C2991" s="4"/>
      <c r="E2991" s="4" t="str">
        <f t="array" ref="E2991">XLOOKUP(A2991,'Fintech, Regulatory Arbitrage, '!A:A,'Fintech, Regulatory Arbitrage, '!C:C,"")</f>
        <v/>
      </c>
    </row>
    <row r="2992">
      <c r="A2992" s="1" t="s">
        <v>3011</v>
      </c>
      <c r="B2992" s="2">
        <v>17.0</v>
      </c>
      <c r="C2992" s="4"/>
      <c r="E2992" s="4" t="str">
        <f t="array" ref="E2992">XLOOKUP(A2992,'Fintech, Regulatory Arbitrage, '!A:A,'Fintech, Regulatory Arbitrage, '!C:C,"")</f>
        <v/>
      </c>
    </row>
    <row r="2993">
      <c r="A2993" s="1" t="s">
        <v>3012</v>
      </c>
      <c r="B2993" s="2">
        <v>17.0</v>
      </c>
      <c r="C2993" s="4"/>
      <c r="E2993" s="4" t="str">
        <f t="array" ref="E2993">XLOOKUP(A2993,'Fintech, Regulatory Arbitrage, '!A:A,'Fintech, Regulatory Arbitrage, '!C:C,"")</f>
        <v/>
      </c>
    </row>
    <row r="2994">
      <c r="A2994" s="1" t="s">
        <v>3013</v>
      </c>
      <c r="B2994" s="2">
        <v>17.0</v>
      </c>
      <c r="C2994" s="4"/>
      <c r="E2994" s="4" t="str">
        <f t="array" ref="E2994">XLOOKUP(A2994,'Fintech, Regulatory Arbitrage, '!A:A,'Fintech, Regulatory Arbitrage, '!C:C,"")</f>
        <v/>
      </c>
    </row>
    <row r="2995">
      <c r="A2995" s="1" t="s">
        <v>3014</v>
      </c>
      <c r="B2995" s="2">
        <v>17.0</v>
      </c>
      <c r="C2995" s="4"/>
      <c r="E2995" s="4" t="str">
        <f t="array" ref="E2995">XLOOKUP(A2995,'Fintech, Regulatory Arbitrage, '!A:A,'Fintech, Regulatory Arbitrage, '!C:C,"")</f>
        <v/>
      </c>
    </row>
    <row r="2996">
      <c r="A2996" s="1" t="s">
        <v>3015</v>
      </c>
      <c r="B2996" s="2">
        <v>17.0</v>
      </c>
      <c r="C2996" s="4"/>
      <c r="E2996" s="4" t="str">
        <f t="array" ref="E2996">XLOOKUP(A2996,'Fintech, Regulatory Arbitrage, '!A:A,'Fintech, Regulatory Arbitrage, '!C:C,"")</f>
        <v/>
      </c>
    </row>
    <row r="2997">
      <c r="A2997" s="1" t="s">
        <v>3016</v>
      </c>
      <c r="B2997" s="2">
        <v>17.0</v>
      </c>
      <c r="C2997" s="4"/>
      <c r="E2997" s="4" t="str">
        <f t="array" ref="E2997">XLOOKUP(A2997,'Fintech, Regulatory Arbitrage, '!A:A,'Fintech, Regulatory Arbitrage, '!C:C,"")</f>
        <v/>
      </c>
    </row>
    <row r="2998">
      <c r="A2998" s="1" t="s">
        <v>3017</v>
      </c>
      <c r="B2998" s="2">
        <v>17.0</v>
      </c>
      <c r="C2998" s="4"/>
      <c r="E2998" s="4" t="str">
        <f t="array" ref="E2998">XLOOKUP(A2998,'Fintech, Regulatory Arbitrage, '!A:A,'Fintech, Regulatory Arbitrage, '!C:C,"")</f>
        <v/>
      </c>
    </row>
    <row r="2999">
      <c r="A2999" s="1" t="s">
        <v>3018</v>
      </c>
      <c r="B2999" s="2">
        <v>17.0</v>
      </c>
      <c r="C2999" s="4"/>
      <c r="E2999" s="4" t="str">
        <f t="array" ref="E2999">XLOOKUP(A2999,'Fintech, Regulatory Arbitrage, '!A:A,'Fintech, Regulatory Arbitrage, '!C:C,"")</f>
        <v/>
      </c>
    </row>
    <row r="3000">
      <c r="A3000" s="1" t="s">
        <v>3019</v>
      </c>
      <c r="B3000" s="2">
        <v>17.0</v>
      </c>
      <c r="C3000" s="4"/>
      <c r="E3000" s="4" t="str">
        <f t="array" ref="E3000">XLOOKUP(A3000,'Fintech, Regulatory Arbitrage, '!A:A,'Fintech, Regulatory Arbitrage, '!C:C,"")</f>
        <v/>
      </c>
    </row>
    <row r="3001">
      <c r="A3001" s="1" t="s">
        <v>3020</v>
      </c>
      <c r="B3001" s="2">
        <v>17.0</v>
      </c>
      <c r="C3001" s="4"/>
      <c r="E3001" s="4" t="str">
        <f t="array" ref="E3001">XLOOKUP(A3001,'Fintech, Regulatory Arbitrage, '!A:A,'Fintech, Regulatory Arbitrage, '!C:C,"")</f>
        <v/>
      </c>
    </row>
    <row r="3002">
      <c r="A3002" s="1" t="s">
        <v>3021</v>
      </c>
      <c r="B3002" s="2">
        <v>17.0</v>
      </c>
      <c r="C3002" s="4"/>
      <c r="E3002" s="4" t="str">
        <f t="array" ref="E3002">XLOOKUP(A3002,'Fintech, Regulatory Arbitrage, '!A:A,'Fintech, Regulatory Arbitrage, '!C:C,"")</f>
        <v/>
      </c>
    </row>
    <row r="3003">
      <c r="A3003" s="1" t="s">
        <v>3022</v>
      </c>
      <c r="B3003" s="2">
        <v>17.0</v>
      </c>
      <c r="C3003" s="4"/>
      <c r="E3003" s="4" t="str">
        <f t="array" ref="E3003">XLOOKUP(A3003,'Fintech, Regulatory Arbitrage, '!A:A,'Fintech, Regulatory Arbitrage, '!C:C,"")</f>
        <v/>
      </c>
    </row>
    <row r="3004">
      <c r="A3004" s="1" t="s">
        <v>3023</v>
      </c>
      <c r="B3004" s="2">
        <v>17.0</v>
      </c>
      <c r="C3004" s="4"/>
      <c r="E3004" s="4" t="str">
        <f t="array" ref="E3004">XLOOKUP(A3004,'Fintech, Regulatory Arbitrage, '!A:A,'Fintech, Regulatory Arbitrage, '!C:C,"")</f>
        <v/>
      </c>
    </row>
    <row r="3005">
      <c r="A3005" s="1" t="s">
        <v>3024</v>
      </c>
      <c r="B3005" s="2">
        <v>17.0</v>
      </c>
      <c r="C3005" s="4"/>
      <c r="E3005" s="4" t="str">
        <f t="array" ref="E3005">XLOOKUP(A3005,'Fintech, Regulatory Arbitrage, '!A:A,'Fintech, Regulatory Arbitrage, '!C:C,"")</f>
        <v/>
      </c>
    </row>
    <row r="3006">
      <c r="A3006" s="1" t="s">
        <v>3025</v>
      </c>
      <c r="B3006" s="2">
        <v>17.0</v>
      </c>
      <c r="C3006" s="4"/>
      <c r="E3006" s="4" t="str">
        <f t="array" ref="E3006">XLOOKUP(A3006,'Fintech, Regulatory Arbitrage, '!A:A,'Fintech, Regulatory Arbitrage, '!C:C,"")</f>
        <v/>
      </c>
    </row>
    <row r="3007">
      <c r="A3007" s="1" t="s">
        <v>3026</v>
      </c>
      <c r="B3007" s="2">
        <v>17.0</v>
      </c>
      <c r="C3007" s="4"/>
      <c r="E3007" s="4" t="str">
        <f t="array" ref="E3007">XLOOKUP(A3007,'Fintech, Regulatory Arbitrage, '!A:A,'Fintech, Regulatory Arbitrage, '!C:C,"")</f>
        <v/>
      </c>
    </row>
    <row r="3008">
      <c r="A3008" s="1" t="s">
        <v>3027</v>
      </c>
      <c r="B3008" s="2">
        <v>17.0</v>
      </c>
      <c r="C3008" s="4"/>
      <c r="E3008" s="4" t="str">
        <f t="array" ref="E3008">XLOOKUP(A3008,'Fintech, Regulatory Arbitrage, '!A:A,'Fintech, Regulatory Arbitrage, '!C:C,"")</f>
        <v/>
      </c>
    </row>
    <row r="3009">
      <c r="A3009" s="1" t="s">
        <v>3028</v>
      </c>
      <c r="B3009" s="2">
        <v>17.0</v>
      </c>
      <c r="C3009" s="4"/>
      <c r="E3009" s="4" t="str">
        <f t="array" ref="E3009">XLOOKUP(A3009,'Fintech, Regulatory Arbitrage, '!A:A,'Fintech, Regulatory Arbitrage, '!C:C,"")</f>
        <v/>
      </c>
    </row>
    <row r="3010">
      <c r="A3010" s="1" t="s">
        <v>3029</v>
      </c>
      <c r="B3010" s="2">
        <v>17.0</v>
      </c>
      <c r="C3010" s="4"/>
      <c r="E3010" s="4" t="str">
        <f t="array" ref="E3010">XLOOKUP(A3010,'Fintech, Regulatory Arbitrage, '!A:A,'Fintech, Regulatory Arbitrage, '!C:C,"")</f>
        <v/>
      </c>
    </row>
    <row r="3011">
      <c r="A3011" s="1" t="s">
        <v>3030</v>
      </c>
      <c r="B3011" s="2">
        <v>17.0</v>
      </c>
      <c r="C3011" s="4"/>
      <c r="E3011" s="4" t="str">
        <f t="array" ref="E3011">XLOOKUP(A3011,'Fintech, Regulatory Arbitrage, '!A:A,'Fintech, Regulatory Arbitrage, '!C:C,"")</f>
        <v/>
      </c>
    </row>
    <row r="3012">
      <c r="A3012" s="1" t="s">
        <v>3031</v>
      </c>
      <c r="B3012" s="2">
        <v>17.0</v>
      </c>
      <c r="C3012" s="4"/>
      <c r="E3012" s="4" t="str">
        <f t="array" ref="E3012">XLOOKUP(A3012,'Fintech, Regulatory Arbitrage, '!A:A,'Fintech, Regulatory Arbitrage, '!C:C,"")</f>
        <v/>
      </c>
    </row>
    <row r="3013">
      <c r="A3013" s="1" t="s">
        <v>3032</v>
      </c>
      <c r="B3013" s="2">
        <v>17.0</v>
      </c>
      <c r="C3013" s="4"/>
      <c r="E3013" s="4" t="str">
        <f t="array" ref="E3013">XLOOKUP(A3013,'Fintech, Regulatory Arbitrage, '!A:A,'Fintech, Regulatory Arbitrage, '!C:C,"")</f>
        <v/>
      </c>
    </row>
    <row r="3014">
      <c r="A3014" s="1" t="s">
        <v>3033</v>
      </c>
      <c r="B3014" s="2">
        <v>17.0</v>
      </c>
      <c r="C3014" s="4"/>
      <c r="E3014" s="4" t="str">
        <f t="array" ref="E3014">XLOOKUP(A3014,'Fintech, Regulatory Arbitrage, '!A:A,'Fintech, Regulatory Arbitrage, '!C:C,"")</f>
        <v/>
      </c>
    </row>
    <row r="3015">
      <c r="A3015" s="1" t="s">
        <v>3034</v>
      </c>
      <c r="B3015" s="2">
        <v>17.0</v>
      </c>
      <c r="C3015" s="4"/>
      <c r="E3015" s="4" t="str">
        <f t="array" ref="E3015">XLOOKUP(A3015,'Fintech, Regulatory Arbitrage, '!A:A,'Fintech, Regulatory Arbitrage, '!C:C,"")</f>
        <v/>
      </c>
    </row>
    <row r="3016">
      <c r="A3016" s="1" t="s">
        <v>3035</v>
      </c>
      <c r="B3016" s="2">
        <v>17.0</v>
      </c>
      <c r="C3016" s="4"/>
      <c r="E3016" s="4" t="str">
        <f t="array" ref="E3016">XLOOKUP(A3016,'Fintech, Regulatory Arbitrage, '!A:A,'Fintech, Regulatory Arbitrage, '!C:C,"")</f>
        <v/>
      </c>
    </row>
    <row r="3017">
      <c r="A3017" s="1" t="s">
        <v>3036</v>
      </c>
      <c r="B3017" s="2">
        <v>17.0</v>
      </c>
      <c r="C3017" s="4"/>
      <c r="E3017" s="4" t="str">
        <f t="array" ref="E3017">XLOOKUP(A3017,'Fintech, Regulatory Arbitrage, '!A:A,'Fintech, Regulatory Arbitrage, '!C:C,"")</f>
        <v/>
      </c>
    </row>
    <row r="3018">
      <c r="A3018" s="1" t="s">
        <v>3037</v>
      </c>
      <c r="B3018" s="2">
        <v>17.0</v>
      </c>
      <c r="C3018" s="4"/>
      <c r="E3018" s="4" t="str">
        <f t="array" ref="E3018">XLOOKUP(A3018,'Fintech, Regulatory Arbitrage, '!A:A,'Fintech, Regulatory Arbitrage, '!C:C,"")</f>
        <v/>
      </c>
    </row>
    <row r="3019">
      <c r="A3019" s="1" t="s">
        <v>3038</v>
      </c>
      <c r="B3019" s="2">
        <v>17.0</v>
      </c>
      <c r="C3019" s="4"/>
      <c r="E3019" s="4" t="str">
        <f t="array" ref="E3019">XLOOKUP(A3019,'Fintech, Regulatory Arbitrage, '!A:A,'Fintech, Regulatory Arbitrage, '!C:C,"")</f>
        <v/>
      </c>
    </row>
    <row r="3020">
      <c r="A3020" s="1" t="s">
        <v>3039</v>
      </c>
      <c r="B3020" s="2">
        <v>17.0</v>
      </c>
      <c r="C3020" s="4"/>
      <c r="E3020" s="4" t="str">
        <f t="array" ref="E3020">XLOOKUP(A3020,'Fintech, Regulatory Arbitrage, '!A:A,'Fintech, Regulatory Arbitrage, '!C:C,"")</f>
        <v/>
      </c>
    </row>
    <row r="3021">
      <c r="A3021" s="1" t="s">
        <v>3040</v>
      </c>
      <c r="B3021" s="2">
        <v>17.0</v>
      </c>
      <c r="C3021" s="4"/>
      <c r="E3021" s="4" t="str">
        <f t="array" ref="E3021">XLOOKUP(A3021,'Fintech, Regulatory Arbitrage, '!A:A,'Fintech, Regulatory Arbitrage, '!C:C,"")</f>
        <v/>
      </c>
    </row>
    <row r="3022">
      <c r="A3022" s="1" t="s">
        <v>3041</v>
      </c>
      <c r="B3022" s="2">
        <v>17.0</v>
      </c>
      <c r="C3022" s="4"/>
      <c r="E3022" s="4" t="str">
        <f t="array" ref="E3022">XLOOKUP(A3022,'Fintech, Regulatory Arbitrage, '!A:A,'Fintech, Regulatory Arbitrage, '!C:C,"")</f>
        <v/>
      </c>
    </row>
    <row r="3023">
      <c r="A3023" s="1" t="s">
        <v>3042</v>
      </c>
      <c r="B3023" s="2">
        <v>17.0</v>
      </c>
      <c r="C3023" s="4"/>
      <c r="E3023" s="4" t="str">
        <f t="array" ref="E3023">XLOOKUP(A3023,'Fintech, Regulatory Arbitrage, '!A:A,'Fintech, Regulatory Arbitrage, '!C:C,"")</f>
        <v/>
      </c>
    </row>
    <row r="3024">
      <c r="A3024" s="1" t="s">
        <v>3043</v>
      </c>
      <c r="B3024" s="2">
        <v>17.0</v>
      </c>
      <c r="C3024" s="4"/>
      <c r="E3024" s="4" t="str">
        <f t="array" ref="E3024">XLOOKUP(A3024,'Fintech, Regulatory Arbitrage, '!A:A,'Fintech, Regulatory Arbitrage, '!C:C,"")</f>
        <v/>
      </c>
    </row>
    <row r="3025">
      <c r="A3025" s="1" t="s">
        <v>3044</v>
      </c>
      <c r="B3025" s="2">
        <v>17.0</v>
      </c>
      <c r="C3025" s="4"/>
      <c r="E3025" s="4" t="str">
        <f t="array" ref="E3025">XLOOKUP(A3025,'Fintech, Regulatory Arbitrage, '!A:A,'Fintech, Regulatory Arbitrage, '!C:C,"")</f>
        <v/>
      </c>
    </row>
    <row r="3026">
      <c r="A3026" s="1" t="s">
        <v>3045</v>
      </c>
      <c r="B3026" s="2">
        <v>17.0</v>
      </c>
      <c r="C3026" s="4"/>
      <c r="E3026" s="4" t="str">
        <f t="array" ref="E3026">XLOOKUP(A3026,'Fintech, Regulatory Arbitrage, '!A:A,'Fintech, Regulatory Arbitrage, '!C:C,"")</f>
        <v/>
      </c>
    </row>
    <row r="3027">
      <c r="A3027" s="1" t="s">
        <v>3046</v>
      </c>
      <c r="B3027" s="2">
        <v>17.0</v>
      </c>
      <c r="C3027" s="4"/>
      <c r="E3027" s="4" t="str">
        <f t="array" ref="E3027">XLOOKUP(A3027,'Fintech, Regulatory Arbitrage, '!A:A,'Fintech, Regulatory Arbitrage, '!C:C,"")</f>
        <v/>
      </c>
    </row>
    <row r="3028">
      <c r="A3028" s="1" t="s">
        <v>3047</v>
      </c>
      <c r="B3028" s="2">
        <v>17.0</v>
      </c>
      <c r="C3028" s="4"/>
      <c r="E3028" s="4" t="str">
        <f t="array" ref="E3028">XLOOKUP(A3028,'Fintech, Regulatory Arbitrage, '!A:A,'Fintech, Regulatory Arbitrage, '!C:C,"")</f>
        <v/>
      </c>
    </row>
    <row r="3029">
      <c r="A3029" s="1" t="s">
        <v>3048</v>
      </c>
      <c r="B3029" s="2">
        <v>17.0</v>
      </c>
      <c r="C3029" s="4"/>
      <c r="E3029" s="4" t="str">
        <f t="array" ref="E3029">XLOOKUP(A3029,'Fintech, Regulatory Arbitrage, '!A:A,'Fintech, Regulatory Arbitrage, '!C:C,"")</f>
        <v/>
      </c>
    </row>
    <row r="3030">
      <c r="A3030" s="1" t="s">
        <v>3049</v>
      </c>
      <c r="B3030" s="2">
        <v>17.0</v>
      </c>
      <c r="C3030" s="4"/>
      <c r="E3030" s="4" t="str">
        <f t="array" ref="E3030">XLOOKUP(A3030,'Fintech, Regulatory Arbitrage, '!A:A,'Fintech, Regulatory Arbitrage, '!C:C,"")</f>
        <v/>
      </c>
    </row>
    <row r="3031">
      <c r="A3031" s="1" t="s">
        <v>3050</v>
      </c>
      <c r="B3031" s="2">
        <v>17.0</v>
      </c>
      <c r="C3031" s="4"/>
      <c r="E3031" s="4" t="str">
        <f t="array" ref="E3031">XLOOKUP(A3031,'Fintech, Regulatory Arbitrage, '!A:A,'Fintech, Regulatory Arbitrage, '!C:C,"")</f>
        <v/>
      </c>
    </row>
    <row r="3032">
      <c r="A3032" s="1" t="s">
        <v>3051</v>
      </c>
      <c r="B3032" s="2">
        <v>17.0</v>
      </c>
      <c r="C3032" s="4"/>
      <c r="E3032" s="4" t="str">
        <f t="array" ref="E3032">XLOOKUP(A3032,'Fintech, Regulatory Arbitrage, '!A:A,'Fintech, Regulatory Arbitrage, '!C:C,"")</f>
        <v/>
      </c>
    </row>
    <row r="3033">
      <c r="A3033" s="1" t="s">
        <v>3052</v>
      </c>
      <c r="B3033" s="2">
        <v>17.0</v>
      </c>
      <c r="C3033" s="4"/>
      <c r="E3033" s="4" t="str">
        <f t="array" ref="E3033">XLOOKUP(A3033,'Fintech, Regulatory Arbitrage, '!A:A,'Fintech, Regulatory Arbitrage, '!C:C,"")</f>
        <v/>
      </c>
    </row>
    <row r="3034">
      <c r="A3034" s="1" t="s">
        <v>3053</v>
      </c>
      <c r="B3034" s="2">
        <v>17.0</v>
      </c>
      <c r="C3034" s="4"/>
      <c r="E3034" s="4" t="str">
        <f t="array" ref="E3034">XLOOKUP(A3034,'Fintech, Regulatory Arbitrage, '!A:A,'Fintech, Regulatory Arbitrage, '!C:C,"")</f>
        <v/>
      </c>
    </row>
    <row r="3035">
      <c r="A3035" s="1" t="s">
        <v>3054</v>
      </c>
      <c r="B3035" s="2">
        <v>17.0</v>
      </c>
      <c r="C3035" s="4"/>
      <c r="E3035" s="4" t="str">
        <f t="array" ref="E3035">XLOOKUP(A3035,'Fintech, Regulatory Arbitrage, '!A:A,'Fintech, Regulatory Arbitrage, '!C:C,"")</f>
        <v/>
      </c>
    </row>
    <row r="3036">
      <c r="A3036" s="1" t="s">
        <v>3055</v>
      </c>
      <c r="B3036" s="2">
        <v>17.0</v>
      </c>
      <c r="C3036" s="4"/>
      <c r="E3036" s="4" t="str">
        <f t="array" ref="E3036">XLOOKUP(A3036,'Fintech, Regulatory Arbitrage, '!A:A,'Fintech, Regulatory Arbitrage, '!C:C,"")</f>
        <v/>
      </c>
    </row>
    <row r="3037">
      <c r="A3037" s="1" t="s">
        <v>3056</v>
      </c>
      <c r="B3037" s="2">
        <v>17.0</v>
      </c>
      <c r="C3037" s="4"/>
      <c r="E3037" s="4" t="str">
        <f t="array" ref="E3037">XLOOKUP(A3037,'Fintech, Regulatory Arbitrage, '!A:A,'Fintech, Regulatory Arbitrage, '!C:C,"")</f>
        <v/>
      </c>
    </row>
    <row r="3038">
      <c r="A3038" s="1" t="s">
        <v>3057</v>
      </c>
      <c r="B3038" s="2">
        <v>17.0</v>
      </c>
      <c r="C3038" s="4"/>
      <c r="E3038" s="4" t="str">
        <f t="array" ref="E3038">XLOOKUP(A3038,'Fintech, Regulatory Arbitrage, '!A:A,'Fintech, Regulatory Arbitrage, '!C:C,"")</f>
        <v/>
      </c>
    </row>
    <row r="3039">
      <c r="A3039" s="1" t="s">
        <v>3058</v>
      </c>
      <c r="B3039" s="2">
        <v>17.0</v>
      </c>
      <c r="C3039" s="4"/>
      <c r="E3039" s="4" t="str">
        <f t="array" ref="E3039">XLOOKUP(A3039,'Fintech, Regulatory Arbitrage, '!A:A,'Fintech, Regulatory Arbitrage, '!C:C,"")</f>
        <v/>
      </c>
    </row>
    <row r="3040">
      <c r="A3040" s="1" t="s">
        <v>3059</v>
      </c>
      <c r="B3040" s="2">
        <v>17.0</v>
      </c>
      <c r="C3040" s="4"/>
      <c r="E3040" s="4" t="str">
        <f t="array" ref="E3040">XLOOKUP(A3040,'Fintech, Regulatory Arbitrage, '!A:A,'Fintech, Regulatory Arbitrage, '!C:C,"")</f>
        <v/>
      </c>
    </row>
    <row r="3041">
      <c r="A3041" s="1" t="s">
        <v>3060</v>
      </c>
      <c r="B3041" s="2">
        <v>17.0</v>
      </c>
      <c r="C3041" s="4"/>
      <c r="E3041" s="4" t="str">
        <f t="array" ref="E3041">XLOOKUP(A3041,'Fintech, Regulatory Arbitrage, '!A:A,'Fintech, Regulatory Arbitrage, '!C:C,"")</f>
        <v/>
      </c>
    </row>
    <row r="3042">
      <c r="A3042" s="1" t="s">
        <v>3061</v>
      </c>
      <c r="B3042" s="2">
        <v>17.0</v>
      </c>
      <c r="C3042" s="4"/>
      <c r="E3042" s="4" t="str">
        <f t="array" ref="E3042">XLOOKUP(A3042,'Fintech, Regulatory Arbitrage, '!A:A,'Fintech, Regulatory Arbitrage, '!C:C,"")</f>
        <v/>
      </c>
    </row>
    <row r="3043">
      <c r="A3043" s="1" t="s">
        <v>3062</v>
      </c>
      <c r="B3043" s="2">
        <v>17.0</v>
      </c>
      <c r="C3043" s="4"/>
      <c r="E3043" s="4" t="str">
        <f t="array" ref="E3043">XLOOKUP(A3043,'Fintech, Regulatory Arbitrage, '!A:A,'Fintech, Regulatory Arbitrage, '!C:C,"")</f>
        <v/>
      </c>
    </row>
    <row r="3044">
      <c r="A3044" s="1" t="s">
        <v>3063</v>
      </c>
      <c r="B3044" s="2">
        <v>17.0</v>
      </c>
      <c r="C3044" s="4"/>
      <c r="E3044" s="4" t="str">
        <f t="array" ref="E3044">XLOOKUP(A3044,'Fintech, Regulatory Arbitrage, '!A:A,'Fintech, Regulatory Arbitrage, '!C:C,"")</f>
        <v/>
      </c>
    </row>
    <row r="3045">
      <c r="A3045" s="1" t="s">
        <v>3064</v>
      </c>
      <c r="B3045" s="2">
        <v>17.0</v>
      </c>
      <c r="C3045" s="4"/>
      <c r="E3045" s="4" t="str">
        <f t="array" ref="E3045">XLOOKUP(A3045,'Fintech, Regulatory Arbitrage, '!A:A,'Fintech, Regulatory Arbitrage, '!C:C,"")</f>
        <v/>
      </c>
    </row>
    <row r="3046">
      <c r="A3046" s="1" t="s">
        <v>3065</v>
      </c>
      <c r="B3046" s="2">
        <v>17.0</v>
      </c>
      <c r="C3046" s="4"/>
      <c r="E3046" s="4" t="str">
        <f t="array" ref="E3046">XLOOKUP(A3046,'Fintech, Regulatory Arbitrage, '!A:A,'Fintech, Regulatory Arbitrage, '!C:C,"")</f>
        <v/>
      </c>
    </row>
    <row r="3047">
      <c r="A3047" s="1" t="s">
        <v>3066</v>
      </c>
      <c r="B3047" s="2">
        <v>17.0</v>
      </c>
      <c r="C3047" s="4"/>
      <c r="E3047" s="4" t="str">
        <f t="array" ref="E3047">XLOOKUP(A3047,'Fintech, Regulatory Arbitrage, '!A:A,'Fintech, Regulatory Arbitrage, '!C:C,"")</f>
        <v/>
      </c>
    </row>
    <row r="3048">
      <c r="A3048" s="1" t="s">
        <v>3067</v>
      </c>
      <c r="B3048" s="2">
        <v>17.0</v>
      </c>
      <c r="C3048" s="4"/>
      <c r="E3048" s="4" t="str">
        <f t="array" ref="E3048">XLOOKUP(A3048,'Fintech, Regulatory Arbitrage, '!A:A,'Fintech, Regulatory Arbitrage, '!C:C,"")</f>
        <v/>
      </c>
    </row>
    <row r="3049">
      <c r="A3049" s="1" t="s">
        <v>3068</v>
      </c>
      <c r="B3049" s="2">
        <v>17.0</v>
      </c>
      <c r="C3049" s="4"/>
      <c r="E3049" s="4" t="str">
        <f t="array" ref="E3049">XLOOKUP(A3049,'Fintech, Regulatory Arbitrage, '!A:A,'Fintech, Regulatory Arbitrage, '!C:C,"")</f>
        <v/>
      </c>
    </row>
    <row r="3050">
      <c r="A3050" s="1" t="s">
        <v>3069</v>
      </c>
      <c r="B3050" s="2">
        <v>17.0</v>
      </c>
      <c r="C3050" s="4"/>
      <c r="E3050" s="4" t="str">
        <f t="array" ref="E3050">XLOOKUP(A3050,'Fintech, Regulatory Arbitrage, '!A:A,'Fintech, Regulatory Arbitrage, '!C:C,"")</f>
        <v/>
      </c>
    </row>
    <row r="3051">
      <c r="A3051" s="1" t="s">
        <v>3070</v>
      </c>
      <c r="B3051" s="2">
        <v>17.0</v>
      </c>
      <c r="C3051" s="4"/>
      <c r="E3051" s="4" t="str">
        <f t="array" ref="E3051">XLOOKUP(A3051,'Fintech, Regulatory Arbitrage, '!A:A,'Fintech, Regulatory Arbitrage, '!C:C,"")</f>
        <v/>
      </c>
    </row>
    <row r="3052">
      <c r="A3052" s="1" t="s">
        <v>3071</v>
      </c>
      <c r="B3052" s="2">
        <v>17.0</v>
      </c>
      <c r="C3052" s="4"/>
      <c r="E3052" s="4" t="str">
        <f t="array" ref="E3052">XLOOKUP(A3052,'Fintech, Regulatory Arbitrage, '!A:A,'Fintech, Regulatory Arbitrage, '!C:C,"")</f>
        <v/>
      </c>
    </row>
    <row r="3053">
      <c r="A3053" s="1" t="s">
        <v>3072</v>
      </c>
      <c r="B3053" s="2">
        <v>17.0</v>
      </c>
      <c r="C3053" s="4"/>
      <c r="E3053" s="4" t="str">
        <f t="array" ref="E3053">XLOOKUP(A3053,'Fintech, Regulatory Arbitrage, '!A:A,'Fintech, Regulatory Arbitrage, '!C:C,"")</f>
        <v/>
      </c>
    </row>
    <row r="3054">
      <c r="A3054" s="1" t="s">
        <v>3073</v>
      </c>
      <c r="B3054" s="2">
        <v>17.0</v>
      </c>
      <c r="C3054" s="4"/>
      <c r="E3054" s="4" t="str">
        <f t="array" ref="E3054">XLOOKUP(A3054,'Fintech, Regulatory Arbitrage, '!A:A,'Fintech, Regulatory Arbitrage, '!C:C,"")</f>
        <v/>
      </c>
    </row>
    <row r="3055">
      <c r="A3055" s="1" t="s">
        <v>3074</v>
      </c>
      <c r="B3055" s="2">
        <v>17.0</v>
      </c>
      <c r="C3055" s="4"/>
      <c r="E3055" s="4" t="str">
        <f t="array" ref="E3055">XLOOKUP(A3055,'Fintech, Regulatory Arbitrage, '!A:A,'Fintech, Regulatory Arbitrage, '!C:C,"")</f>
        <v/>
      </c>
    </row>
    <row r="3056">
      <c r="A3056" s="1" t="s">
        <v>3075</v>
      </c>
      <c r="B3056" s="2">
        <v>17.0</v>
      </c>
      <c r="C3056" s="4"/>
      <c r="E3056" s="4" t="str">
        <f t="array" ref="E3056">XLOOKUP(A3056,'Fintech, Regulatory Arbitrage, '!A:A,'Fintech, Regulatory Arbitrage, '!C:C,"")</f>
        <v/>
      </c>
    </row>
    <row r="3057">
      <c r="A3057" s="1" t="s">
        <v>3076</v>
      </c>
      <c r="B3057" s="2">
        <v>17.0</v>
      </c>
      <c r="C3057" s="4"/>
      <c r="E3057" s="4" t="str">
        <f t="array" ref="E3057">XLOOKUP(A3057,'Fintech, Regulatory Arbitrage, '!A:A,'Fintech, Regulatory Arbitrage, '!C:C,"")</f>
        <v/>
      </c>
    </row>
    <row r="3058">
      <c r="A3058" s="1" t="s">
        <v>3077</v>
      </c>
      <c r="B3058" s="2">
        <v>17.0</v>
      </c>
      <c r="C3058" s="4"/>
      <c r="E3058" s="4" t="str">
        <f t="array" ref="E3058">XLOOKUP(A3058,'Fintech, Regulatory Arbitrage, '!A:A,'Fintech, Regulatory Arbitrage, '!C:C,"")</f>
        <v/>
      </c>
    </row>
    <row r="3059">
      <c r="A3059" s="1" t="s">
        <v>3078</v>
      </c>
      <c r="B3059" s="2">
        <v>17.0</v>
      </c>
      <c r="C3059" s="4"/>
      <c r="E3059" s="4" t="str">
        <f t="array" ref="E3059">XLOOKUP(A3059,'Fintech, Regulatory Arbitrage, '!A:A,'Fintech, Regulatory Arbitrage, '!C:C,"")</f>
        <v/>
      </c>
    </row>
    <row r="3060">
      <c r="A3060" s="1" t="s">
        <v>3079</v>
      </c>
      <c r="B3060" s="2">
        <v>17.0</v>
      </c>
      <c r="C3060" s="4"/>
      <c r="E3060" s="4" t="str">
        <f t="array" ref="E3060">XLOOKUP(A3060,'Fintech, Regulatory Arbitrage, '!A:A,'Fintech, Regulatory Arbitrage, '!C:C,"")</f>
        <v/>
      </c>
    </row>
    <row r="3061">
      <c r="A3061" s="1" t="s">
        <v>3080</v>
      </c>
      <c r="B3061" s="2">
        <v>17.0</v>
      </c>
      <c r="C3061" s="4"/>
      <c r="E3061" s="4" t="str">
        <f t="array" ref="E3061">XLOOKUP(A3061,'Fintech, Regulatory Arbitrage, '!A:A,'Fintech, Regulatory Arbitrage, '!C:C,"")</f>
        <v/>
      </c>
    </row>
    <row r="3062">
      <c r="A3062" s="1" t="s">
        <v>3081</v>
      </c>
      <c r="B3062" s="2">
        <v>17.0</v>
      </c>
      <c r="C3062" s="4"/>
      <c r="E3062" s="4" t="str">
        <f t="array" ref="E3062">XLOOKUP(A3062,'Fintech, Regulatory Arbitrage, '!A:A,'Fintech, Regulatory Arbitrage, '!C:C,"")</f>
        <v/>
      </c>
    </row>
    <row r="3063">
      <c r="A3063" s="1" t="s">
        <v>3082</v>
      </c>
      <c r="B3063" s="2">
        <v>17.0</v>
      </c>
      <c r="C3063" s="4"/>
      <c r="E3063" s="4" t="str">
        <f t="array" ref="E3063">XLOOKUP(A3063,'Fintech, Regulatory Arbitrage, '!A:A,'Fintech, Regulatory Arbitrage, '!C:C,"")</f>
        <v/>
      </c>
    </row>
    <row r="3064">
      <c r="A3064" s="1" t="s">
        <v>3083</v>
      </c>
      <c r="B3064" s="2">
        <v>17.0</v>
      </c>
      <c r="C3064" s="4"/>
      <c r="E3064" s="4" t="str">
        <f t="array" ref="E3064">XLOOKUP(A3064,'Fintech, Regulatory Arbitrage, '!A:A,'Fintech, Regulatory Arbitrage, '!C:C,"")</f>
        <v/>
      </c>
    </row>
    <row r="3065">
      <c r="A3065" s="1" t="s">
        <v>3084</v>
      </c>
      <c r="B3065" s="2">
        <v>17.0</v>
      </c>
      <c r="C3065" s="4"/>
      <c r="E3065" s="4" t="str">
        <f t="array" ref="E3065">XLOOKUP(A3065,'Fintech, Regulatory Arbitrage, '!A:A,'Fintech, Regulatory Arbitrage, '!C:C,"")</f>
        <v/>
      </c>
    </row>
    <row r="3066">
      <c r="A3066" s="1" t="s">
        <v>3085</v>
      </c>
      <c r="B3066" s="2">
        <v>17.0</v>
      </c>
      <c r="C3066" s="4"/>
      <c r="E3066" s="4" t="str">
        <f t="array" ref="E3066">XLOOKUP(A3066,'Fintech, Regulatory Arbitrage, '!A:A,'Fintech, Regulatory Arbitrage, '!C:C,"")</f>
        <v/>
      </c>
    </row>
    <row r="3067">
      <c r="A3067" s="1" t="s">
        <v>3086</v>
      </c>
      <c r="B3067" s="2">
        <v>17.0</v>
      </c>
      <c r="C3067" s="4"/>
      <c r="E3067" s="4" t="str">
        <f t="array" ref="E3067">XLOOKUP(A3067,'Fintech, Regulatory Arbitrage, '!A:A,'Fintech, Regulatory Arbitrage, '!C:C,"")</f>
        <v/>
      </c>
    </row>
    <row r="3068">
      <c r="A3068" s="1" t="s">
        <v>3087</v>
      </c>
      <c r="B3068" s="2">
        <v>17.0</v>
      </c>
      <c r="C3068" s="4"/>
      <c r="E3068" s="4" t="str">
        <f t="array" ref="E3068">XLOOKUP(A3068,'Fintech, Regulatory Arbitrage, '!A:A,'Fintech, Regulatory Arbitrage, '!C:C,"")</f>
        <v/>
      </c>
    </row>
    <row r="3069">
      <c r="A3069" s="1" t="s">
        <v>3088</v>
      </c>
      <c r="B3069" s="2">
        <v>17.0</v>
      </c>
      <c r="C3069" s="4"/>
      <c r="E3069" s="4" t="str">
        <f t="array" ref="E3069">XLOOKUP(A3069,'Fintech, Regulatory Arbitrage, '!A:A,'Fintech, Regulatory Arbitrage, '!C:C,"")</f>
        <v/>
      </c>
    </row>
    <row r="3070">
      <c r="A3070" s="1" t="s">
        <v>3089</v>
      </c>
      <c r="B3070" s="2">
        <v>16.0</v>
      </c>
      <c r="C3070" s="4"/>
      <c r="E3070" s="4" t="str">
        <f t="array" ref="E3070">XLOOKUP(A3070,'Fintech, Regulatory Arbitrage, '!A:A,'Fintech, Regulatory Arbitrage, '!C:C,"")</f>
        <v/>
      </c>
    </row>
    <row r="3071">
      <c r="A3071" s="1" t="s">
        <v>3090</v>
      </c>
      <c r="B3071" s="2">
        <v>16.0</v>
      </c>
      <c r="C3071" s="4"/>
      <c r="E3071" s="4" t="str">
        <f t="array" ref="E3071">XLOOKUP(A3071,'Fintech, Regulatory Arbitrage, '!A:A,'Fintech, Regulatory Arbitrage, '!C:C,"")</f>
        <v/>
      </c>
    </row>
    <row r="3072">
      <c r="A3072" s="1" t="s">
        <v>3091</v>
      </c>
      <c r="B3072" s="2">
        <v>16.0</v>
      </c>
      <c r="C3072" s="4"/>
      <c r="E3072" s="4" t="str">
        <f t="array" ref="E3072">XLOOKUP(A3072,'Fintech, Regulatory Arbitrage, '!A:A,'Fintech, Regulatory Arbitrage, '!C:C,"")</f>
        <v/>
      </c>
    </row>
    <row r="3073">
      <c r="A3073" s="1" t="s">
        <v>3092</v>
      </c>
      <c r="B3073" s="2">
        <v>16.0</v>
      </c>
      <c r="C3073" s="4"/>
      <c r="E3073" s="4" t="str">
        <f t="array" ref="E3073">XLOOKUP(A3073,'Fintech, Regulatory Arbitrage, '!A:A,'Fintech, Regulatory Arbitrage, '!C:C,"")</f>
        <v/>
      </c>
    </row>
    <row r="3074">
      <c r="A3074" s="1" t="s">
        <v>3093</v>
      </c>
      <c r="B3074" s="2">
        <v>16.0</v>
      </c>
      <c r="C3074" s="4"/>
      <c r="E3074" s="4" t="str">
        <f t="array" ref="E3074">XLOOKUP(A3074,'Fintech, Regulatory Arbitrage, '!A:A,'Fintech, Regulatory Arbitrage, '!C:C,"")</f>
        <v/>
      </c>
    </row>
    <row r="3075">
      <c r="A3075" s="1" t="s">
        <v>3094</v>
      </c>
      <c r="B3075" s="2">
        <v>16.0</v>
      </c>
      <c r="C3075" s="4"/>
      <c r="E3075" s="4" t="str">
        <f t="array" ref="E3075">XLOOKUP(A3075,'Fintech, Regulatory Arbitrage, '!A:A,'Fintech, Regulatory Arbitrage, '!C:C,"")</f>
        <v/>
      </c>
    </row>
    <row r="3076">
      <c r="A3076" s="1" t="s">
        <v>3095</v>
      </c>
      <c r="B3076" s="2">
        <v>16.0</v>
      </c>
      <c r="C3076" s="4"/>
      <c r="E3076" s="4" t="str">
        <f t="array" ref="E3076">XLOOKUP(A3076,'Fintech, Regulatory Arbitrage, '!A:A,'Fintech, Regulatory Arbitrage, '!C:C,"")</f>
        <v/>
      </c>
    </row>
    <row r="3077">
      <c r="A3077" s="1" t="s">
        <v>3096</v>
      </c>
      <c r="B3077" s="2">
        <v>16.0</v>
      </c>
      <c r="C3077" s="4"/>
      <c r="E3077" s="4" t="str">
        <f t="array" ref="E3077">XLOOKUP(A3077,'Fintech, Regulatory Arbitrage, '!A:A,'Fintech, Regulatory Arbitrage, '!C:C,"")</f>
        <v/>
      </c>
    </row>
    <row r="3078">
      <c r="A3078" s="1" t="s">
        <v>3097</v>
      </c>
      <c r="B3078" s="2">
        <v>16.0</v>
      </c>
      <c r="C3078" s="4"/>
      <c r="E3078" s="4" t="str">
        <f t="array" ref="E3078">XLOOKUP(A3078,'Fintech, Regulatory Arbitrage, '!A:A,'Fintech, Regulatory Arbitrage, '!C:C,"")</f>
        <v/>
      </c>
    </row>
    <row r="3079">
      <c r="A3079" s="1" t="s">
        <v>3098</v>
      </c>
      <c r="B3079" s="2">
        <v>16.0</v>
      </c>
      <c r="C3079" s="4"/>
      <c r="E3079" s="4" t="str">
        <f t="array" ref="E3079">XLOOKUP(A3079,'Fintech, Regulatory Arbitrage, '!A:A,'Fintech, Regulatory Arbitrage, '!C:C,"")</f>
        <v/>
      </c>
    </row>
    <row r="3080">
      <c r="A3080" s="1" t="s">
        <v>3099</v>
      </c>
      <c r="B3080" s="2">
        <v>16.0</v>
      </c>
      <c r="C3080" s="4"/>
      <c r="E3080" s="4" t="str">
        <f t="array" ref="E3080">XLOOKUP(A3080,'Fintech, Regulatory Arbitrage, '!A:A,'Fintech, Regulatory Arbitrage, '!C:C,"")</f>
        <v/>
      </c>
    </row>
    <row r="3081">
      <c r="A3081" s="1" t="s">
        <v>3100</v>
      </c>
      <c r="B3081" s="2">
        <v>16.0</v>
      </c>
      <c r="C3081" s="4"/>
      <c r="E3081" s="4" t="str">
        <f t="array" ref="E3081">XLOOKUP(A3081,'Fintech, Regulatory Arbitrage, '!A:A,'Fintech, Regulatory Arbitrage, '!C:C,"")</f>
        <v/>
      </c>
    </row>
    <row r="3082">
      <c r="A3082" s="1" t="s">
        <v>3101</v>
      </c>
      <c r="B3082" s="2">
        <v>16.0</v>
      </c>
      <c r="C3082" s="4"/>
      <c r="E3082" s="4" t="str">
        <f t="array" ref="E3082">XLOOKUP(A3082,'Fintech, Regulatory Arbitrage, '!A:A,'Fintech, Regulatory Arbitrage, '!C:C,"")</f>
        <v/>
      </c>
    </row>
    <row r="3083">
      <c r="A3083" s="1" t="s">
        <v>3102</v>
      </c>
      <c r="B3083" s="2">
        <v>16.0</v>
      </c>
      <c r="C3083" s="4"/>
      <c r="E3083" s="4" t="str">
        <f t="array" ref="E3083">XLOOKUP(A3083,'Fintech, Regulatory Arbitrage, '!A:A,'Fintech, Regulatory Arbitrage, '!C:C,"")</f>
        <v/>
      </c>
    </row>
    <row r="3084">
      <c r="A3084" s="1" t="s">
        <v>3103</v>
      </c>
      <c r="B3084" s="2">
        <v>16.0</v>
      </c>
      <c r="C3084" s="4"/>
      <c r="E3084" s="4" t="str">
        <f t="array" ref="E3084">XLOOKUP(A3084,'Fintech, Regulatory Arbitrage, '!A:A,'Fintech, Regulatory Arbitrage, '!C:C,"")</f>
        <v/>
      </c>
    </row>
    <row r="3085">
      <c r="A3085" s="1" t="s">
        <v>3104</v>
      </c>
      <c r="B3085" s="2">
        <v>16.0</v>
      </c>
      <c r="C3085" s="4"/>
      <c r="E3085" s="4" t="str">
        <f t="array" ref="E3085">XLOOKUP(A3085,'Fintech, Regulatory Arbitrage, '!A:A,'Fintech, Regulatory Arbitrage, '!C:C,"")</f>
        <v/>
      </c>
    </row>
    <row r="3086">
      <c r="A3086" s="1" t="s">
        <v>3105</v>
      </c>
      <c r="B3086" s="2">
        <v>16.0</v>
      </c>
      <c r="C3086" s="4"/>
      <c r="E3086" s="4" t="str">
        <f t="array" ref="E3086">XLOOKUP(A3086,'Fintech, Regulatory Arbitrage, '!A:A,'Fintech, Regulatory Arbitrage, '!C:C,"")</f>
        <v/>
      </c>
    </row>
    <row r="3087">
      <c r="A3087" s="1" t="s">
        <v>3106</v>
      </c>
      <c r="B3087" s="2">
        <v>16.0</v>
      </c>
      <c r="C3087" s="4"/>
      <c r="E3087" s="4" t="str">
        <f t="array" ref="E3087">XLOOKUP(A3087,'Fintech, Regulatory Arbitrage, '!A:A,'Fintech, Regulatory Arbitrage, '!C:C,"")</f>
        <v/>
      </c>
    </row>
    <row r="3088">
      <c r="A3088" s="1" t="s">
        <v>3107</v>
      </c>
      <c r="B3088" s="2">
        <v>16.0</v>
      </c>
      <c r="C3088" s="4"/>
      <c r="E3088" s="4" t="str">
        <f t="array" ref="E3088">XLOOKUP(A3088,'Fintech, Regulatory Arbitrage, '!A:A,'Fintech, Regulatory Arbitrage, '!C:C,"")</f>
        <v/>
      </c>
    </row>
    <row r="3089">
      <c r="A3089" s="1" t="s">
        <v>3108</v>
      </c>
      <c r="B3089" s="2">
        <v>16.0</v>
      </c>
      <c r="C3089" s="4"/>
      <c r="E3089" s="4" t="str">
        <f t="array" ref="E3089">XLOOKUP(A3089,'Fintech, Regulatory Arbitrage, '!A:A,'Fintech, Regulatory Arbitrage, '!C:C,"")</f>
        <v/>
      </c>
    </row>
    <row r="3090">
      <c r="A3090" s="1" t="s">
        <v>3109</v>
      </c>
      <c r="B3090" s="2">
        <v>16.0</v>
      </c>
      <c r="C3090" s="4"/>
      <c r="E3090" s="4" t="str">
        <f t="array" ref="E3090">XLOOKUP(A3090,'Fintech, Regulatory Arbitrage, '!A:A,'Fintech, Regulatory Arbitrage, '!C:C,"")</f>
        <v/>
      </c>
    </row>
    <row r="3091">
      <c r="A3091" s="1" t="s">
        <v>3110</v>
      </c>
      <c r="B3091" s="2">
        <v>16.0</v>
      </c>
      <c r="C3091" s="4"/>
      <c r="E3091" s="4" t="str">
        <f t="array" ref="E3091">XLOOKUP(A3091,'Fintech, Regulatory Arbitrage, '!A:A,'Fintech, Regulatory Arbitrage, '!C:C,"")</f>
        <v/>
      </c>
    </row>
    <row r="3092">
      <c r="A3092" s="1" t="s">
        <v>3111</v>
      </c>
      <c r="B3092" s="2">
        <v>16.0</v>
      </c>
      <c r="C3092" s="4"/>
      <c r="E3092" s="4" t="str">
        <f t="array" ref="E3092">XLOOKUP(A3092,'Fintech, Regulatory Arbitrage, '!A:A,'Fintech, Regulatory Arbitrage, '!C:C,"")</f>
        <v/>
      </c>
    </row>
    <row r="3093">
      <c r="A3093" s="1" t="s">
        <v>3112</v>
      </c>
      <c r="B3093" s="2">
        <v>16.0</v>
      </c>
      <c r="C3093" s="4"/>
      <c r="E3093" s="4" t="str">
        <f t="array" ref="E3093">XLOOKUP(A3093,'Fintech, Regulatory Arbitrage, '!A:A,'Fintech, Regulatory Arbitrage, '!C:C,"")</f>
        <v/>
      </c>
    </row>
    <row r="3094">
      <c r="A3094" s="1" t="s">
        <v>3113</v>
      </c>
      <c r="B3094" s="2">
        <v>16.0</v>
      </c>
      <c r="C3094" s="4"/>
      <c r="E3094" s="4" t="str">
        <f t="array" ref="E3094">XLOOKUP(A3094,'Fintech, Regulatory Arbitrage, '!A:A,'Fintech, Regulatory Arbitrage, '!C:C,"")</f>
        <v/>
      </c>
    </row>
    <row r="3095">
      <c r="A3095" s="1" t="s">
        <v>3114</v>
      </c>
      <c r="B3095" s="2">
        <v>16.0</v>
      </c>
      <c r="C3095" s="4"/>
      <c r="E3095" s="4" t="str">
        <f t="array" ref="E3095">XLOOKUP(A3095,'Fintech, Regulatory Arbitrage, '!A:A,'Fintech, Regulatory Arbitrage, '!C:C,"")</f>
        <v/>
      </c>
    </row>
    <row r="3096">
      <c r="A3096" s="1" t="s">
        <v>3115</v>
      </c>
      <c r="B3096" s="2">
        <v>16.0</v>
      </c>
      <c r="C3096" s="4"/>
      <c r="E3096" s="4" t="str">
        <f t="array" ref="E3096">XLOOKUP(A3096,'Fintech, Regulatory Arbitrage, '!A:A,'Fintech, Regulatory Arbitrage, '!C:C,"")</f>
        <v/>
      </c>
    </row>
    <row r="3097">
      <c r="A3097" s="1" t="s">
        <v>3116</v>
      </c>
      <c r="B3097" s="2">
        <v>16.0</v>
      </c>
      <c r="C3097" s="4"/>
      <c r="E3097" s="4" t="str">
        <f t="array" ref="E3097">XLOOKUP(A3097,'Fintech, Regulatory Arbitrage, '!A:A,'Fintech, Regulatory Arbitrage, '!C:C,"")</f>
        <v/>
      </c>
    </row>
    <row r="3098">
      <c r="A3098" s="1" t="s">
        <v>3117</v>
      </c>
      <c r="B3098" s="2">
        <v>16.0</v>
      </c>
      <c r="C3098" s="4"/>
      <c r="E3098" s="4" t="str">
        <f t="array" ref="E3098">XLOOKUP(A3098,'Fintech, Regulatory Arbitrage, '!A:A,'Fintech, Regulatory Arbitrage, '!C:C,"")</f>
        <v/>
      </c>
    </row>
    <row r="3099">
      <c r="A3099" s="1" t="s">
        <v>3118</v>
      </c>
      <c r="B3099" s="2">
        <v>16.0</v>
      </c>
      <c r="C3099" s="4"/>
      <c r="E3099" s="4" t="str">
        <f t="array" ref="E3099">XLOOKUP(A3099,'Fintech, Regulatory Arbitrage, '!A:A,'Fintech, Regulatory Arbitrage, '!C:C,"")</f>
        <v/>
      </c>
    </row>
    <row r="3100">
      <c r="A3100" s="1" t="s">
        <v>3119</v>
      </c>
      <c r="B3100" s="2">
        <v>16.0</v>
      </c>
      <c r="C3100" s="4"/>
      <c r="E3100" s="4" t="str">
        <f t="array" ref="E3100">XLOOKUP(A3100,'Fintech, Regulatory Arbitrage, '!A:A,'Fintech, Regulatory Arbitrage, '!C:C,"")</f>
        <v/>
      </c>
    </row>
    <row r="3101">
      <c r="A3101" s="1" t="s">
        <v>3120</v>
      </c>
      <c r="B3101" s="2">
        <v>16.0</v>
      </c>
      <c r="C3101" s="4"/>
      <c r="E3101" s="4" t="str">
        <f t="array" ref="E3101">XLOOKUP(A3101,'Fintech, Regulatory Arbitrage, '!A:A,'Fintech, Regulatory Arbitrage, '!C:C,"")</f>
        <v/>
      </c>
    </row>
    <row r="3102">
      <c r="A3102" s="1" t="s">
        <v>3121</v>
      </c>
      <c r="B3102" s="2">
        <v>16.0</v>
      </c>
      <c r="C3102" s="4"/>
      <c r="E3102" s="4" t="str">
        <f t="array" ref="E3102">XLOOKUP(A3102,'Fintech, Regulatory Arbitrage, '!A:A,'Fintech, Regulatory Arbitrage, '!C:C,"")</f>
        <v/>
      </c>
    </row>
    <row r="3103">
      <c r="A3103" s="1" t="s">
        <v>3122</v>
      </c>
      <c r="B3103" s="2">
        <v>16.0</v>
      </c>
      <c r="C3103" s="4"/>
      <c r="E3103" s="4" t="str">
        <f t="array" ref="E3103">XLOOKUP(A3103,'Fintech, Regulatory Arbitrage, '!A:A,'Fintech, Regulatory Arbitrage, '!C:C,"")</f>
        <v/>
      </c>
    </row>
    <row r="3104">
      <c r="A3104" s="1" t="s">
        <v>3123</v>
      </c>
      <c r="B3104" s="2">
        <v>16.0</v>
      </c>
      <c r="C3104" s="4"/>
      <c r="E3104" s="4" t="str">
        <f t="array" ref="E3104">XLOOKUP(A3104,'Fintech, Regulatory Arbitrage, '!A:A,'Fintech, Regulatory Arbitrage, '!C:C,"")</f>
        <v/>
      </c>
    </row>
    <row r="3105">
      <c r="A3105" s="1" t="s">
        <v>3124</v>
      </c>
      <c r="B3105" s="2">
        <v>16.0</v>
      </c>
      <c r="C3105" s="4"/>
      <c r="E3105" s="4" t="str">
        <f t="array" ref="E3105">XLOOKUP(A3105,'Fintech, Regulatory Arbitrage, '!A:A,'Fintech, Regulatory Arbitrage, '!C:C,"")</f>
        <v/>
      </c>
    </row>
    <row r="3106">
      <c r="A3106" s="1" t="s">
        <v>3125</v>
      </c>
      <c r="B3106" s="2">
        <v>16.0</v>
      </c>
      <c r="C3106" s="4"/>
      <c r="E3106" s="4" t="str">
        <f t="array" ref="E3106">XLOOKUP(A3106,'Fintech, Regulatory Arbitrage, '!A:A,'Fintech, Regulatory Arbitrage, '!C:C,"")</f>
        <v/>
      </c>
    </row>
    <row r="3107">
      <c r="A3107" s="1" t="s">
        <v>3126</v>
      </c>
      <c r="B3107" s="2">
        <v>16.0</v>
      </c>
      <c r="C3107" s="4"/>
      <c r="E3107" s="4" t="str">
        <f t="array" ref="E3107">XLOOKUP(A3107,'Fintech, Regulatory Arbitrage, '!A:A,'Fintech, Regulatory Arbitrage, '!C:C,"")</f>
        <v/>
      </c>
    </row>
    <row r="3108">
      <c r="A3108" s="1" t="s">
        <v>3127</v>
      </c>
      <c r="B3108" s="2">
        <v>16.0</v>
      </c>
      <c r="C3108" s="4"/>
      <c r="E3108" s="4" t="str">
        <f t="array" ref="E3108">XLOOKUP(A3108,'Fintech, Regulatory Arbitrage, '!A:A,'Fintech, Regulatory Arbitrage, '!C:C,"")</f>
        <v/>
      </c>
    </row>
    <row r="3109">
      <c r="A3109" s="1" t="s">
        <v>3128</v>
      </c>
      <c r="B3109" s="2">
        <v>16.0</v>
      </c>
      <c r="C3109" s="4"/>
      <c r="E3109" s="4" t="str">
        <f t="array" ref="E3109">XLOOKUP(A3109,'Fintech, Regulatory Arbitrage, '!A:A,'Fintech, Regulatory Arbitrage, '!C:C,"")</f>
        <v/>
      </c>
    </row>
    <row r="3110">
      <c r="A3110" s="1" t="s">
        <v>3129</v>
      </c>
      <c r="B3110" s="2">
        <v>16.0</v>
      </c>
      <c r="C3110" s="4"/>
      <c r="E3110" s="4" t="str">
        <f t="array" ref="E3110">XLOOKUP(A3110,'Fintech, Regulatory Arbitrage, '!A:A,'Fintech, Regulatory Arbitrage, '!C:C,"")</f>
        <v/>
      </c>
    </row>
    <row r="3111">
      <c r="A3111" s="1" t="s">
        <v>3130</v>
      </c>
      <c r="B3111" s="2">
        <v>16.0</v>
      </c>
      <c r="C3111" s="4"/>
      <c r="E3111" s="4" t="str">
        <f t="array" ref="E3111">XLOOKUP(A3111,'Fintech, Regulatory Arbitrage, '!A:A,'Fintech, Regulatory Arbitrage, '!C:C,"")</f>
        <v/>
      </c>
    </row>
    <row r="3112">
      <c r="A3112" s="1" t="s">
        <v>3131</v>
      </c>
      <c r="B3112" s="2">
        <v>16.0</v>
      </c>
      <c r="C3112" s="4"/>
      <c r="E3112" s="4" t="str">
        <f t="array" ref="E3112">XLOOKUP(A3112,'Fintech, Regulatory Arbitrage, '!A:A,'Fintech, Regulatory Arbitrage, '!C:C,"")</f>
        <v/>
      </c>
    </row>
    <row r="3113">
      <c r="A3113" s="1" t="s">
        <v>3132</v>
      </c>
      <c r="B3113" s="2">
        <v>16.0</v>
      </c>
      <c r="C3113" s="4"/>
      <c r="E3113" s="4" t="str">
        <f t="array" ref="E3113">XLOOKUP(A3113,'Fintech, Regulatory Arbitrage, '!A:A,'Fintech, Regulatory Arbitrage, '!C:C,"")</f>
        <v/>
      </c>
    </row>
    <row r="3114">
      <c r="A3114" s="1" t="s">
        <v>3133</v>
      </c>
      <c r="B3114" s="2">
        <v>16.0</v>
      </c>
      <c r="C3114" s="4"/>
      <c r="E3114" s="4" t="str">
        <f t="array" ref="E3114">XLOOKUP(A3114,'Fintech, Regulatory Arbitrage, '!A:A,'Fintech, Regulatory Arbitrage, '!C:C,"")</f>
        <v/>
      </c>
    </row>
    <row r="3115">
      <c r="A3115" s="1" t="s">
        <v>3134</v>
      </c>
      <c r="B3115" s="2">
        <v>16.0</v>
      </c>
      <c r="C3115" s="4"/>
      <c r="E3115" s="4" t="str">
        <f t="array" ref="E3115">XLOOKUP(A3115,'Fintech, Regulatory Arbitrage, '!A:A,'Fintech, Regulatory Arbitrage, '!C:C,"")</f>
        <v/>
      </c>
    </row>
    <row r="3116">
      <c r="A3116" s="1" t="s">
        <v>3135</v>
      </c>
      <c r="B3116" s="2">
        <v>16.0</v>
      </c>
      <c r="C3116" s="4"/>
      <c r="E3116" s="4" t="str">
        <f t="array" ref="E3116">XLOOKUP(A3116,'Fintech, Regulatory Arbitrage, '!A:A,'Fintech, Regulatory Arbitrage, '!C:C,"")</f>
        <v/>
      </c>
    </row>
    <row r="3117">
      <c r="A3117" s="1" t="s">
        <v>3136</v>
      </c>
      <c r="B3117" s="2">
        <v>16.0</v>
      </c>
      <c r="C3117" s="4"/>
      <c r="E3117" s="4" t="str">
        <f t="array" ref="E3117">XLOOKUP(A3117,'Fintech, Regulatory Arbitrage, '!A:A,'Fintech, Regulatory Arbitrage, '!C:C,"")</f>
        <v/>
      </c>
    </row>
    <row r="3118">
      <c r="A3118" s="1" t="s">
        <v>3137</v>
      </c>
      <c r="B3118" s="2">
        <v>16.0</v>
      </c>
      <c r="C3118" s="4"/>
      <c r="E3118" s="4" t="str">
        <f t="array" ref="E3118">XLOOKUP(A3118,'Fintech, Regulatory Arbitrage, '!A:A,'Fintech, Regulatory Arbitrage, '!C:C,"")</f>
        <v/>
      </c>
    </row>
    <row r="3119">
      <c r="A3119" s="1" t="s">
        <v>3138</v>
      </c>
      <c r="B3119" s="2">
        <v>16.0</v>
      </c>
      <c r="C3119" s="4"/>
      <c r="E3119" s="4" t="str">
        <f t="array" ref="E3119">XLOOKUP(A3119,'Fintech, Regulatory Arbitrage, '!A:A,'Fintech, Regulatory Arbitrage, '!C:C,"")</f>
        <v/>
      </c>
    </row>
    <row r="3120">
      <c r="A3120" s="1" t="s">
        <v>3139</v>
      </c>
      <c r="B3120" s="2">
        <v>16.0</v>
      </c>
      <c r="C3120" s="4"/>
      <c r="E3120" s="4" t="str">
        <f t="array" ref="E3120">XLOOKUP(A3120,'Fintech, Regulatory Arbitrage, '!A:A,'Fintech, Regulatory Arbitrage, '!C:C,"")</f>
        <v/>
      </c>
    </row>
    <row r="3121">
      <c r="A3121" s="1" t="s">
        <v>3140</v>
      </c>
      <c r="B3121" s="2">
        <v>16.0</v>
      </c>
      <c r="C3121" s="4"/>
      <c r="E3121" s="4" t="str">
        <f t="array" ref="E3121">XLOOKUP(A3121,'Fintech, Regulatory Arbitrage, '!A:A,'Fintech, Regulatory Arbitrage, '!C:C,"")</f>
        <v/>
      </c>
    </row>
    <row r="3122">
      <c r="A3122" s="1" t="s">
        <v>3141</v>
      </c>
      <c r="B3122" s="2">
        <v>16.0</v>
      </c>
      <c r="C3122" s="4"/>
      <c r="E3122" s="4" t="str">
        <f t="array" ref="E3122">XLOOKUP(A3122,'Fintech, Regulatory Arbitrage, '!A:A,'Fintech, Regulatory Arbitrage, '!C:C,"")</f>
        <v/>
      </c>
    </row>
    <row r="3123">
      <c r="A3123" s="1" t="s">
        <v>3142</v>
      </c>
      <c r="B3123" s="2">
        <v>16.0</v>
      </c>
      <c r="C3123" s="4"/>
      <c r="E3123" s="4" t="str">
        <f t="array" ref="E3123">XLOOKUP(A3123,'Fintech, Regulatory Arbitrage, '!A:A,'Fintech, Regulatory Arbitrage, '!C:C,"")</f>
        <v/>
      </c>
    </row>
    <row r="3124">
      <c r="A3124" s="1" t="s">
        <v>3143</v>
      </c>
      <c r="B3124" s="2">
        <v>16.0</v>
      </c>
      <c r="C3124" s="4"/>
      <c r="E3124" s="4" t="str">
        <f t="array" ref="E3124">XLOOKUP(A3124,'Fintech, Regulatory Arbitrage, '!A:A,'Fintech, Regulatory Arbitrage, '!C:C,"")</f>
        <v/>
      </c>
    </row>
    <row r="3125">
      <c r="A3125" s="1" t="s">
        <v>3144</v>
      </c>
      <c r="B3125" s="2">
        <v>16.0</v>
      </c>
      <c r="C3125" s="4"/>
      <c r="E3125" s="4" t="str">
        <f t="array" ref="E3125">XLOOKUP(A3125,'Fintech, Regulatory Arbitrage, '!A:A,'Fintech, Regulatory Arbitrage, '!C:C,"")</f>
        <v/>
      </c>
    </row>
    <row r="3126">
      <c r="A3126" s="1" t="s">
        <v>3145</v>
      </c>
      <c r="B3126" s="2">
        <v>16.0</v>
      </c>
      <c r="C3126" s="4"/>
      <c r="E3126" s="4" t="str">
        <f t="array" ref="E3126">XLOOKUP(A3126,'Fintech, Regulatory Arbitrage, '!A:A,'Fintech, Regulatory Arbitrage, '!C:C,"")</f>
        <v/>
      </c>
    </row>
    <row r="3127">
      <c r="A3127" s="1" t="s">
        <v>3146</v>
      </c>
      <c r="B3127" s="2">
        <v>16.0</v>
      </c>
      <c r="C3127" s="4"/>
      <c r="E3127" s="4" t="str">
        <f t="array" ref="E3127">XLOOKUP(A3127,'Fintech, Regulatory Arbitrage, '!A:A,'Fintech, Regulatory Arbitrage, '!C:C,"")</f>
        <v/>
      </c>
    </row>
    <row r="3128">
      <c r="A3128" s="1" t="s">
        <v>3147</v>
      </c>
      <c r="B3128" s="2">
        <v>16.0</v>
      </c>
      <c r="C3128" s="4"/>
      <c r="E3128" s="4" t="str">
        <f t="array" ref="E3128">XLOOKUP(A3128,'Fintech, Regulatory Arbitrage, '!A:A,'Fintech, Regulatory Arbitrage, '!C:C,"")</f>
        <v/>
      </c>
    </row>
    <row r="3129">
      <c r="A3129" s="1" t="s">
        <v>3148</v>
      </c>
      <c r="B3129" s="2">
        <v>16.0</v>
      </c>
      <c r="C3129" s="4"/>
      <c r="E3129" s="4" t="str">
        <f t="array" ref="E3129">XLOOKUP(A3129,'Fintech, Regulatory Arbitrage, '!A:A,'Fintech, Regulatory Arbitrage, '!C:C,"")</f>
        <v/>
      </c>
    </row>
    <row r="3130">
      <c r="A3130" s="1" t="s">
        <v>3149</v>
      </c>
      <c r="B3130" s="2">
        <v>16.0</v>
      </c>
      <c r="C3130" s="4"/>
      <c r="E3130" s="4" t="str">
        <f t="array" ref="E3130">XLOOKUP(A3130,'Fintech, Regulatory Arbitrage, '!A:A,'Fintech, Regulatory Arbitrage, '!C:C,"")</f>
        <v/>
      </c>
    </row>
    <row r="3131">
      <c r="A3131" s="1" t="s">
        <v>3150</v>
      </c>
      <c r="B3131" s="2">
        <v>16.0</v>
      </c>
      <c r="C3131" s="4"/>
      <c r="E3131" s="4" t="str">
        <f t="array" ref="E3131">XLOOKUP(A3131,'Fintech, Regulatory Arbitrage, '!A:A,'Fintech, Regulatory Arbitrage, '!C:C,"")</f>
        <v/>
      </c>
    </row>
    <row r="3132">
      <c r="A3132" s="1" t="s">
        <v>3151</v>
      </c>
      <c r="B3132" s="2">
        <v>16.0</v>
      </c>
      <c r="C3132" s="4"/>
      <c r="E3132" s="4" t="str">
        <f t="array" ref="E3132">XLOOKUP(A3132,'Fintech, Regulatory Arbitrage, '!A:A,'Fintech, Regulatory Arbitrage, '!C:C,"")</f>
        <v/>
      </c>
    </row>
    <row r="3133">
      <c r="A3133" s="1" t="s">
        <v>3152</v>
      </c>
      <c r="B3133" s="2">
        <v>16.0</v>
      </c>
      <c r="C3133" s="4"/>
      <c r="E3133" s="4" t="str">
        <f t="array" ref="E3133">XLOOKUP(A3133,'Fintech, Regulatory Arbitrage, '!A:A,'Fintech, Regulatory Arbitrage, '!C:C,"")</f>
        <v/>
      </c>
    </row>
    <row r="3134">
      <c r="A3134" s="1" t="s">
        <v>3153</v>
      </c>
      <c r="B3134" s="2">
        <v>16.0</v>
      </c>
      <c r="C3134" s="4"/>
      <c r="E3134" s="4" t="str">
        <f t="array" ref="E3134">XLOOKUP(A3134,'Fintech, Regulatory Arbitrage, '!A:A,'Fintech, Regulatory Arbitrage, '!C:C,"")</f>
        <v/>
      </c>
    </row>
    <row r="3135">
      <c r="A3135" s="1" t="s">
        <v>3154</v>
      </c>
      <c r="B3135" s="2">
        <v>16.0</v>
      </c>
      <c r="C3135" s="4"/>
      <c r="E3135" s="4" t="str">
        <f t="array" ref="E3135">XLOOKUP(A3135,'Fintech, Regulatory Arbitrage, '!A:A,'Fintech, Regulatory Arbitrage, '!C:C,"")</f>
        <v/>
      </c>
    </row>
    <row r="3136">
      <c r="A3136" s="1" t="s">
        <v>3155</v>
      </c>
      <c r="B3136" s="2">
        <v>16.0</v>
      </c>
      <c r="C3136" s="4"/>
      <c r="E3136" s="4" t="str">
        <f t="array" ref="E3136">XLOOKUP(A3136,'Fintech, Regulatory Arbitrage, '!A:A,'Fintech, Regulatory Arbitrage, '!C:C,"")</f>
        <v/>
      </c>
    </row>
    <row r="3137">
      <c r="A3137" s="1" t="s">
        <v>3156</v>
      </c>
      <c r="B3137" s="2">
        <v>16.0</v>
      </c>
      <c r="C3137" s="4"/>
      <c r="E3137" s="4" t="str">
        <f t="array" ref="E3137">XLOOKUP(A3137,'Fintech, Regulatory Arbitrage, '!A:A,'Fintech, Regulatory Arbitrage, '!C:C,"")</f>
        <v/>
      </c>
    </row>
    <row r="3138">
      <c r="A3138" s="1" t="s">
        <v>3157</v>
      </c>
      <c r="B3138" s="2">
        <v>16.0</v>
      </c>
      <c r="C3138" s="4"/>
      <c r="E3138" s="4" t="str">
        <f t="array" ref="E3138">XLOOKUP(A3138,'Fintech, Regulatory Arbitrage, '!A:A,'Fintech, Regulatory Arbitrage, '!C:C,"")</f>
        <v/>
      </c>
    </row>
    <row r="3139">
      <c r="A3139" s="1" t="s">
        <v>3158</v>
      </c>
      <c r="B3139" s="2">
        <v>16.0</v>
      </c>
      <c r="C3139" s="4"/>
      <c r="E3139" s="4" t="str">
        <f t="array" ref="E3139">XLOOKUP(A3139,'Fintech, Regulatory Arbitrage, '!A:A,'Fintech, Regulatory Arbitrage, '!C:C,"")</f>
        <v/>
      </c>
    </row>
    <row r="3140">
      <c r="A3140" s="1" t="s">
        <v>3159</v>
      </c>
      <c r="B3140" s="2">
        <v>16.0</v>
      </c>
      <c r="C3140" s="4"/>
      <c r="E3140" s="4" t="str">
        <f t="array" ref="E3140">XLOOKUP(A3140,'Fintech, Regulatory Arbitrage, '!A:A,'Fintech, Regulatory Arbitrage, '!C:C,"")</f>
        <v/>
      </c>
    </row>
    <row r="3141">
      <c r="A3141" s="1" t="s">
        <v>3160</v>
      </c>
      <c r="B3141" s="2">
        <v>15.0</v>
      </c>
      <c r="C3141" s="4"/>
      <c r="E3141" s="4" t="str">
        <f t="array" ref="E3141">XLOOKUP(A3141,'Fintech, Regulatory Arbitrage, '!A:A,'Fintech, Regulatory Arbitrage, '!C:C,"")</f>
        <v/>
      </c>
    </row>
    <row r="3142">
      <c r="A3142" s="1" t="s">
        <v>3161</v>
      </c>
      <c r="B3142" s="2">
        <v>15.0</v>
      </c>
      <c r="C3142" s="4"/>
      <c r="E3142" s="4" t="str">
        <f t="array" ref="E3142">XLOOKUP(A3142,'Fintech, Regulatory Arbitrage, '!A:A,'Fintech, Regulatory Arbitrage, '!C:C,"")</f>
        <v/>
      </c>
    </row>
    <row r="3143">
      <c r="A3143" s="1" t="s">
        <v>3162</v>
      </c>
      <c r="B3143" s="2">
        <v>15.0</v>
      </c>
      <c r="C3143" s="4"/>
      <c r="E3143" s="4" t="str">
        <f t="array" ref="E3143">XLOOKUP(A3143,'Fintech, Regulatory Arbitrage, '!A:A,'Fintech, Regulatory Arbitrage, '!C:C,"")</f>
        <v/>
      </c>
    </row>
    <row r="3144">
      <c r="A3144" s="1" t="s">
        <v>3163</v>
      </c>
      <c r="B3144" s="2">
        <v>15.0</v>
      </c>
      <c r="C3144" s="4"/>
      <c r="E3144" s="4" t="str">
        <f t="array" ref="E3144">XLOOKUP(A3144,'Fintech, Regulatory Arbitrage, '!A:A,'Fintech, Regulatory Arbitrage, '!C:C,"")</f>
        <v/>
      </c>
    </row>
    <row r="3145">
      <c r="A3145" s="1" t="s">
        <v>3164</v>
      </c>
      <c r="B3145" s="2">
        <v>15.0</v>
      </c>
      <c r="C3145" s="4"/>
      <c r="E3145" s="4" t="str">
        <f t="array" ref="E3145">XLOOKUP(A3145,'Fintech, Regulatory Arbitrage, '!A:A,'Fintech, Regulatory Arbitrage, '!C:C,"")</f>
        <v/>
      </c>
    </row>
    <row r="3146">
      <c r="A3146" s="1" t="s">
        <v>3165</v>
      </c>
      <c r="B3146" s="2">
        <v>15.0</v>
      </c>
      <c r="C3146" s="4"/>
      <c r="E3146" s="4" t="str">
        <f t="array" ref="E3146">XLOOKUP(A3146,'Fintech, Regulatory Arbitrage, '!A:A,'Fintech, Regulatory Arbitrage, '!C:C,"")</f>
        <v/>
      </c>
    </row>
    <row r="3147">
      <c r="A3147" s="1" t="s">
        <v>3166</v>
      </c>
      <c r="B3147" s="2">
        <v>15.0</v>
      </c>
      <c r="C3147" s="4"/>
      <c r="E3147" s="4" t="str">
        <f t="array" ref="E3147">XLOOKUP(A3147,'Fintech, Regulatory Arbitrage, '!A:A,'Fintech, Regulatory Arbitrage, '!C:C,"")</f>
        <v/>
      </c>
    </row>
    <row r="3148">
      <c r="A3148" s="1" t="s">
        <v>3167</v>
      </c>
      <c r="B3148" s="2">
        <v>15.0</v>
      </c>
      <c r="C3148" s="4"/>
      <c r="E3148" s="4" t="str">
        <f t="array" ref="E3148">XLOOKUP(A3148,'Fintech, Regulatory Arbitrage, '!A:A,'Fintech, Regulatory Arbitrage, '!C:C,"")</f>
        <v/>
      </c>
    </row>
    <row r="3149">
      <c r="A3149" s="1" t="s">
        <v>3168</v>
      </c>
      <c r="B3149" s="2">
        <v>15.0</v>
      </c>
      <c r="C3149" s="4"/>
      <c r="E3149" s="4" t="str">
        <f t="array" ref="E3149">XLOOKUP(A3149,'Fintech, Regulatory Arbitrage, '!A:A,'Fintech, Regulatory Arbitrage, '!C:C,"")</f>
        <v/>
      </c>
    </row>
    <row r="3150">
      <c r="A3150" s="1" t="s">
        <v>3169</v>
      </c>
      <c r="B3150" s="2">
        <v>15.0</v>
      </c>
      <c r="C3150" s="4"/>
      <c r="E3150" s="4" t="str">
        <f t="array" ref="E3150">XLOOKUP(A3150,'Fintech, Regulatory Arbitrage, '!A:A,'Fintech, Regulatory Arbitrage, '!C:C,"")</f>
        <v/>
      </c>
    </row>
    <row r="3151">
      <c r="A3151" s="1" t="s">
        <v>3170</v>
      </c>
      <c r="B3151" s="2">
        <v>15.0</v>
      </c>
      <c r="C3151" s="4"/>
      <c r="E3151" s="4" t="str">
        <f t="array" ref="E3151">XLOOKUP(A3151,'Fintech, Regulatory Arbitrage, '!A:A,'Fintech, Regulatory Arbitrage, '!C:C,"")</f>
        <v/>
      </c>
    </row>
    <row r="3152">
      <c r="A3152" s="1" t="s">
        <v>3171</v>
      </c>
      <c r="B3152" s="2">
        <v>15.0</v>
      </c>
      <c r="C3152" s="4"/>
      <c r="E3152" s="4" t="str">
        <f t="array" ref="E3152">XLOOKUP(A3152,'Fintech, Regulatory Arbitrage, '!A:A,'Fintech, Regulatory Arbitrage, '!C:C,"")</f>
        <v/>
      </c>
    </row>
    <row r="3153">
      <c r="A3153" s="1" t="s">
        <v>3172</v>
      </c>
      <c r="B3153" s="2">
        <v>15.0</v>
      </c>
      <c r="C3153" s="4"/>
      <c r="E3153" s="4" t="str">
        <f t="array" ref="E3153">XLOOKUP(A3153,'Fintech, Regulatory Arbitrage, '!A:A,'Fintech, Regulatory Arbitrage, '!C:C,"")</f>
        <v/>
      </c>
    </row>
    <row r="3154">
      <c r="A3154" s="1" t="s">
        <v>3173</v>
      </c>
      <c r="B3154" s="2">
        <v>15.0</v>
      </c>
      <c r="C3154" s="4"/>
      <c r="E3154" s="4" t="str">
        <f t="array" ref="E3154">XLOOKUP(A3154,'Fintech, Regulatory Arbitrage, '!A:A,'Fintech, Regulatory Arbitrage, '!C:C,"")</f>
        <v/>
      </c>
    </row>
    <row r="3155">
      <c r="A3155" s="1" t="s">
        <v>3174</v>
      </c>
      <c r="B3155" s="2">
        <v>15.0</v>
      </c>
      <c r="C3155" s="4"/>
      <c r="E3155" s="4" t="str">
        <f t="array" ref="E3155">XLOOKUP(A3155,'Fintech, Regulatory Arbitrage, '!A:A,'Fintech, Regulatory Arbitrage, '!C:C,"")</f>
        <v/>
      </c>
    </row>
    <row r="3156">
      <c r="A3156" s="1" t="s">
        <v>3175</v>
      </c>
      <c r="B3156" s="2">
        <v>15.0</v>
      </c>
      <c r="C3156" s="4"/>
      <c r="E3156" s="4" t="str">
        <f t="array" ref="E3156">XLOOKUP(A3156,'Fintech, Regulatory Arbitrage, '!A:A,'Fintech, Regulatory Arbitrage, '!C:C,"")</f>
        <v/>
      </c>
    </row>
    <row r="3157">
      <c r="A3157" s="1" t="s">
        <v>3176</v>
      </c>
      <c r="B3157" s="2">
        <v>15.0</v>
      </c>
      <c r="C3157" s="4"/>
      <c r="E3157" s="4" t="str">
        <f t="array" ref="E3157">XLOOKUP(A3157,'Fintech, Regulatory Arbitrage, '!A:A,'Fintech, Regulatory Arbitrage, '!C:C,"")</f>
        <v/>
      </c>
    </row>
    <row r="3158">
      <c r="A3158" s="1" t="s">
        <v>3177</v>
      </c>
      <c r="B3158" s="2">
        <v>15.0</v>
      </c>
      <c r="C3158" s="4"/>
      <c r="E3158" s="4" t="str">
        <f t="array" ref="E3158">XLOOKUP(A3158,'Fintech, Regulatory Arbitrage, '!A:A,'Fintech, Regulatory Arbitrage, '!C:C,"")</f>
        <v/>
      </c>
    </row>
    <row r="3159">
      <c r="A3159" s="1" t="s">
        <v>3178</v>
      </c>
      <c r="B3159" s="2">
        <v>15.0</v>
      </c>
      <c r="C3159" s="4"/>
      <c r="E3159" s="4" t="str">
        <f t="array" ref="E3159">XLOOKUP(A3159,'Fintech, Regulatory Arbitrage, '!A:A,'Fintech, Regulatory Arbitrage, '!C:C,"")</f>
        <v/>
      </c>
    </row>
    <row r="3160">
      <c r="A3160" s="1" t="s">
        <v>3179</v>
      </c>
      <c r="B3160" s="2">
        <v>15.0</v>
      </c>
      <c r="C3160" s="4"/>
      <c r="E3160" s="4" t="str">
        <f t="array" ref="E3160">XLOOKUP(A3160,'Fintech, Regulatory Arbitrage, '!A:A,'Fintech, Regulatory Arbitrage, '!C:C,"")</f>
        <v/>
      </c>
    </row>
    <row r="3161">
      <c r="A3161" s="1" t="s">
        <v>3180</v>
      </c>
      <c r="B3161" s="2">
        <v>15.0</v>
      </c>
      <c r="C3161" s="4"/>
      <c r="E3161" s="4" t="str">
        <f t="array" ref="E3161">XLOOKUP(A3161,'Fintech, Regulatory Arbitrage, '!A:A,'Fintech, Regulatory Arbitrage, '!C:C,"")</f>
        <v/>
      </c>
    </row>
    <row r="3162">
      <c r="A3162" s="1" t="s">
        <v>3181</v>
      </c>
      <c r="B3162" s="2">
        <v>15.0</v>
      </c>
      <c r="C3162" s="4"/>
      <c r="E3162" s="4" t="str">
        <f t="array" ref="E3162">XLOOKUP(A3162,'Fintech, Regulatory Arbitrage, '!A:A,'Fintech, Regulatory Arbitrage, '!C:C,"")</f>
        <v/>
      </c>
    </row>
    <row r="3163">
      <c r="A3163" s="1" t="s">
        <v>3182</v>
      </c>
      <c r="B3163" s="2">
        <v>15.0</v>
      </c>
      <c r="C3163" s="4"/>
      <c r="E3163" s="4" t="str">
        <f t="array" ref="E3163">XLOOKUP(A3163,'Fintech, Regulatory Arbitrage, '!A:A,'Fintech, Regulatory Arbitrage, '!C:C,"")</f>
        <v/>
      </c>
    </row>
    <row r="3164">
      <c r="A3164" s="1" t="s">
        <v>3183</v>
      </c>
      <c r="B3164" s="2">
        <v>15.0</v>
      </c>
      <c r="C3164" s="4"/>
      <c r="E3164" s="4" t="str">
        <f t="array" ref="E3164">XLOOKUP(A3164,'Fintech, Regulatory Arbitrage, '!A:A,'Fintech, Regulatory Arbitrage, '!C:C,"")</f>
        <v/>
      </c>
    </row>
    <row r="3165">
      <c r="A3165" s="1" t="s">
        <v>3184</v>
      </c>
      <c r="B3165" s="2">
        <v>15.0</v>
      </c>
      <c r="C3165" s="4"/>
      <c r="E3165" s="4" t="str">
        <f t="array" ref="E3165">XLOOKUP(A3165,'Fintech, Regulatory Arbitrage, '!A:A,'Fintech, Regulatory Arbitrage, '!C:C,"")</f>
        <v/>
      </c>
    </row>
    <row r="3166">
      <c r="A3166" s="1" t="s">
        <v>3185</v>
      </c>
      <c r="B3166" s="2">
        <v>15.0</v>
      </c>
      <c r="C3166" s="4"/>
      <c r="E3166" s="4" t="str">
        <f t="array" ref="E3166">XLOOKUP(A3166,'Fintech, Regulatory Arbitrage, '!A:A,'Fintech, Regulatory Arbitrage, '!C:C,"")</f>
        <v/>
      </c>
    </row>
    <row r="3167">
      <c r="A3167" s="1" t="s">
        <v>3186</v>
      </c>
      <c r="B3167" s="2">
        <v>15.0</v>
      </c>
      <c r="C3167" s="4"/>
      <c r="E3167" s="4" t="str">
        <f t="array" ref="E3167">XLOOKUP(A3167,'Fintech, Regulatory Arbitrage, '!A:A,'Fintech, Regulatory Arbitrage, '!C:C,"")</f>
        <v/>
      </c>
    </row>
    <row r="3168">
      <c r="A3168" s="1" t="s">
        <v>3187</v>
      </c>
      <c r="B3168" s="2">
        <v>15.0</v>
      </c>
      <c r="C3168" s="4"/>
      <c r="E3168" s="4" t="str">
        <f t="array" ref="E3168">XLOOKUP(A3168,'Fintech, Regulatory Arbitrage, '!A:A,'Fintech, Regulatory Arbitrage, '!C:C,"")</f>
        <v/>
      </c>
    </row>
    <row r="3169">
      <c r="A3169" s="1" t="s">
        <v>3188</v>
      </c>
      <c r="B3169" s="2">
        <v>15.0</v>
      </c>
      <c r="C3169" s="4"/>
      <c r="E3169" s="4" t="str">
        <f t="array" ref="E3169">XLOOKUP(A3169,'Fintech, Regulatory Arbitrage, '!A:A,'Fintech, Regulatory Arbitrage, '!C:C,"")</f>
        <v/>
      </c>
    </row>
    <row r="3170">
      <c r="A3170" s="1" t="s">
        <v>3189</v>
      </c>
      <c r="B3170" s="2">
        <v>15.0</v>
      </c>
      <c r="C3170" s="4"/>
      <c r="E3170" s="4" t="str">
        <f t="array" ref="E3170">XLOOKUP(A3170,'Fintech, Regulatory Arbitrage, '!A:A,'Fintech, Regulatory Arbitrage, '!C:C,"")</f>
        <v/>
      </c>
    </row>
    <row r="3171">
      <c r="A3171" s="1" t="s">
        <v>3190</v>
      </c>
      <c r="B3171" s="2">
        <v>15.0</v>
      </c>
      <c r="C3171" s="4"/>
      <c r="E3171" s="4" t="str">
        <f t="array" ref="E3171">XLOOKUP(A3171,'Fintech, Regulatory Arbitrage, '!A:A,'Fintech, Regulatory Arbitrage, '!C:C,"")</f>
        <v/>
      </c>
    </row>
    <row r="3172">
      <c r="A3172" s="1" t="s">
        <v>3191</v>
      </c>
      <c r="B3172" s="2">
        <v>15.0</v>
      </c>
      <c r="C3172" s="4"/>
      <c r="E3172" s="4" t="str">
        <f t="array" ref="E3172">XLOOKUP(A3172,'Fintech, Regulatory Arbitrage, '!A:A,'Fintech, Regulatory Arbitrage, '!C:C,"")</f>
        <v/>
      </c>
    </row>
    <row r="3173">
      <c r="A3173" s="1" t="s">
        <v>3192</v>
      </c>
      <c r="B3173" s="2">
        <v>15.0</v>
      </c>
      <c r="C3173" s="4"/>
      <c r="E3173" s="4" t="str">
        <f t="array" ref="E3173">XLOOKUP(A3173,'Fintech, Regulatory Arbitrage, '!A:A,'Fintech, Regulatory Arbitrage, '!C:C,"")</f>
        <v/>
      </c>
    </row>
    <row r="3174">
      <c r="A3174" s="1" t="s">
        <v>3193</v>
      </c>
      <c r="B3174" s="2">
        <v>15.0</v>
      </c>
      <c r="C3174" s="4"/>
      <c r="E3174" s="4" t="str">
        <f t="array" ref="E3174">XLOOKUP(A3174,'Fintech, Regulatory Arbitrage, '!A:A,'Fintech, Regulatory Arbitrage, '!C:C,"")</f>
        <v/>
      </c>
    </row>
    <row r="3175">
      <c r="A3175" s="1" t="s">
        <v>3194</v>
      </c>
      <c r="B3175" s="2">
        <v>15.0</v>
      </c>
      <c r="C3175" s="4"/>
      <c r="E3175" s="4" t="str">
        <f t="array" ref="E3175">XLOOKUP(A3175,'Fintech, Regulatory Arbitrage, '!A:A,'Fintech, Regulatory Arbitrage, '!C:C,"")</f>
        <v/>
      </c>
    </row>
    <row r="3176">
      <c r="A3176" s="1" t="s">
        <v>3195</v>
      </c>
      <c r="B3176" s="2">
        <v>15.0</v>
      </c>
      <c r="C3176" s="4"/>
      <c r="E3176" s="4" t="str">
        <f t="array" ref="E3176">XLOOKUP(A3176,'Fintech, Regulatory Arbitrage, '!A:A,'Fintech, Regulatory Arbitrage, '!C:C,"")</f>
        <v/>
      </c>
    </row>
    <row r="3177">
      <c r="A3177" s="1" t="s">
        <v>3196</v>
      </c>
      <c r="B3177" s="2">
        <v>15.0</v>
      </c>
      <c r="C3177" s="4"/>
      <c r="E3177" s="4" t="str">
        <f t="array" ref="E3177">XLOOKUP(A3177,'Fintech, Regulatory Arbitrage, '!A:A,'Fintech, Regulatory Arbitrage, '!C:C,"")</f>
        <v/>
      </c>
    </row>
    <row r="3178">
      <c r="A3178" s="1" t="s">
        <v>3197</v>
      </c>
      <c r="B3178" s="2">
        <v>15.0</v>
      </c>
      <c r="C3178" s="4"/>
      <c r="E3178" s="4" t="str">
        <f t="array" ref="E3178">XLOOKUP(A3178,'Fintech, Regulatory Arbitrage, '!A:A,'Fintech, Regulatory Arbitrage, '!C:C,"")</f>
        <v/>
      </c>
    </row>
    <row r="3179">
      <c r="A3179" s="1" t="s">
        <v>3198</v>
      </c>
      <c r="B3179" s="2">
        <v>15.0</v>
      </c>
      <c r="C3179" s="4"/>
      <c r="E3179" s="4" t="str">
        <f t="array" ref="E3179">XLOOKUP(A3179,'Fintech, Regulatory Arbitrage, '!A:A,'Fintech, Regulatory Arbitrage, '!C:C,"")</f>
        <v/>
      </c>
    </row>
    <row r="3180">
      <c r="A3180" s="1" t="s">
        <v>3199</v>
      </c>
      <c r="B3180" s="2">
        <v>15.0</v>
      </c>
      <c r="C3180" s="4"/>
      <c r="E3180" s="4" t="str">
        <f t="array" ref="E3180">XLOOKUP(A3180,'Fintech, Regulatory Arbitrage, '!A:A,'Fintech, Regulatory Arbitrage, '!C:C,"")</f>
        <v/>
      </c>
    </row>
    <row r="3181">
      <c r="A3181" s="1" t="s">
        <v>3200</v>
      </c>
      <c r="B3181" s="2">
        <v>15.0</v>
      </c>
      <c r="C3181" s="4"/>
      <c r="E3181" s="4" t="str">
        <f t="array" ref="E3181">XLOOKUP(A3181,'Fintech, Regulatory Arbitrage, '!A:A,'Fintech, Regulatory Arbitrage, '!C:C,"")</f>
        <v/>
      </c>
    </row>
    <row r="3182">
      <c r="A3182" s="1" t="s">
        <v>3201</v>
      </c>
      <c r="B3182" s="2">
        <v>15.0</v>
      </c>
      <c r="C3182" s="4"/>
      <c r="E3182" s="4" t="str">
        <f t="array" ref="E3182">XLOOKUP(A3182,'Fintech, Regulatory Arbitrage, '!A:A,'Fintech, Regulatory Arbitrage, '!C:C,"")</f>
        <v/>
      </c>
    </row>
    <row r="3183">
      <c r="A3183" s="1" t="s">
        <v>3202</v>
      </c>
      <c r="B3183" s="2">
        <v>15.0</v>
      </c>
      <c r="C3183" s="4"/>
      <c r="E3183" s="4" t="str">
        <f t="array" ref="E3183">XLOOKUP(A3183,'Fintech, Regulatory Arbitrage, '!A:A,'Fintech, Regulatory Arbitrage, '!C:C,"")</f>
        <v/>
      </c>
    </row>
    <row r="3184">
      <c r="A3184" s="1" t="s">
        <v>3203</v>
      </c>
      <c r="B3184" s="2">
        <v>15.0</v>
      </c>
      <c r="C3184" s="4"/>
      <c r="E3184" s="4" t="str">
        <f t="array" ref="E3184">XLOOKUP(A3184,'Fintech, Regulatory Arbitrage, '!A:A,'Fintech, Regulatory Arbitrage, '!C:C,"")</f>
        <v/>
      </c>
    </row>
    <row r="3185">
      <c r="A3185" s="1" t="s">
        <v>3204</v>
      </c>
      <c r="B3185" s="2">
        <v>15.0</v>
      </c>
      <c r="C3185" s="4"/>
      <c r="E3185" s="4" t="str">
        <f t="array" ref="E3185">XLOOKUP(A3185,'Fintech, Regulatory Arbitrage, '!A:A,'Fintech, Regulatory Arbitrage, '!C:C,"")</f>
        <v/>
      </c>
    </row>
    <row r="3186">
      <c r="A3186" s="1" t="s">
        <v>3205</v>
      </c>
      <c r="B3186" s="2">
        <v>15.0</v>
      </c>
      <c r="C3186" s="4"/>
      <c r="E3186" s="4" t="str">
        <f t="array" ref="E3186">XLOOKUP(A3186,'Fintech, Regulatory Arbitrage, '!A:A,'Fintech, Regulatory Arbitrage, '!C:C,"")</f>
        <v/>
      </c>
    </row>
    <row r="3187">
      <c r="A3187" s="1" t="s">
        <v>3206</v>
      </c>
      <c r="B3187" s="2">
        <v>15.0</v>
      </c>
      <c r="C3187" s="4"/>
      <c r="E3187" s="4" t="str">
        <f t="array" ref="E3187">XLOOKUP(A3187,'Fintech, Regulatory Arbitrage, '!A:A,'Fintech, Regulatory Arbitrage, '!C:C,"")</f>
        <v/>
      </c>
    </row>
    <row r="3188">
      <c r="A3188" s="1" t="s">
        <v>3207</v>
      </c>
      <c r="B3188" s="2">
        <v>15.0</v>
      </c>
      <c r="C3188" s="4"/>
      <c r="E3188" s="4" t="str">
        <f t="array" ref="E3188">XLOOKUP(A3188,'Fintech, Regulatory Arbitrage, '!A:A,'Fintech, Regulatory Arbitrage, '!C:C,"")</f>
        <v/>
      </c>
    </row>
    <row r="3189">
      <c r="A3189" s="1" t="s">
        <v>3208</v>
      </c>
      <c r="B3189" s="2">
        <v>15.0</v>
      </c>
      <c r="C3189" s="4"/>
      <c r="E3189" s="4" t="str">
        <f t="array" ref="E3189">XLOOKUP(A3189,'Fintech, Regulatory Arbitrage, '!A:A,'Fintech, Regulatory Arbitrage, '!C:C,"")</f>
        <v/>
      </c>
    </row>
    <row r="3190">
      <c r="A3190" s="1" t="s">
        <v>3209</v>
      </c>
      <c r="B3190" s="2">
        <v>15.0</v>
      </c>
      <c r="C3190" s="4"/>
      <c r="E3190" s="4" t="str">
        <f t="array" ref="E3190">XLOOKUP(A3190,'Fintech, Regulatory Arbitrage, '!A:A,'Fintech, Regulatory Arbitrage, '!C:C,"")</f>
        <v/>
      </c>
    </row>
    <row r="3191">
      <c r="A3191" s="1" t="s">
        <v>3210</v>
      </c>
      <c r="B3191" s="2">
        <v>15.0</v>
      </c>
      <c r="C3191" s="4"/>
      <c r="E3191" s="4" t="str">
        <f t="array" ref="E3191">XLOOKUP(A3191,'Fintech, Regulatory Arbitrage, '!A:A,'Fintech, Regulatory Arbitrage, '!C:C,"")</f>
        <v/>
      </c>
    </row>
    <row r="3192">
      <c r="A3192" s="1" t="s">
        <v>3211</v>
      </c>
      <c r="B3192" s="2">
        <v>15.0</v>
      </c>
      <c r="C3192" s="4"/>
      <c r="E3192" s="4" t="str">
        <f t="array" ref="E3192">XLOOKUP(A3192,'Fintech, Regulatory Arbitrage, '!A:A,'Fintech, Regulatory Arbitrage, '!C:C,"")</f>
        <v/>
      </c>
    </row>
    <row r="3193">
      <c r="A3193" s="1" t="s">
        <v>3212</v>
      </c>
      <c r="B3193" s="2">
        <v>15.0</v>
      </c>
      <c r="C3193" s="4"/>
      <c r="E3193" s="4" t="str">
        <f t="array" ref="E3193">XLOOKUP(A3193,'Fintech, Regulatory Arbitrage, '!A:A,'Fintech, Regulatory Arbitrage, '!C:C,"")</f>
        <v/>
      </c>
    </row>
    <row r="3194">
      <c r="A3194" s="1" t="s">
        <v>3213</v>
      </c>
      <c r="B3194" s="2">
        <v>15.0</v>
      </c>
      <c r="C3194" s="4"/>
      <c r="E3194" s="4" t="str">
        <f t="array" ref="E3194">XLOOKUP(A3194,'Fintech, Regulatory Arbitrage, '!A:A,'Fintech, Regulatory Arbitrage, '!C:C,"")</f>
        <v/>
      </c>
    </row>
    <row r="3195">
      <c r="A3195" s="1" t="s">
        <v>3214</v>
      </c>
      <c r="B3195" s="2">
        <v>15.0</v>
      </c>
      <c r="C3195" s="4"/>
      <c r="E3195" s="4" t="str">
        <f t="array" ref="E3195">XLOOKUP(A3195,'Fintech, Regulatory Arbitrage, '!A:A,'Fintech, Regulatory Arbitrage, '!C:C,"")</f>
        <v/>
      </c>
    </row>
    <row r="3196">
      <c r="A3196" s="1" t="s">
        <v>3215</v>
      </c>
      <c r="B3196" s="2">
        <v>15.0</v>
      </c>
      <c r="C3196" s="4"/>
      <c r="E3196" s="4" t="str">
        <f t="array" ref="E3196">XLOOKUP(A3196,'Fintech, Regulatory Arbitrage, '!A:A,'Fintech, Regulatory Arbitrage, '!C:C,"")</f>
        <v/>
      </c>
    </row>
    <row r="3197">
      <c r="A3197" s="1" t="s">
        <v>3216</v>
      </c>
      <c r="B3197" s="2">
        <v>15.0</v>
      </c>
      <c r="C3197" s="4"/>
      <c r="E3197" s="4" t="str">
        <f t="array" ref="E3197">XLOOKUP(A3197,'Fintech, Regulatory Arbitrage, '!A:A,'Fintech, Regulatory Arbitrage, '!C:C,"")</f>
        <v/>
      </c>
    </row>
    <row r="3198">
      <c r="A3198" s="1" t="s">
        <v>3217</v>
      </c>
      <c r="B3198" s="2">
        <v>15.0</v>
      </c>
      <c r="C3198" s="4"/>
      <c r="E3198" s="4" t="str">
        <f t="array" ref="E3198">XLOOKUP(A3198,'Fintech, Regulatory Arbitrage, '!A:A,'Fintech, Regulatory Arbitrage, '!C:C,"")</f>
        <v/>
      </c>
    </row>
    <row r="3199">
      <c r="A3199" s="1" t="s">
        <v>3218</v>
      </c>
      <c r="B3199" s="2">
        <v>15.0</v>
      </c>
      <c r="C3199" s="4"/>
      <c r="E3199" s="4" t="str">
        <f t="array" ref="E3199">XLOOKUP(A3199,'Fintech, Regulatory Arbitrage, '!A:A,'Fintech, Regulatory Arbitrage, '!C:C,"")</f>
        <v/>
      </c>
    </row>
    <row r="3200">
      <c r="A3200" s="1" t="s">
        <v>3219</v>
      </c>
      <c r="B3200" s="2">
        <v>15.0</v>
      </c>
      <c r="C3200" s="4"/>
      <c r="E3200" s="4" t="str">
        <f t="array" ref="E3200">XLOOKUP(A3200,'Fintech, Regulatory Arbitrage, '!A:A,'Fintech, Regulatory Arbitrage, '!C:C,"")</f>
        <v/>
      </c>
    </row>
    <row r="3201">
      <c r="A3201" s="1" t="s">
        <v>3220</v>
      </c>
      <c r="B3201" s="2">
        <v>15.0</v>
      </c>
      <c r="C3201" s="4"/>
      <c r="E3201" s="4" t="str">
        <f t="array" ref="E3201">XLOOKUP(A3201,'Fintech, Regulatory Arbitrage, '!A:A,'Fintech, Regulatory Arbitrage, '!C:C,"")</f>
        <v/>
      </c>
    </row>
    <row r="3202">
      <c r="A3202" s="1" t="s">
        <v>3221</v>
      </c>
      <c r="B3202" s="2">
        <v>15.0</v>
      </c>
      <c r="C3202" s="4"/>
      <c r="E3202" s="4" t="str">
        <f t="array" ref="E3202">XLOOKUP(A3202,'Fintech, Regulatory Arbitrage, '!A:A,'Fintech, Regulatory Arbitrage, '!C:C,"")</f>
        <v/>
      </c>
    </row>
    <row r="3203">
      <c r="A3203" s="1" t="s">
        <v>3222</v>
      </c>
      <c r="B3203" s="2">
        <v>15.0</v>
      </c>
      <c r="C3203" s="4"/>
      <c r="E3203" s="4" t="str">
        <f t="array" ref="E3203">XLOOKUP(A3203,'Fintech, Regulatory Arbitrage, '!A:A,'Fintech, Regulatory Arbitrage, '!C:C,"")</f>
        <v/>
      </c>
    </row>
    <row r="3204">
      <c r="A3204" s="1" t="s">
        <v>3223</v>
      </c>
      <c r="B3204" s="2">
        <v>15.0</v>
      </c>
      <c r="C3204" s="4"/>
      <c r="E3204" s="4" t="str">
        <f t="array" ref="E3204">XLOOKUP(A3204,'Fintech, Regulatory Arbitrage, '!A:A,'Fintech, Regulatory Arbitrage, '!C:C,"")</f>
        <v/>
      </c>
    </row>
    <row r="3205">
      <c r="A3205" s="1" t="s">
        <v>3224</v>
      </c>
      <c r="B3205" s="2">
        <v>15.0</v>
      </c>
      <c r="C3205" s="4"/>
      <c r="E3205" s="4" t="str">
        <f t="array" ref="E3205">XLOOKUP(A3205,'Fintech, Regulatory Arbitrage, '!A:A,'Fintech, Regulatory Arbitrage, '!C:C,"")</f>
        <v/>
      </c>
    </row>
    <row r="3206">
      <c r="A3206" s="1" t="s">
        <v>3225</v>
      </c>
      <c r="B3206" s="2">
        <v>15.0</v>
      </c>
      <c r="C3206" s="4"/>
      <c r="E3206" s="4" t="str">
        <f t="array" ref="E3206">XLOOKUP(A3206,'Fintech, Regulatory Arbitrage, '!A:A,'Fintech, Regulatory Arbitrage, '!C:C,"")</f>
        <v/>
      </c>
    </row>
    <row r="3207">
      <c r="A3207" s="1" t="s">
        <v>3226</v>
      </c>
      <c r="B3207" s="2">
        <v>15.0</v>
      </c>
      <c r="C3207" s="4"/>
      <c r="E3207" s="4" t="str">
        <f t="array" ref="E3207">XLOOKUP(A3207,'Fintech, Regulatory Arbitrage, '!A:A,'Fintech, Regulatory Arbitrage, '!C:C,"")</f>
        <v/>
      </c>
    </row>
    <row r="3208">
      <c r="A3208" s="1" t="s">
        <v>3227</v>
      </c>
      <c r="B3208" s="2">
        <v>15.0</v>
      </c>
      <c r="C3208" s="4"/>
      <c r="E3208" s="4" t="str">
        <f t="array" ref="E3208">XLOOKUP(A3208,'Fintech, Regulatory Arbitrage, '!A:A,'Fintech, Regulatory Arbitrage, '!C:C,"")</f>
        <v/>
      </c>
    </row>
    <row r="3209">
      <c r="A3209" s="1" t="s">
        <v>3228</v>
      </c>
      <c r="B3209" s="2">
        <v>15.0</v>
      </c>
      <c r="C3209" s="4"/>
      <c r="E3209" s="4" t="str">
        <f t="array" ref="E3209">XLOOKUP(A3209,'Fintech, Regulatory Arbitrage, '!A:A,'Fintech, Regulatory Arbitrage, '!C:C,"")</f>
        <v/>
      </c>
    </row>
    <row r="3210">
      <c r="A3210" s="1" t="s">
        <v>3229</v>
      </c>
      <c r="B3210" s="2">
        <v>15.0</v>
      </c>
      <c r="C3210" s="4"/>
      <c r="E3210" s="4" t="str">
        <f t="array" ref="E3210">XLOOKUP(A3210,'Fintech, Regulatory Arbitrage, '!A:A,'Fintech, Regulatory Arbitrage, '!C:C,"")</f>
        <v/>
      </c>
    </row>
    <row r="3211">
      <c r="A3211" s="1" t="s">
        <v>3230</v>
      </c>
      <c r="B3211" s="2">
        <v>15.0</v>
      </c>
      <c r="C3211" s="4"/>
      <c r="E3211" s="4" t="str">
        <f t="array" ref="E3211">XLOOKUP(A3211,'Fintech, Regulatory Arbitrage, '!A:A,'Fintech, Regulatory Arbitrage, '!C:C,"")</f>
        <v/>
      </c>
    </row>
    <row r="3212">
      <c r="A3212" s="1" t="s">
        <v>3231</v>
      </c>
      <c r="B3212" s="2">
        <v>15.0</v>
      </c>
      <c r="C3212" s="4"/>
      <c r="E3212" s="4" t="str">
        <f t="array" ref="E3212">XLOOKUP(A3212,'Fintech, Regulatory Arbitrage, '!A:A,'Fintech, Regulatory Arbitrage, '!C:C,"")</f>
        <v/>
      </c>
    </row>
    <row r="3213">
      <c r="A3213" s="1" t="s">
        <v>3232</v>
      </c>
      <c r="B3213" s="2">
        <v>15.0</v>
      </c>
      <c r="C3213" s="4"/>
      <c r="E3213" s="4" t="str">
        <f t="array" ref="E3213">XLOOKUP(A3213,'Fintech, Regulatory Arbitrage, '!A:A,'Fintech, Regulatory Arbitrage, '!C:C,"")</f>
        <v/>
      </c>
    </row>
    <row r="3214">
      <c r="A3214" s="1" t="s">
        <v>3233</v>
      </c>
      <c r="B3214" s="2">
        <v>15.0</v>
      </c>
      <c r="C3214" s="4"/>
      <c r="E3214" s="4" t="str">
        <f t="array" ref="E3214">XLOOKUP(A3214,'Fintech, Regulatory Arbitrage, '!A:A,'Fintech, Regulatory Arbitrage, '!C:C,"")</f>
        <v/>
      </c>
    </row>
    <row r="3215">
      <c r="A3215" s="1" t="s">
        <v>3234</v>
      </c>
      <c r="B3215" s="2">
        <v>15.0</v>
      </c>
      <c r="C3215" s="4"/>
      <c r="E3215" s="4" t="str">
        <f t="array" ref="E3215">XLOOKUP(A3215,'Fintech, Regulatory Arbitrage, '!A:A,'Fintech, Regulatory Arbitrage, '!C:C,"")</f>
        <v/>
      </c>
    </row>
    <row r="3216">
      <c r="A3216" s="1" t="s">
        <v>3235</v>
      </c>
      <c r="B3216" s="2">
        <v>15.0</v>
      </c>
      <c r="C3216" s="4"/>
      <c r="E3216" s="4" t="str">
        <f t="array" ref="E3216">XLOOKUP(A3216,'Fintech, Regulatory Arbitrage, '!A:A,'Fintech, Regulatory Arbitrage, '!C:C,"")</f>
        <v/>
      </c>
    </row>
    <row r="3217">
      <c r="A3217" s="1" t="s">
        <v>3236</v>
      </c>
      <c r="B3217" s="2">
        <v>15.0</v>
      </c>
      <c r="C3217" s="4"/>
      <c r="E3217" s="4" t="str">
        <f t="array" ref="E3217">XLOOKUP(A3217,'Fintech, Regulatory Arbitrage, '!A:A,'Fintech, Regulatory Arbitrage, '!C:C,"")</f>
        <v/>
      </c>
    </row>
    <row r="3218">
      <c r="A3218" s="1" t="s">
        <v>3237</v>
      </c>
      <c r="B3218" s="2">
        <v>15.0</v>
      </c>
      <c r="C3218" s="4"/>
      <c r="E3218" s="4" t="str">
        <f t="array" ref="E3218">XLOOKUP(A3218,'Fintech, Regulatory Arbitrage, '!A:A,'Fintech, Regulatory Arbitrage, '!C:C,"")</f>
        <v/>
      </c>
    </row>
    <row r="3219">
      <c r="A3219" s="1" t="s">
        <v>3238</v>
      </c>
      <c r="B3219" s="2">
        <v>15.0</v>
      </c>
      <c r="C3219" s="4"/>
      <c r="E3219" s="4" t="str">
        <f t="array" ref="E3219">XLOOKUP(A3219,'Fintech, Regulatory Arbitrage, '!A:A,'Fintech, Regulatory Arbitrage, '!C:C,"")</f>
        <v/>
      </c>
    </row>
    <row r="3220">
      <c r="A3220" s="1" t="s">
        <v>3239</v>
      </c>
      <c r="B3220" s="2">
        <v>15.0</v>
      </c>
      <c r="C3220" s="4"/>
      <c r="E3220" s="4" t="str">
        <f t="array" ref="E3220">XLOOKUP(A3220,'Fintech, Regulatory Arbitrage, '!A:A,'Fintech, Regulatory Arbitrage, '!C:C,"")</f>
        <v/>
      </c>
    </row>
    <row r="3221">
      <c r="A3221" s="1" t="s">
        <v>3240</v>
      </c>
      <c r="B3221" s="2">
        <v>15.0</v>
      </c>
      <c r="C3221" s="4"/>
      <c r="E3221" s="4" t="str">
        <f t="array" ref="E3221">XLOOKUP(A3221,'Fintech, Regulatory Arbitrage, '!A:A,'Fintech, Regulatory Arbitrage, '!C:C,"")</f>
        <v/>
      </c>
    </row>
    <row r="3222">
      <c r="A3222" s="1" t="s">
        <v>3241</v>
      </c>
      <c r="B3222" s="2">
        <v>15.0</v>
      </c>
      <c r="C3222" s="4"/>
      <c r="E3222" s="4" t="str">
        <f t="array" ref="E3222">XLOOKUP(A3222,'Fintech, Regulatory Arbitrage, '!A:A,'Fintech, Regulatory Arbitrage, '!C:C,"")</f>
        <v/>
      </c>
    </row>
    <row r="3223">
      <c r="A3223" s="1" t="s">
        <v>3242</v>
      </c>
      <c r="B3223" s="2">
        <v>15.0</v>
      </c>
      <c r="C3223" s="4"/>
      <c r="E3223" s="4" t="str">
        <f t="array" ref="E3223">XLOOKUP(A3223,'Fintech, Regulatory Arbitrage, '!A:A,'Fintech, Regulatory Arbitrage, '!C:C,"")</f>
        <v/>
      </c>
    </row>
    <row r="3224">
      <c r="A3224" s="1" t="s">
        <v>3243</v>
      </c>
      <c r="B3224" s="2">
        <v>15.0</v>
      </c>
      <c r="C3224" s="4"/>
      <c r="E3224" s="4" t="str">
        <f t="array" ref="E3224">XLOOKUP(A3224,'Fintech, Regulatory Arbitrage, '!A:A,'Fintech, Regulatory Arbitrage, '!C:C,"")</f>
        <v/>
      </c>
    </row>
    <row r="3225">
      <c r="A3225" s="1" t="s">
        <v>3244</v>
      </c>
      <c r="B3225" s="2">
        <v>15.0</v>
      </c>
      <c r="C3225" s="4"/>
      <c r="E3225" s="4" t="str">
        <f t="array" ref="E3225">XLOOKUP(A3225,'Fintech, Regulatory Arbitrage, '!A:A,'Fintech, Regulatory Arbitrage, '!C:C,"")</f>
        <v/>
      </c>
    </row>
    <row r="3226">
      <c r="A3226" s="1" t="s">
        <v>3245</v>
      </c>
      <c r="B3226" s="2">
        <v>15.0</v>
      </c>
      <c r="C3226" s="4"/>
      <c r="E3226" s="4" t="str">
        <f t="array" ref="E3226">XLOOKUP(A3226,'Fintech, Regulatory Arbitrage, '!A:A,'Fintech, Regulatory Arbitrage, '!C:C,"")</f>
        <v/>
      </c>
    </row>
    <row r="3227">
      <c r="A3227" s="1" t="s">
        <v>3246</v>
      </c>
      <c r="B3227" s="2">
        <v>14.0</v>
      </c>
      <c r="C3227" s="4"/>
      <c r="E3227" s="4" t="str">
        <f t="array" ref="E3227">XLOOKUP(A3227,'Fintech, Regulatory Arbitrage, '!A:A,'Fintech, Regulatory Arbitrage, '!C:C,"")</f>
        <v/>
      </c>
    </row>
    <row r="3228">
      <c r="A3228" s="1" t="s">
        <v>3247</v>
      </c>
      <c r="B3228" s="2">
        <v>14.0</v>
      </c>
      <c r="C3228" s="4"/>
      <c r="E3228" s="4" t="str">
        <f t="array" ref="E3228">XLOOKUP(A3228,'Fintech, Regulatory Arbitrage, '!A:A,'Fintech, Regulatory Arbitrage, '!C:C,"")</f>
        <v/>
      </c>
    </row>
    <row r="3229">
      <c r="A3229" s="1" t="s">
        <v>3248</v>
      </c>
      <c r="B3229" s="2">
        <v>14.0</v>
      </c>
      <c r="C3229" s="4"/>
      <c r="E3229" s="4" t="str">
        <f t="array" ref="E3229">XLOOKUP(A3229,'Fintech, Regulatory Arbitrage, '!A:A,'Fintech, Regulatory Arbitrage, '!C:C,"")</f>
        <v/>
      </c>
    </row>
    <row r="3230">
      <c r="A3230" s="1" t="s">
        <v>3249</v>
      </c>
      <c r="B3230" s="2">
        <v>14.0</v>
      </c>
      <c r="C3230" s="4"/>
      <c r="E3230" s="4" t="str">
        <f t="array" ref="E3230">XLOOKUP(A3230,'Fintech, Regulatory Arbitrage, '!A:A,'Fintech, Regulatory Arbitrage, '!C:C,"")</f>
        <v/>
      </c>
    </row>
    <row r="3231">
      <c r="A3231" s="1" t="s">
        <v>3250</v>
      </c>
      <c r="B3231" s="2">
        <v>14.0</v>
      </c>
      <c r="C3231" s="4"/>
      <c r="E3231" s="4" t="str">
        <f t="array" ref="E3231">XLOOKUP(A3231,'Fintech, Regulatory Arbitrage, '!A:A,'Fintech, Regulatory Arbitrage, '!C:C,"")</f>
        <v/>
      </c>
    </row>
    <row r="3232">
      <c r="A3232" s="1" t="s">
        <v>3251</v>
      </c>
      <c r="B3232" s="2">
        <v>14.0</v>
      </c>
      <c r="C3232" s="4"/>
      <c r="E3232" s="4" t="str">
        <f t="array" ref="E3232">XLOOKUP(A3232,'Fintech, Regulatory Arbitrage, '!A:A,'Fintech, Regulatory Arbitrage, '!C:C,"")</f>
        <v/>
      </c>
    </row>
    <row r="3233">
      <c r="A3233" s="1" t="s">
        <v>3252</v>
      </c>
      <c r="B3233" s="2">
        <v>14.0</v>
      </c>
      <c r="C3233" s="4"/>
      <c r="E3233" s="4" t="str">
        <f t="array" ref="E3233">XLOOKUP(A3233,'Fintech, Regulatory Arbitrage, '!A:A,'Fintech, Regulatory Arbitrage, '!C:C,"")</f>
        <v/>
      </c>
    </row>
    <row r="3234">
      <c r="A3234" s="1" t="s">
        <v>3253</v>
      </c>
      <c r="B3234" s="2">
        <v>14.0</v>
      </c>
      <c r="C3234" s="4"/>
      <c r="E3234" s="4" t="str">
        <f t="array" ref="E3234">XLOOKUP(A3234,'Fintech, Regulatory Arbitrage, '!A:A,'Fintech, Regulatory Arbitrage, '!C:C,"")</f>
        <v/>
      </c>
    </row>
    <row r="3235">
      <c r="A3235" s="1" t="s">
        <v>3254</v>
      </c>
      <c r="B3235" s="2">
        <v>14.0</v>
      </c>
      <c r="C3235" s="4"/>
      <c r="E3235" s="4" t="str">
        <f t="array" ref="E3235">XLOOKUP(A3235,'Fintech, Regulatory Arbitrage, '!A:A,'Fintech, Regulatory Arbitrage, '!C:C,"")</f>
        <v/>
      </c>
    </row>
    <row r="3236">
      <c r="A3236" s="1" t="s">
        <v>3255</v>
      </c>
      <c r="B3236" s="2">
        <v>14.0</v>
      </c>
      <c r="C3236" s="4"/>
      <c r="E3236" s="4" t="str">
        <f t="array" ref="E3236">XLOOKUP(A3236,'Fintech, Regulatory Arbitrage, '!A:A,'Fintech, Regulatory Arbitrage, '!C:C,"")</f>
        <v/>
      </c>
    </row>
    <row r="3237">
      <c r="A3237" s="1" t="s">
        <v>3256</v>
      </c>
      <c r="B3237" s="2">
        <v>14.0</v>
      </c>
      <c r="C3237" s="4"/>
      <c r="E3237" s="4" t="str">
        <f t="array" ref="E3237">XLOOKUP(A3237,'Fintech, Regulatory Arbitrage, '!A:A,'Fintech, Regulatory Arbitrage, '!C:C,"")</f>
        <v/>
      </c>
    </row>
    <row r="3238">
      <c r="A3238" s="1" t="s">
        <v>3257</v>
      </c>
      <c r="B3238" s="2">
        <v>14.0</v>
      </c>
      <c r="C3238" s="4"/>
      <c r="E3238" s="4" t="str">
        <f t="array" ref="E3238">XLOOKUP(A3238,'Fintech, Regulatory Arbitrage, '!A:A,'Fintech, Regulatory Arbitrage, '!C:C,"")</f>
        <v/>
      </c>
    </row>
    <row r="3239">
      <c r="A3239" s="1" t="s">
        <v>3258</v>
      </c>
      <c r="B3239" s="2">
        <v>14.0</v>
      </c>
      <c r="C3239" s="4"/>
      <c r="E3239" s="4" t="str">
        <f t="array" ref="E3239">XLOOKUP(A3239,'Fintech, Regulatory Arbitrage, '!A:A,'Fintech, Regulatory Arbitrage, '!C:C,"")</f>
        <v/>
      </c>
    </row>
    <row r="3240">
      <c r="A3240" s="1" t="s">
        <v>3259</v>
      </c>
      <c r="B3240" s="2">
        <v>14.0</v>
      </c>
      <c r="C3240" s="4"/>
      <c r="E3240" s="4" t="str">
        <f t="array" ref="E3240">XLOOKUP(A3240,'Fintech, Regulatory Arbitrage, '!A:A,'Fintech, Regulatory Arbitrage, '!C:C,"")</f>
        <v/>
      </c>
    </row>
    <row r="3241">
      <c r="A3241" s="1" t="s">
        <v>3260</v>
      </c>
      <c r="B3241" s="2">
        <v>14.0</v>
      </c>
      <c r="C3241" s="4"/>
      <c r="E3241" s="4" t="str">
        <f t="array" ref="E3241">XLOOKUP(A3241,'Fintech, Regulatory Arbitrage, '!A:A,'Fintech, Regulatory Arbitrage, '!C:C,"")</f>
        <v/>
      </c>
    </row>
    <row r="3242">
      <c r="A3242" s="1" t="s">
        <v>3261</v>
      </c>
      <c r="B3242" s="2">
        <v>14.0</v>
      </c>
      <c r="C3242" s="4"/>
      <c r="E3242" s="4" t="str">
        <f t="array" ref="E3242">XLOOKUP(A3242,'Fintech, Regulatory Arbitrage, '!A:A,'Fintech, Regulatory Arbitrage, '!C:C,"")</f>
        <v/>
      </c>
    </row>
    <row r="3243">
      <c r="A3243" s="1" t="s">
        <v>3262</v>
      </c>
      <c r="B3243" s="2">
        <v>14.0</v>
      </c>
      <c r="C3243" s="4"/>
      <c r="E3243" s="4" t="str">
        <f t="array" ref="E3243">XLOOKUP(A3243,'Fintech, Regulatory Arbitrage, '!A:A,'Fintech, Regulatory Arbitrage, '!C:C,"")</f>
        <v/>
      </c>
    </row>
    <row r="3244">
      <c r="A3244" s="1" t="s">
        <v>3263</v>
      </c>
      <c r="B3244" s="2">
        <v>14.0</v>
      </c>
      <c r="C3244" s="4"/>
      <c r="E3244" s="4" t="str">
        <f t="array" ref="E3244">XLOOKUP(A3244,'Fintech, Regulatory Arbitrage, '!A:A,'Fintech, Regulatory Arbitrage, '!C:C,"")</f>
        <v/>
      </c>
    </row>
    <row r="3245">
      <c r="A3245" s="1" t="s">
        <v>3264</v>
      </c>
      <c r="B3245" s="2">
        <v>14.0</v>
      </c>
      <c r="C3245" s="4"/>
      <c r="E3245" s="4" t="str">
        <f t="array" ref="E3245">XLOOKUP(A3245,'Fintech, Regulatory Arbitrage, '!A:A,'Fintech, Regulatory Arbitrage, '!C:C,"")</f>
        <v/>
      </c>
    </row>
    <row r="3246">
      <c r="A3246" s="1" t="s">
        <v>3265</v>
      </c>
      <c r="B3246" s="2">
        <v>14.0</v>
      </c>
      <c r="C3246" s="4"/>
      <c r="E3246" s="4" t="str">
        <f t="array" ref="E3246">XLOOKUP(A3246,'Fintech, Regulatory Arbitrage, '!A:A,'Fintech, Regulatory Arbitrage, '!C:C,"")</f>
        <v/>
      </c>
    </row>
    <row r="3247">
      <c r="A3247" s="1" t="s">
        <v>3266</v>
      </c>
      <c r="B3247" s="2">
        <v>14.0</v>
      </c>
      <c r="C3247" s="4"/>
      <c r="E3247" s="4" t="str">
        <f t="array" ref="E3247">XLOOKUP(A3247,'Fintech, Regulatory Arbitrage, '!A:A,'Fintech, Regulatory Arbitrage, '!C:C,"")</f>
        <v/>
      </c>
    </row>
    <row r="3248">
      <c r="A3248" s="1" t="s">
        <v>3267</v>
      </c>
      <c r="B3248" s="2">
        <v>14.0</v>
      </c>
      <c r="C3248" s="4"/>
      <c r="E3248" s="4" t="str">
        <f t="array" ref="E3248">XLOOKUP(A3248,'Fintech, Regulatory Arbitrage, '!A:A,'Fintech, Regulatory Arbitrage, '!C:C,"")</f>
        <v/>
      </c>
    </row>
    <row r="3249">
      <c r="A3249" s="1" t="s">
        <v>3268</v>
      </c>
      <c r="B3249" s="2">
        <v>14.0</v>
      </c>
      <c r="C3249" s="4"/>
      <c r="E3249" s="4" t="str">
        <f t="array" ref="E3249">XLOOKUP(A3249,'Fintech, Regulatory Arbitrage, '!A:A,'Fintech, Regulatory Arbitrage, '!C:C,"")</f>
        <v/>
      </c>
    </row>
    <row r="3250">
      <c r="A3250" s="1" t="s">
        <v>3269</v>
      </c>
      <c r="B3250" s="2">
        <v>14.0</v>
      </c>
      <c r="C3250" s="4"/>
      <c r="E3250" s="4" t="str">
        <f t="array" ref="E3250">XLOOKUP(A3250,'Fintech, Regulatory Arbitrage, '!A:A,'Fintech, Regulatory Arbitrage, '!C:C,"")</f>
        <v/>
      </c>
    </row>
    <row r="3251">
      <c r="A3251" s="1" t="s">
        <v>3270</v>
      </c>
      <c r="B3251" s="2">
        <v>14.0</v>
      </c>
      <c r="C3251" s="4"/>
      <c r="E3251" s="4" t="str">
        <f t="array" ref="E3251">XLOOKUP(A3251,'Fintech, Regulatory Arbitrage, '!A:A,'Fintech, Regulatory Arbitrage, '!C:C,"")</f>
        <v/>
      </c>
    </row>
    <row r="3252">
      <c r="A3252" s="1" t="s">
        <v>3271</v>
      </c>
      <c r="B3252" s="2">
        <v>14.0</v>
      </c>
      <c r="C3252" s="4"/>
      <c r="E3252" s="4" t="str">
        <f t="array" ref="E3252">XLOOKUP(A3252,'Fintech, Regulatory Arbitrage, '!A:A,'Fintech, Regulatory Arbitrage, '!C:C,"")</f>
        <v/>
      </c>
    </row>
    <row r="3253">
      <c r="A3253" s="1" t="s">
        <v>3272</v>
      </c>
      <c r="B3253" s="2">
        <v>14.0</v>
      </c>
      <c r="C3253" s="4"/>
      <c r="E3253" s="4" t="str">
        <f t="array" ref="E3253">XLOOKUP(A3253,'Fintech, Regulatory Arbitrage, '!A:A,'Fintech, Regulatory Arbitrage, '!C:C,"")</f>
        <v/>
      </c>
    </row>
    <row r="3254">
      <c r="A3254" s="1" t="s">
        <v>3273</v>
      </c>
      <c r="B3254" s="2">
        <v>14.0</v>
      </c>
      <c r="C3254" s="4"/>
      <c r="E3254" s="4" t="str">
        <f t="array" ref="E3254">XLOOKUP(A3254,'Fintech, Regulatory Arbitrage, '!A:A,'Fintech, Regulatory Arbitrage, '!C:C,"")</f>
        <v/>
      </c>
    </row>
    <row r="3255">
      <c r="A3255" s="1" t="s">
        <v>3274</v>
      </c>
      <c r="B3255" s="2">
        <v>14.0</v>
      </c>
      <c r="C3255" s="4"/>
      <c r="E3255" s="4" t="str">
        <f t="array" ref="E3255">XLOOKUP(A3255,'Fintech, Regulatory Arbitrage, '!A:A,'Fintech, Regulatory Arbitrage, '!C:C,"")</f>
        <v/>
      </c>
    </row>
    <row r="3256">
      <c r="A3256" s="1" t="s">
        <v>3275</v>
      </c>
      <c r="B3256" s="2">
        <v>14.0</v>
      </c>
      <c r="C3256" s="4"/>
      <c r="E3256" s="4" t="str">
        <f t="array" ref="E3256">XLOOKUP(A3256,'Fintech, Regulatory Arbitrage, '!A:A,'Fintech, Regulatory Arbitrage, '!C:C,"")</f>
        <v/>
      </c>
    </row>
    <row r="3257">
      <c r="A3257" s="1" t="s">
        <v>3276</v>
      </c>
      <c r="B3257" s="2">
        <v>14.0</v>
      </c>
      <c r="C3257" s="4"/>
      <c r="E3257" s="4" t="str">
        <f t="array" ref="E3257">XLOOKUP(A3257,'Fintech, Regulatory Arbitrage, '!A:A,'Fintech, Regulatory Arbitrage, '!C:C,"")</f>
        <v/>
      </c>
    </row>
    <row r="3258">
      <c r="A3258" s="1" t="s">
        <v>3277</v>
      </c>
      <c r="B3258" s="2">
        <v>14.0</v>
      </c>
      <c r="C3258" s="4"/>
      <c r="E3258" s="4" t="str">
        <f t="array" ref="E3258">XLOOKUP(A3258,'Fintech, Regulatory Arbitrage, '!A:A,'Fintech, Regulatory Arbitrage, '!C:C,"")</f>
        <v/>
      </c>
    </row>
    <row r="3259">
      <c r="A3259" s="1" t="s">
        <v>3278</v>
      </c>
      <c r="B3259" s="2">
        <v>14.0</v>
      </c>
      <c r="C3259" s="4"/>
      <c r="E3259" s="4" t="str">
        <f t="array" ref="E3259">XLOOKUP(A3259,'Fintech, Regulatory Arbitrage, '!A:A,'Fintech, Regulatory Arbitrage, '!C:C,"")</f>
        <v/>
      </c>
    </row>
    <row r="3260">
      <c r="A3260" s="1" t="s">
        <v>3279</v>
      </c>
      <c r="B3260" s="2">
        <v>14.0</v>
      </c>
      <c r="C3260" s="4"/>
      <c r="E3260" s="4" t="str">
        <f t="array" ref="E3260">XLOOKUP(A3260,'Fintech, Regulatory Arbitrage, '!A:A,'Fintech, Regulatory Arbitrage, '!C:C,"")</f>
        <v/>
      </c>
    </row>
    <row r="3261">
      <c r="A3261" s="1" t="s">
        <v>3280</v>
      </c>
      <c r="B3261" s="2">
        <v>14.0</v>
      </c>
      <c r="C3261" s="4"/>
      <c r="E3261" s="4" t="str">
        <f t="array" ref="E3261">XLOOKUP(A3261,'Fintech, Regulatory Arbitrage, '!A:A,'Fintech, Regulatory Arbitrage, '!C:C,"")</f>
        <v/>
      </c>
    </row>
    <row r="3262">
      <c r="A3262" s="1" t="s">
        <v>3281</v>
      </c>
      <c r="B3262" s="2">
        <v>14.0</v>
      </c>
      <c r="C3262" s="4"/>
      <c r="E3262" s="4" t="str">
        <f t="array" ref="E3262">XLOOKUP(A3262,'Fintech, Regulatory Arbitrage, '!A:A,'Fintech, Regulatory Arbitrage, '!C:C,"")</f>
        <v/>
      </c>
    </row>
    <row r="3263">
      <c r="A3263" s="1" t="s">
        <v>3282</v>
      </c>
      <c r="B3263" s="2">
        <v>14.0</v>
      </c>
      <c r="C3263" s="4"/>
      <c r="E3263" s="4" t="str">
        <f t="array" ref="E3263">XLOOKUP(A3263,'Fintech, Regulatory Arbitrage, '!A:A,'Fintech, Regulatory Arbitrage, '!C:C,"")</f>
        <v/>
      </c>
    </row>
    <row r="3264">
      <c r="A3264" s="1" t="s">
        <v>3283</v>
      </c>
      <c r="B3264" s="2">
        <v>14.0</v>
      </c>
      <c r="C3264" s="4"/>
      <c r="E3264" s="4" t="str">
        <f t="array" ref="E3264">XLOOKUP(A3264,'Fintech, Regulatory Arbitrage, '!A:A,'Fintech, Regulatory Arbitrage, '!C:C,"")</f>
        <v/>
      </c>
    </row>
    <row r="3265">
      <c r="A3265" s="1" t="s">
        <v>3284</v>
      </c>
      <c r="B3265" s="2">
        <v>14.0</v>
      </c>
      <c r="C3265" s="4"/>
      <c r="E3265" s="4" t="str">
        <f t="array" ref="E3265">XLOOKUP(A3265,'Fintech, Regulatory Arbitrage, '!A:A,'Fintech, Regulatory Arbitrage, '!C:C,"")</f>
        <v/>
      </c>
    </row>
    <row r="3266">
      <c r="A3266" s="1" t="s">
        <v>3285</v>
      </c>
      <c r="B3266" s="2">
        <v>14.0</v>
      </c>
      <c r="C3266" s="4"/>
      <c r="E3266" s="4" t="str">
        <f t="array" ref="E3266">XLOOKUP(A3266,'Fintech, Regulatory Arbitrage, '!A:A,'Fintech, Regulatory Arbitrage, '!C:C,"")</f>
        <v/>
      </c>
    </row>
    <row r="3267">
      <c r="A3267" s="1" t="s">
        <v>3286</v>
      </c>
      <c r="B3267" s="2">
        <v>14.0</v>
      </c>
      <c r="C3267" s="4"/>
      <c r="E3267" s="4" t="str">
        <f t="array" ref="E3267">XLOOKUP(A3267,'Fintech, Regulatory Arbitrage, '!A:A,'Fintech, Regulatory Arbitrage, '!C:C,"")</f>
        <v/>
      </c>
    </row>
    <row r="3268">
      <c r="A3268" s="1" t="s">
        <v>3287</v>
      </c>
      <c r="B3268" s="2">
        <v>14.0</v>
      </c>
      <c r="C3268" s="4"/>
      <c r="E3268" s="4" t="str">
        <f t="array" ref="E3268">XLOOKUP(A3268,'Fintech, Regulatory Arbitrage, '!A:A,'Fintech, Regulatory Arbitrage, '!C:C,"")</f>
        <v/>
      </c>
    </row>
    <row r="3269">
      <c r="A3269" s="1" t="s">
        <v>3288</v>
      </c>
      <c r="B3269" s="2">
        <v>14.0</v>
      </c>
      <c r="C3269" s="4"/>
      <c r="E3269" s="4" t="str">
        <f t="array" ref="E3269">XLOOKUP(A3269,'Fintech, Regulatory Arbitrage, '!A:A,'Fintech, Regulatory Arbitrage, '!C:C,"")</f>
        <v/>
      </c>
    </row>
    <row r="3270">
      <c r="A3270" s="1" t="s">
        <v>3289</v>
      </c>
      <c r="B3270" s="2">
        <v>14.0</v>
      </c>
      <c r="C3270" s="4"/>
      <c r="E3270" s="4" t="str">
        <f t="array" ref="E3270">XLOOKUP(A3270,'Fintech, Regulatory Arbitrage, '!A:A,'Fintech, Regulatory Arbitrage, '!C:C,"")</f>
        <v/>
      </c>
    </row>
    <row r="3271">
      <c r="A3271" s="1" t="s">
        <v>3290</v>
      </c>
      <c r="B3271" s="2">
        <v>14.0</v>
      </c>
      <c r="C3271" s="4"/>
      <c r="E3271" s="4" t="str">
        <f t="array" ref="E3271">XLOOKUP(A3271,'Fintech, Regulatory Arbitrage, '!A:A,'Fintech, Regulatory Arbitrage, '!C:C,"")</f>
        <v/>
      </c>
    </row>
    <row r="3272">
      <c r="A3272" s="1" t="s">
        <v>3291</v>
      </c>
      <c r="B3272" s="2">
        <v>14.0</v>
      </c>
      <c r="C3272" s="4"/>
      <c r="E3272" s="4" t="str">
        <f t="array" ref="E3272">XLOOKUP(A3272,'Fintech, Regulatory Arbitrage, '!A:A,'Fintech, Regulatory Arbitrage, '!C:C,"")</f>
        <v/>
      </c>
    </row>
    <row r="3273">
      <c r="A3273" s="1" t="s">
        <v>3292</v>
      </c>
      <c r="B3273" s="2">
        <v>14.0</v>
      </c>
      <c r="C3273" s="4"/>
      <c r="E3273" s="4" t="str">
        <f t="array" ref="E3273">XLOOKUP(A3273,'Fintech, Regulatory Arbitrage, '!A:A,'Fintech, Regulatory Arbitrage, '!C:C,"")</f>
        <v/>
      </c>
    </row>
    <row r="3274">
      <c r="A3274" s="1" t="s">
        <v>3293</v>
      </c>
      <c r="B3274" s="2">
        <v>14.0</v>
      </c>
      <c r="C3274" s="4"/>
      <c r="E3274" s="4" t="str">
        <f t="array" ref="E3274">XLOOKUP(A3274,'Fintech, Regulatory Arbitrage, '!A:A,'Fintech, Regulatory Arbitrage, '!C:C,"")</f>
        <v/>
      </c>
    </row>
    <row r="3275">
      <c r="A3275" s="1" t="s">
        <v>3294</v>
      </c>
      <c r="B3275" s="2">
        <v>14.0</v>
      </c>
      <c r="C3275" s="4"/>
      <c r="E3275" s="4" t="str">
        <f t="array" ref="E3275">XLOOKUP(A3275,'Fintech, Regulatory Arbitrage, '!A:A,'Fintech, Regulatory Arbitrage, '!C:C,"")</f>
        <v/>
      </c>
    </row>
    <row r="3276">
      <c r="A3276" s="1" t="s">
        <v>3295</v>
      </c>
      <c r="B3276" s="2">
        <v>14.0</v>
      </c>
      <c r="C3276" s="4"/>
      <c r="E3276" s="4" t="str">
        <f t="array" ref="E3276">XLOOKUP(A3276,'Fintech, Regulatory Arbitrage, '!A:A,'Fintech, Regulatory Arbitrage, '!C:C,"")</f>
        <v/>
      </c>
    </row>
    <row r="3277">
      <c r="A3277" s="1" t="s">
        <v>3296</v>
      </c>
      <c r="B3277" s="2">
        <v>14.0</v>
      </c>
      <c r="C3277" s="4"/>
      <c r="E3277" s="4" t="str">
        <f t="array" ref="E3277">XLOOKUP(A3277,'Fintech, Regulatory Arbitrage, '!A:A,'Fintech, Regulatory Arbitrage, '!C:C,"")</f>
        <v/>
      </c>
    </row>
    <row r="3278">
      <c r="A3278" s="1" t="s">
        <v>3297</v>
      </c>
      <c r="B3278" s="2">
        <v>14.0</v>
      </c>
      <c r="C3278" s="4"/>
      <c r="E3278" s="4" t="str">
        <f t="array" ref="E3278">XLOOKUP(A3278,'Fintech, Regulatory Arbitrage, '!A:A,'Fintech, Regulatory Arbitrage, '!C:C,"")</f>
        <v/>
      </c>
    </row>
    <row r="3279">
      <c r="A3279" s="1" t="s">
        <v>3298</v>
      </c>
      <c r="B3279" s="2">
        <v>14.0</v>
      </c>
      <c r="C3279" s="4"/>
      <c r="E3279" s="4" t="str">
        <f t="array" ref="E3279">XLOOKUP(A3279,'Fintech, Regulatory Arbitrage, '!A:A,'Fintech, Regulatory Arbitrage, '!C:C,"")</f>
        <v/>
      </c>
    </row>
    <row r="3280">
      <c r="A3280" s="1" t="s">
        <v>3299</v>
      </c>
      <c r="B3280" s="2">
        <v>14.0</v>
      </c>
      <c r="C3280" s="4"/>
      <c r="E3280" s="4" t="str">
        <f t="array" ref="E3280">XLOOKUP(A3280,'Fintech, Regulatory Arbitrage, '!A:A,'Fintech, Regulatory Arbitrage, '!C:C,"")</f>
        <v/>
      </c>
    </row>
    <row r="3281">
      <c r="A3281" s="1" t="s">
        <v>3300</v>
      </c>
      <c r="B3281" s="2">
        <v>14.0</v>
      </c>
      <c r="C3281" s="4"/>
      <c r="E3281" s="4" t="str">
        <f t="array" ref="E3281">XLOOKUP(A3281,'Fintech, Regulatory Arbitrage, '!A:A,'Fintech, Regulatory Arbitrage, '!C:C,"")</f>
        <v/>
      </c>
    </row>
    <row r="3282">
      <c r="A3282" s="1" t="s">
        <v>3301</v>
      </c>
      <c r="B3282" s="2">
        <v>14.0</v>
      </c>
      <c r="C3282" s="4"/>
      <c r="E3282" s="4" t="str">
        <f t="array" ref="E3282">XLOOKUP(A3282,'Fintech, Regulatory Arbitrage, '!A:A,'Fintech, Regulatory Arbitrage, '!C:C,"")</f>
        <v/>
      </c>
    </row>
    <row r="3283">
      <c r="A3283" s="1" t="s">
        <v>3302</v>
      </c>
      <c r="B3283" s="2">
        <v>14.0</v>
      </c>
      <c r="C3283" s="4"/>
      <c r="E3283" s="4" t="str">
        <f t="array" ref="E3283">XLOOKUP(A3283,'Fintech, Regulatory Arbitrage, '!A:A,'Fintech, Regulatory Arbitrage, '!C:C,"")</f>
        <v/>
      </c>
    </row>
    <row r="3284">
      <c r="A3284" s="1" t="s">
        <v>3303</v>
      </c>
      <c r="B3284" s="2">
        <v>14.0</v>
      </c>
      <c r="C3284" s="4"/>
      <c r="E3284" s="4" t="str">
        <f t="array" ref="E3284">XLOOKUP(A3284,'Fintech, Regulatory Arbitrage, '!A:A,'Fintech, Regulatory Arbitrage, '!C:C,"")</f>
        <v/>
      </c>
    </row>
    <row r="3285">
      <c r="A3285" s="1" t="s">
        <v>3304</v>
      </c>
      <c r="B3285" s="2">
        <v>14.0</v>
      </c>
      <c r="C3285" s="4"/>
      <c r="E3285" s="4" t="str">
        <f t="array" ref="E3285">XLOOKUP(A3285,'Fintech, Regulatory Arbitrage, '!A:A,'Fintech, Regulatory Arbitrage, '!C:C,"")</f>
        <v/>
      </c>
    </row>
    <row r="3286">
      <c r="A3286" s="1" t="s">
        <v>3305</v>
      </c>
      <c r="B3286" s="2">
        <v>14.0</v>
      </c>
      <c r="C3286" s="4"/>
      <c r="E3286" s="4" t="str">
        <f t="array" ref="E3286">XLOOKUP(A3286,'Fintech, Regulatory Arbitrage, '!A:A,'Fintech, Regulatory Arbitrage, '!C:C,"")</f>
        <v/>
      </c>
    </row>
    <row r="3287">
      <c r="A3287" s="1" t="s">
        <v>3306</v>
      </c>
      <c r="B3287" s="2">
        <v>14.0</v>
      </c>
      <c r="C3287" s="4"/>
      <c r="E3287" s="4" t="str">
        <f t="array" ref="E3287">XLOOKUP(A3287,'Fintech, Regulatory Arbitrage, '!A:A,'Fintech, Regulatory Arbitrage, '!C:C,"")</f>
        <v/>
      </c>
    </row>
    <row r="3288">
      <c r="A3288" s="1" t="s">
        <v>3307</v>
      </c>
      <c r="B3288" s="2">
        <v>14.0</v>
      </c>
      <c r="C3288" s="4"/>
      <c r="E3288" s="4" t="str">
        <f t="array" ref="E3288">XLOOKUP(A3288,'Fintech, Regulatory Arbitrage, '!A:A,'Fintech, Regulatory Arbitrage, '!C:C,"")</f>
        <v/>
      </c>
    </row>
    <row r="3289">
      <c r="A3289" s="1" t="s">
        <v>3308</v>
      </c>
      <c r="B3289" s="2">
        <v>14.0</v>
      </c>
      <c r="C3289" s="4"/>
      <c r="E3289" s="4" t="str">
        <f t="array" ref="E3289">XLOOKUP(A3289,'Fintech, Regulatory Arbitrage, '!A:A,'Fintech, Regulatory Arbitrage, '!C:C,"")</f>
        <v/>
      </c>
    </row>
    <row r="3290">
      <c r="A3290" s="1" t="s">
        <v>3309</v>
      </c>
      <c r="B3290" s="2">
        <v>14.0</v>
      </c>
      <c r="C3290" s="4"/>
      <c r="E3290" s="4" t="str">
        <f t="array" ref="E3290">XLOOKUP(A3290,'Fintech, Regulatory Arbitrage, '!A:A,'Fintech, Regulatory Arbitrage, '!C:C,"")</f>
        <v/>
      </c>
    </row>
    <row r="3291">
      <c r="A3291" s="1" t="s">
        <v>3310</v>
      </c>
      <c r="B3291" s="2">
        <v>14.0</v>
      </c>
      <c r="C3291" s="4"/>
      <c r="E3291" s="4" t="str">
        <f t="array" ref="E3291">XLOOKUP(A3291,'Fintech, Regulatory Arbitrage, '!A:A,'Fintech, Regulatory Arbitrage, '!C:C,"")</f>
        <v/>
      </c>
    </row>
    <row r="3292">
      <c r="A3292" s="1" t="s">
        <v>3311</v>
      </c>
      <c r="B3292" s="2">
        <v>14.0</v>
      </c>
      <c r="C3292" s="4"/>
      <c r="E3292" s="4" t="str">
        <f t="array" ref="E3292">XLOOKUP(A3292,'Fintech, Regulatory Arbitrage, '!A:A,'Fintech, Regulatory Arbitrage, '!C:C,"")</f>
        <v/>
      </c>
    </row>
    <row r="3293">
      <c r="A3293" s="1" t="s">
        <v>3312</v>
      </c>
      <c r="B3293" s="2">
        <v>14.0</v>
      </c>
      <c r="C3293" s="4"/>
      <c r="E3293" s="4" t="str">
        <f t="array" ref="E3293">XLOOKUP(A3293,'Fintech, Regulatory Arbitrage, '!A:A,'Fintech, Regulatory Arbitrage, '!C:C,"")</f>
        <v/>
      </c>
    </row>
    <row r="3294">
      <c r="A3294" s="1" t="s">
        <v>3313</v>
      </c>
      <c r="B3294" s="2">
        <v>14.0</v>
      </c>
      <c r="C3294" s="4"/>
      <c r="E3294" s="4" t="str">
        <f t="array" ref="E3294">XLOOKUP(A3294,'Fintech, Regulatory Arbitrage, '!A:A,'Fintech, Regulatory Arbitrage, '!C:C,"")</f>
        <v/>
      </c>
    </row>
    <row r="3295">
      <c r="A3295" s="1" t="s">
        <v>3314</v>
      </c>
      <c r="B3295" s="2">
        <v>14.0</v>
      </c>
      <c r="C3295" s="4"/>
      <c r="E3295" s="4" t="str">
        <f t="array" ref="E3295">XLOOKUP(A3295,'Fintech, Regulatory Arbitrage, '!A:A,'Fintech, Regulatory Arbitrage, '!C:C,"")</f>
        <v/>
      </c>
    </row>
    <row r="3296">
      <c r="A3296" s="1" t="s">
        <v>3315</v>
      </c>
      <c r="B3296" s="2">
        <v>14.0</v>
      </c>
      <c r="C3296" s="4"/>
      <c r="E3296" s="4" t="str">
        <f t="array" ref="E3296">XLOOKUP(A3296,'Fintech, Regulatory Arbitrage, '!A:A,'Fintech, Regulatory Arbitrage, '!C:C,"")</f>
        <v/>
      </c>
    </row>
    <row r="3297">
      <c r="A3297" s="1" t="s">
        <v>3316</v>
      </c>
      <c r="B3297" s="2">
        <v>14.0</v>
      </c>
      <c r="C3297" s="4"/>
      <c r="E3297" s="4" t="str">
        <f t="array" ref="E3297">XLOOKUP(A3297,'Fintech, Regulatory Arbitrage, '!A:A,'Fintech, Regulatory Arbitrage, '!C:C,"")</f>
        <v/>
      </c>
    </row>
    <row r="3298">
      <c r="A3298" s="1" t="s">
        <v>3317</v>
      </c>
      <c r="B3298" s="2">
        <v>14.0</v>
      </c>
      <c r="C3298" s="4"/>
      <c r="E3298" s="4" t="str">
        <f t="array" ref="E3298">XLOOKUP(A3298,'Fintech, Regulatory Arbitrage, '!A:A,'Fintech, Regulatory Arbitrage, '!C:C,"")</f>
        <v/>
      </c>
    </row>
    <row r="3299">
      <c r="A3299" s="1" t="s">
        <v>3318</v>
      </c>
      <c r="B3299" s="2">
        <v>14.0</v>
      </c>
      <c r="C3299" s="4"/>
      <c r="E3299" s="4" t="str">
        <f t="array" ref="E3299">XLOOKUP(A3299,'Fintech, Regulatory Arbitrage, '!A:A,'Fintech, Regulatory Arbitrage, '!C:C,"")</f>
        <v/>
      </c>
    </row>
    <row r="3300">
      <c r="A3300" s="1" t="s">
        <v>3319</v>
      </c>
      <c r="B3300" s="2">
        <v>14.0</v>
      </c>
      <c r="C3300" s="4"/>
      <c r="E3300" s="4" t="str">
        <f t="array" ref="E3300">XLOOKUP(A3300,'Fintech, Regulatory Arbitrage, '!A:A,'Fintech, Regulatory Arbitrage, '!C:C,"")</f>
        <v/>
      </c>
    </row>
    <row r="3301">
      <c r="A3301" s="1" t="s">
        <v>3320</v>
      </c>
      <c r="B3301" s="2">
        <v>14.0</v>
      </c>
      <c r="C3301" s="4"/>
      <c r="E3301" s="4" t="str">
        <f t="array" ref="E3301">XLOOKUP(A3301,'Fintech, Regulatory Arbitrage, '!A:A,'Fintech, Regulatory Arbitrage, '!C:C,"")</f>
        <v/>
      </c>
    </row>
    <row r="3302">
      <c r="A3302" s="1" t="s">
        <v>3321</v>
      </c>
      <c r="B3302" s="2">
        <v>14.0</v>
      </c>
      <c r="C3302" s="4"/>
      <c r="E3302" s="4" t="str">
        <f t="array" ref="E3302">XLOOKUP(A3302,'Fintech, Regulatory Arbitrage, '!A:A,'Fintech, Regulatory Arbitrage, '!C:C,"")</f>
        <v/>
      </c>
    </row>
    <row r="3303">
      <c r="A3303" s="1" t="s">
        <v>3322</v>
      </c>
      <c r="B3303" s="2">
        <v>14.0</v>
      </c>
      <c r="C3303" s="4"/>
      <c r="E3303" s="4" t="str">
        <f t="array" ref="E3303">XLOOKUP(A3303,'Fintech, Regulatory Arbitrage, '!A:A,'Fintech, Regulatory Arbitrage, '!C:C,"")</f>
        <v/>
      </c>
    </row>
    <row r="3304">
      <c r="A3304" s="1" t="s">
        <v>3323</v>
      </c>
      <c r="B3304" s="2">
        <v>14.0</v>
      </c>
      <c r="C3304" s="4"/>
      <c r="E3304" s="4" t="str">
        <f t="array" ref="E3304">XLOOKUP(A3304,'Fintech, Regulatory Arbitrage, '!A:A,'Fintech, Regulatory Arbitrage, '!C:C,"")</f>
        <v/>
      </c>
    </row>
    <row r="3305">
      <c r="A3305" s="1" t="s">
        <v>3324</v>
      </c>
      <c r="B3305" s="2">
        <v>14.0</v>
      </c>
      <c r="C3305" s="4"/>
      <c r="E3305" s="4" t="str">
        <f t="array" ref="E3305">XLOOKUP(A3305,'Fintech, Regulatory Arbitrage, '!A:A,'Fintech, Regulatory Arbitrage, '!C:C,"")</f>
        <v/>
      </c>
    </row>
    <row r="3306">
      <c r="A3306" s="1" t="s">
        <v>3325</v>
      </c>
      <c r="B3306" s="2">
        <v>14.0</v>
      </c>
      <c r="C3306" s="4"/>
      <c r="E3306" s="4" t="str">
        <f t="array" ref="E3306">XLOOKUP(A3306,'Fintech, Regulatory Arbitrage, '!A:A,'Fintech, Regulatory Arbitrage, '!C:C,"")</f>
        <v/>
      </c>
    </row>
    <row r="3307">
      <c r="A3307" s="1" t="s">
        <v>3326</v>
      </c>
      <c r="B3307" s="2">
        <v>14.0</v>
      </c>
      <c r="C3307" s="4"/>
      <c r="E3307" s="4" t="str">
        <f t="array" ref="E3307">XLOOKUP(A3307,'Fintech, Regulatory Arbitrage, '!A:A,'Fintech, Regulatory Arbitrage, '!C:C,"")</f>
        <v/>
      </c>
    </row>
    <row r="3308">
      <c r="A3308" s="1" t="s">
        <v>3327</v>
      </c>
      <c r="B3308" s="2">
        <v>14.0</v>
      </c>
      <c r="C3308" s="4"/>
      <c r="E3308" s="4" t="str">
        <f t="array" ref="E3308">XLOOKUP(A3308,'Fintech, Regulatory Arbitrage, '!A:A,'Fintech, Regulatory Arbitrage, '!C:C,"")</f>
        <v/>
      </c>
    </row>
    <row r="3309">
      <c r="A3309" s="1" t="s">
        <v>3328</v>
      </c>
      <c r="B3309" s="2">
        <v>14.0</v>
      </c>
      <c r="C3309" s="4"/>
      <c r="E3309" s="4" t="str">
        <f t="array" ref="E3309">XLOOKUP(A3309,'Fintech, Regulatory Arbitrage, '!A:A,'Fintech, Regulatory Arbitrage, '!C:C,"")</f>
        <v/>
      </c>
    </row>
    <row r="3310">
      <c r="A3310" s="1" t="s">
        <v>3329</v>
      </c>
      <c r="B3310" s="2">
        <v>14.0</v>
      </c>
      <c r="C3310" s="4"/>
      <c r="E3310" s="4" t="str">
        <f t="array" ref="E3310">XLOOKUP(A3310,'Fintech, Regulatory Arbitrage, '!A:A,'Fintech, Regulatory Arbitrage, '!C:C,"")</f>
        <v/>
      </c>
    </row>
    <row r="3311">
      <c r="A3311" s="1" t="s">
        <v>3330</v>
      </c>
      <c r="B3311" s="2">
        <v>14.0</v>
      </c>
      <c r="C3311" s="4"/>
      <c r="E3311" s="4" t="str">
        <f t="array" ref="E3311">XLOOKUP(A3311,'Fintech, Regulatory Arbitrage, '!A:A,'Fintech, Regulatory Arbitrage, '!C:C,"")</f>
        <v/>
      </c>
    </row>
    <row r="3312">
      <c r="A3312" s="1" t="s">
        <v>3331</v>
      </c>
      <c r="B3312" s="2">
        <v>14.0</v>
      </c>
      <c r="C3312" s="4"/>
      <c r="E3312" s="4" t="str">
        <f t="array" ref="E3312">XLOOKUP(A3312,'Fintech, Regulatory Arbitrage, '!A:A,'Fintech, Regulatory Arbitrage, '!C:C,"")</f>
        <v/>
      </c>
    </row>
    <row r="3313">
      <c r="A3313" s="1" t="s">
        <v>3332</v>
      </c>
      <c r="B3313" s="2">
        <v>14.0</v>
      </c>
      <c r="C3313" s="4"/>
      <c r="E3313" s="4" t="str">
        <f t="array" ref="E3313">XLOOKUP(A3313,'Fintech, Regulatory Arbitrage, '!A:A,'Fintech, Regulatory Arbitrage, '!C:C,"")</f>
        <v/>
      </c>
    </row>
    <row r="3314">
      <c r="A3314" s="1" t="s">
        <v>3333</v>
      </c>
      <c r="B3314" s="2">
        <v>14.0</v>
      </c>
      <c r="C3314" s="4"/>
      <c r="E3314" s="4" t="str">
        <f t="array" ref="E3314">XLOOKUP(A3314,'Fintech, Regulatory Arbitrage, '!A:A,'Fintech, Regulatory Arbitrage, '!C:C,"")</f>
        <v/>
      </c>
    </row>
    <row r="3315">
      <c r="A3315" s="1" t="s">
        <v>3334</v>
      </c>
      <c r="B3315" s="2">
        <v>14.0</v>
      </c>
      <c r="C3315" s="4"/>
      <c r="E3315" s="4" t="str">
        <f t="array" ref="E3315">XLOOKUP(A3315,'Fintech, Regulatory Arbitrage, '!A:A,'Fintech, Regulatory Arbitrage, '!C:C,"")</f>
        <v/>
      </c>
    </row>
    <row r="3316">
      <c r="A3316" s="1" t="s">
        <v>3335</v>
      </c>
      <c r="B3316" s="2">
        <v>14.0</v>
      </c>
      <c r="C3316" s="4"/>
      <c r="E3316" s="4" t="str">
        <f t="array" ref="E3316">XLOOKUP(A3316,'Fintech, Regulatory Arbitrage, '!A:A,'Fintech, Regulatory Arbitrage, '!C:C,"")</f>
        <v/>
      </c>
    </row>
    <row r="3317">
      <c r="A3317" s="1" t="s">
        <v>3336</v>
      </c>
      <c r="B3317" s="2">
        <v>14.0</v>
      </c>
      <c r="C3317" s="4"/>
      <c r="E3317" s="4" t="str">
        <f t="array" ref="E3317">XLOOKUP(A3317,'Fintech, Regulatory Arbitrage, '!A:A,'Fintech, Regulatory Arbitrage, '!C:C,"")</f>
        <v/>
      </c>
    </row>
    <row r="3318">
      <c r="A3318" s="1" t="s">
        <v>3337</v>
      </c>
      <c r="B3318" s="2">
        <v>13.0</v>
      </c>
      <c r="C3318" s="4"/>
      <c r="E3318" s="4" t="str">
        <f t="array" ref="E3318">XLOOKUP(A3318,'Fintech, Regulatory Arbitrage, '!A:A,'Fintech, Regulatory Arbitrage, '!C:C,"")</f>
        <v/>
      </c>
    </row>
    <row r="3319">
      <c r="A3319" s="1" t="s">
        <v>3338</v>
      </c>
      <c r="B3319" s="2">
        <v>13.0</v>
      </c>
      <c r="C3319" s="4"/>
      <c r="E3319" s="4" t="str">
        <f t="array" ref="E3319">XLOOKUP(A3319,'Fintech, Regulatory Arbitrage, '!A:A,'Fintech, Regulatory Arbitrage, '!C:C,"")</f>
        <v/>
      </c>
    </row>
    <row r="3320">
      <c r="A3320" s="1" t="s">
        <v>3339</v>
      </c>
      <c r="B3320" s="2">
        <v>13.0</v>
      </c>
      <c r="C3320" s="4"/>
      <c r="E3320" s="4" t="str">
        <f t="array" ref="E3320">XLOOKUP(A3320,'Fintech, Regulatory Arbitrage, '!A:A,'Fintech, Regulatory Arbitrage, '!C:C,"")</f>
        <v/>
      </c>
    </row>
    <row r="3321">
      <c r="A3321" s="1" t="s">
        <v>3340</v>
      </c>
      <c r="B3321" s="2">
        <v>13.0</v>
      </c>
      <c r="C3321" s="4"/>
      <c r="E3321" s="4" t="str">
        <f t="array" ref="E3321">XLOOKUP(A3321,'Fintech, Regulatory Arbitrage, '!A:A,'Fintech, Regulatory Arbitrage, '!C:C,"")</f>
        <v/>
      </c>
    </row>
    <row r="3322">
      <c r="A3322" s="1" t="s">
        <v>3341</v>
      </c>
      <c r="B3322" s="2">
        <v>13.0</v>
      </c>
      <c r="C3322" s="4"/>
      <c r="E3322" s="4" t="str">
        <f t="array" ref="E3322">XLOOKUP(A3322,'Fintech, Regulatory Arbitrage, '!A:A,'Fintech, Regulatory Arbitrage, '!C:C,"")</f>
        <v/>
      </c>
    </row>
    <row r="3323">
      <c r="A3323" s="1" t="s">
        <v>3342</v>
      </c>
      <c r="B3323" s="2">
        <v>13.0</v>
      </c>
      <c r="C3323" s="4"/>
      <c r="E3323" s="4" t="str">
        <f t="array" ref="E3323">XLOOKUP(A3323,'Fintech, Regulatory Arbitrage, '!A:A,'Fintech, Regulatory Arbitrage, '!C:C,"")</f>
        <v/>
      </c>
    </row>
    <row r="3324">
      <c r="A3324" s="1" t="s">
        <v>3343</v>
      </c>
      <c r="B3324" s="2">
        <v>13.0</v>
      </c>
      <c r="C3324" s="4"/>
      <c r="E3324" s="4" t="str">
        <f t="array" ref="E3324">XLOOKUP(A3324,'Fintech, Regulatory Arbitrage, '!A:A,'Fintech, Regulatory Arbitrage, '!C:C,"")</f>
        <v/>
      </c>
    </row>
    <row r="3325">
      <c r="A3325" s="1" t="s">
        <v>3344</v>
      </c>
      <c r="B3325" s="2">
        <v>13.0</v>
      </c>
      <c r="C3325" s="4"/>
      <c r="E3325" s="4" t="str">
        <f t="array" ref="E3325">XLOOKUP(A3325,'Fintech, Regulatory Arbitrage, '!A:A,'Fintech, Regulatory Arbitrage, '!C:C,"")</f>
        <v/>
      </c>
    </row>
    <row r="3326">
      <c r="A3326" s="1" t="s">
        <v>3345</v>
      </c>
      <c r="B3326" s="2">
        <v>13.0</v>
      </c>
      <c r="C3326" s="4"/>
      <c r="E3326" s="4" t="str">
        <f t="array" ref="E3326">XLOOKUP(A3326,'Fintech, Regulatory Arbitrage, '!A:A,'Fintech, Regulatory Arbitrage, '!C:C,"")</f>
        <v/>
      </c>
    </row>
    <row r="3327">
      <c r="A3327" s="1" t="s">
        <v>3346</v>
      </c>
      <c r="B3327" s="2">
        <v>13.0</v>
      </c>
      <c r="C3327" s="4"/>
      <c r="E3327" s="4" t="str">
        <f t="array" ref="E3327">XLOOKUP(A3327,'Fintech, Regulatory Arbitrage, '!A:A,'Fintech, Regulatory Arbitrage, '!C:C,"")</f>
        <v/>
      </c>
    </row>
    <row r="3328">
      <c r="A3328" s="1" t="s">
        <v>3347</v>
      </c>
      <c r="B3328" s="2">
        <v>13.0</v>
      </c>
      <c r="C3328" s="4"/>
      <c r="E3328" s="4" t="str">
        <f t="array" ref="E3328">XLOOKUP(A3328,'Fintech, Regulatory Arbitrage, '!A:A,'Fintech, Regulatory Arbitrage, '!C:C,"")</f>
        <v/>
      </c>
    </row>
    <row r="3329">
      <c r="A3329" s="1" t="s">
        <v>3348</v>
      </c>
      <c r="B3329" s="2">
        <v>13.0</v>
      </c>
      <c r="C3329" s="4"/>
      <c r="E3329" s="4" t="str">
        <f t="array" ref="E3329">XLOOKUP(A3329,'Fintech, Regulatory Arbitrage, '!A:A,'Fintech, Regulatory Arbitrage, '!C:C,"")</f>
        <v/>
      </c>
    </row>
    <row r="3330">
      <c r="A3330" s="1" t="s">
        <v>3349</v>
      </c>
      <c r="B3330" s="2">
        <v>13.0</v>
      </c>
      <c r="C3330" s="4"/>
      <c r="E3330" s="4" t="str">
        <f t="array" ref="E3330">XLOOKUP(A3330,'Fintech, Regulatory Arbitrage, '!A:A,'Fintech, Regulatory Arbitrage, '!C:C,"")</f>
        <v/>
      </c>
    </row>
    <row r="3331">
      <c r="A3331" s="1" t="s">
        <v>3350</v>
      </c>
      <c r="B3331" s="2">
        <v>13.0</v>
      </c>
      <c r="C3331" s="4"/>
      <c r="E3331" s="4" t="str">
        <f t="array" ref="E3331">XLOOKUP(A3331,'Fintech, Regulatory Arbitrage, '!A:A,'Fintech, Regulatory Arbitrage, '!C:C,"")</f>
        <v/>
      </c>
    </row>
    <row r="3332">
      <c r="A3332" s="1" t="s">
        <v>3351</v>
      </c>
      <c r="B3332" s="2">
        <v>13.0</v>
      </c>
      <c r="C3332" s="4"/>
      <c r="E3332" s="4" t="str">
        <f t="array" ref="E3332">XLOOKUP(A3332,'Fintech, Regulatory Arbitrage, '!A:A,'Fintech, Regulatory Arbitrage, '!C:C,"")</f>
        <v/>
      </c>
    </row>
    <row r="3333">
      <c r="A3333" s="1" t="s">
        <v>3352</v>
      </c>
      <c r="B3333" s="2">
        <v>13.0</v>
      </c>
      <c r="C3333" s="4"/>
      <c r="E3333" s="4" t="str">
        <f t="array" ref="E3333">XLOOKUP(A3333,'Fintech, Regulatory Arbitrage, '!A:A,'Fintech, Regulatory Arbitrage, '!C:C,"")</f>
        <v/>
      </c>
    </row>
    <row r="3334">
      <c r="A3334" s="1" t="s">
        <v>3353</v>
      </c>
      <c r="B3334" s="2">
        <v>13.0</v>
      </c>
      <c r="C3334" s="4"/>
      <c r="E3334" s="4" t="str">
        <f t="array" ref="E3334">XLOOKUP(A3334,'Fintech, Regulatory Arbitrage, '!A:A,'Fintech, Regulatory Arbitrage, '!C:C,"")</f>
        <v/>
      </c>
    </row>
    <row r="3335">
      <c r="A3335" s="1" t="s">
        <v>3354</v>
      </c>
      <c r="B3335" s="2">
        <v>13.0</v>
      </c>
      <c r="C3335" s="4"/>
      <c r="E3335" s="4" t="str">
        <f t="array" ref="E3335">XLOOKUP(A3335,'Fintech, Regulatory Arbitrage, '!A:A,'Fintech, Regulatory Arbitrage, '!C:C,"")</f>
        <v/>
      </c>
    </row>
    <row r="3336">
      <c r="A3336" s="1" t="s">
        <v>3355</v>
      </c>
      <c r="B3336" s="2">
        <v>13.0</v>
      </c>
      <c r="C3336" s="4"/>
      <c r="E3336" s="4" t="str">
        <f t="array" ref="E3336">XLOOKUP(A3336,'Fintech, Regulatory Arbitrage, '!A:A,'Fintech, Regulatory Arbitrage, '!C:C,"")</f>
        <v/>
      </c>
    </row>
    <row r="3337">
      <c r="A3337" s="1" t="s">
        <v>3356</v>
      </c>
      <c r="B3337" s="2">
        <v>13.0</v>
      </c>
      <c r="C3337" s="4"/>
      <c r="E3337" s="4" t="str">
        <f t="array" ref="E3337">XLOOKUP(A3337,'Fintech, Regulatory Arbitrage, '!A:A,'Fintech, Regulatory Arbitrage, '!C:C,"")</f>
        <v/>
      </c>
    </row>
    <row r="3338">
      <c r="A3338" s="1" t="s">
        <v>3357</v>
      </c>
      <c r="B3338" s="2">
        <v>13.0</v>
      </c>
      <c r="C3338" s="4"/>
      <c r="E3338" s="4" t="str">
        <f t="array" ref="E3338">XLOOKUP(A3338,'Fintech, Regulatory Arbitrage, '!A:A,'Fintech, Regulatory Arbitrage, '!C:C,"")</f>
        <v/>
      </c>
    </row>
    <row r="3339">
      <c r="A3339" s="1" t="s">
        <v>3358</v>
      </c>
      <c r="B3339" s="2">
        <v>13.0</v>
      </c>
      <c r="C3339" s="4"/>
      <c r="E3339" s="4" t="str">
        <f t="array" ref="E3339">XLOOKUP(A3339,'Fintech, Regulatory Arbitrage, '!A:A,'Fintech, Regulatory Arbitrage, '!C:C,"")</f>
        <v/>
      </c>
    </row>
    <row r="3340">
      <c r="A3340" s="1" t="s">
        <v>3359</v>
      </c>
      <c r="B3340" s="2">
        <v>13.0</v>
      </c>
      <c r="C3340" s="4"/>
      <c r="E3340" s="4" t="str">
        <f t="array" ref="E3340">XLOOKUP(A3340,'Fintech, Regulatory Arbitrage, '!A:A,'Fintech, Regulatory Arbitrage, '!C:C,"")</f>
        <v/>
      </c>
    </row>
    <row r="3341">
      <c r="A3341" s="1" t="s">
        <v>3360</v>
      </c>
      <c r="B3341" s="2">
        <v>13.0</v>
      </c>
      <c r="C3341" s="4"/>
      <c r="E3341" s="4" t="str">
        <f t="array" ref="E3341">XLOOKUP(A3341,'Fintech, Regulatory Arbitrage, '!A:A,'Fintech, Regulatory Arbitrage, '!C:C,"")</f>
        <v/>
      </c>
    </row>
    <row r="3342">
      <c r="A3342" s="1" t="s">
        <v>3361</v>
      </c>
      <c r="B3342" s="2">
        <v>13.0</v>
      </c>
      <c r="C3342" s="4"/>
      <c r="E3342" s="4" t="str">
        <f t="array" ref="E3342">XLOOKUP(A3342,'Fintech, Regulatory Arbitrage, '!A:A,'Fintech, Regulatory Arbitrage, '!C:C,"")</f>
        <v/>
      </c>
    </row>
    <row r="3343">
      <c r="A3343" s="1" t="s">
        <v>3362</v>
      </c>
      <c r="B3343" s="2">
        <v>13.0</v>
      </c>
      <c r="C3343" s="4"/>
      <c r="E3343" s="4" t="str">
        <f t="array" ref="E3343">XLOOKUP(A3343,'Fintech, Regulatory Arbitrage, '!A:A,'Fintech, Regulatory Arbitrage, '!C:C,"")</f>
        <v/>
      </c>
    </row>
    <row r="3344">
      <c r="A3344" s="1" t="s">
        <v>3363</v>
      </c>
      <c r="B3344" s="2">
        <v>13.0</v>
      </c>
      <c r="C3344" s="4"/>
      <c r="E3344" s="4" t="str">
        <f t="array" ref="E3344">XLOOKUP(A3344,'Fintech, Regulatory Arbitrage, '!A:A,'Fintech, Regulatory Arbitrage, '!C:C,"")</f>
        <v/>
      </c>
    </row>
    <row r="3345">
      <c r="A3345" s="1" t="s">
        <v>3364</v>
      </c>
      <c r="B3345" s="2">
        <v>13.0</v>
      </c>
      <c r="C3345" s="4"/>
      <c r="E3345" s="4" t="str">
        <f t="array" ref="E3345">XLOOKUP(A3345,'Fintech, Regulatory Arbitrage, '!A:A,'Fintech, Regulatory Arbitrage, '!C:C,"")</f>
        <v/>
      </c>
    </row>
    <row r="3346">
      <c r="A3346" s="1" t="s">
        <v>3365</v>
      </c>
      <c r="B3346" s="2">
        <v>13.0</v>
      </c>
      <c r="C3346" s="4"/>
      <c r="E3346" s="4" t="str">
        <f t="array" ref="E3346">XLOOKUP(A3346,'Fintech, Regulatory Arbitrage, '!A:A,'Fintech, Regulatory Arbitrage, '!C:C,"")</f>
        <v/>
      </c>
    </row>
    <row r="3347">
      <c r="A3347" s="1" t="s">
        <v>3366</v>
      </c>
      <c r="B3347" s="2">
        <v>13.0</v>
      </c>
      <c r="C3347" s="4"/>
      <c r="E3347" s="4" t="str">
        <f t="array" ref="E3347">XLOOKUP(A3347,'Fintech, Regulatory Arbitrage, '!A:A,'Fintech, Regulatory Arbitrage, '!C:C,"")</f>
        <v/>
      </c>
    </row>
    <row r="3348">
      <c r="A3348" s="1" t="s">
        <v>3367</v>
      </c>
      <c r="B3348" s="2">
        <v>13.0</v>
      </c>
      <c r="C3348" s="4"/>
      <c r="E3348" s="4" t="str">
        <f t="array" ref="E3348">XLOOKUP(A3348,'Fintech, Regulatory Arbitrage, '!A:A,'Fintech, Regulatory Arbitrage, '!C:C,"")</f>
        <v/>
      </c>
    </row>
    <row r="3349">
      <c r="A3349" s="1" t="s">
        <v>3368</v>
      </c>
      <c r="B3349" s="2">
        <v>13.0</v>
      </c>
      <c r="C3349" s="4"/>
      <c r="E3349" s="4" t="str">
        <f t="array" ref="E3349">XLOOKUP(A3349,'Fintech, Regulatory Arbitrage, '!A:A,'Fintech, Regulatory Arbitrage, '!C:C,"")</f>
        <v/>
      </c>
    </row>
    <row r="3350">
      <c r="A3350" s="1" t="s">
        <v>3369</v>
      </c>
      <c r="B3350" s="2">
        <v>13.0</v>
      </c>
      <c r="C3350" s="4"/>
      <c r="E3350" s="4" t="str">
        <f t="array" ref="E3350">XLOOKUP(A3350,'Fintech, Regulatory Arbitrage, '!A:A,'Fintech, Regulatory Arbitrage, '!C:C,"")</f>
        <v/>
      </c>
    </row>
    <row r="3351">
      <c r="A3351" s="1" t="s">
        <v>3370</v>
      </c>
      <c r="B3351" s="2">
        <v>13.0</v>
      </c>
      <c r="C3351" s="4"/>
      <c r="E3351" s="4" t="str">
        <f t="array" ref="E3351">XLOOKUP(A3351,'Fintech, Regulatory Arbitrage, '!A:A,'Fintech, Regulatory Arbitrage, '!C:C,"")</f>
        <v/>
      </c>
    </row>
    <row r="3352">
      <c r="A3352" s="1" t="s">
        <v>3371</v>
      </c>
      <c r="B3352" s="2">
        <v>13.0</v>
      </c>
      <c r="C3352" s="4"/>
      <c r="E3352" s="4" t="str">
        <f t="array" ref="E3352">XLOOKUP(A3352,'Fintech, Regulatory Arbitrage, '!A:A,'Fintech, Regulatory Arbitrage, '!C:C,"")</f>
        <v/>
      </c>
    </row>
    <row r="3353">
      <c r="A3353" s="1" t="s">
        <v>3372</v>
      </c>
      <c r="B3353" s="2">
        <v>13.0</v>
      </c>
      <c r="C3353" s="4"/>
      <c r="E3353" s="4" t="str">
        <f t="array" ref="E3353">XLOOKUP(A3353,'Fintech, Regulatory Arbitrage, '!A:A,'Fintech, Regulatory Arbitrage, '!C:C,"")</f>
        <v/>
      </c>
    </row>
    <row r="3354">
      <c r="A3354" s="1" t="s">
        <v>3373</v>
      </c>
      <c r="B3354" s="2">
        <v>13.0</v>
      </c>
      <c r="C3354" s="4"/>
      <c r="E3354" s="4" t="str">
        <f t="array" ref="E3354">XLOOKUP(A3354,'Fintech, Regulatory Arbitrage, '!A:A,'Fintech, Regulatory Arbitrage, '!C:C,"")</f>
        <v/>
      </c>
    </row>
    <row r="3355">
      <c r="A3355" s="1" t="s">
        <v>3374</v>
      </c>
      <c r="B3355" s="2">
        <v>13.0</v>
      </c>
      <c r="C3355" s="4"/>
      <c r="E3355" s="4" t="str">
        <f t="array" ref="E3355">XLOOKUP(A3355,'Fintech, Regulatory Arbitrage, '!A:A,'Fintech, Regulatory Arbitrage, '!C:C,"")</f>
        <v/>
      </c>
    </row>
    <row r="3356">
      <c r="A3356" s="1" t="s">
        <v>3375</v>
      </c>
      <c r="B3356" s="2">
        <v>13.0</v>
      </c>
      <c r="C3356" s="4"/>
      <c r="E3356" s="4" t="str">
        <f t="array" ref="E3356">XLOOKUP(A3356,'Fintech, Regulatory Arbitrage, '!A:A,'Fintech, Regulatory Arbitrage, '!C:C,"")</f>
        <v/>
      </c>
    </row>
    <row r="3357">
      <c r="A3357" s="1" t="s">
        <v>3376</v>
      </c>
      <c r="B3357" s="2">
        <v>13.0</v>
      </c>
      <c r="C3357" s="4"/>
      <c r="E3357" s="4" t="str">
        <f t="array" ref="E3357">XLOOKUP(A3357,'Fintech, Regulatory Arbitrage, '!A:A,'Fintech, Regulatory Arbitrage, '!C:C,"")</f>
        <v/>
      </c>
    </row>
    <row r="3358">
      <c r="A3358" s="1" t="s">
        <v>3377</v>
      </c>
      <c r="B3358" s="2">
        <v>13.0</v>
      </c>
      <c r="C3358" s="4"/>
      <c r="E3358" s="4" t="str">
        <f t="array" ref="E3358">XLOOKUP(A3358,'Fintech, Regulatory Arbitrage, '!A:A,'Fintech, Regulatory Arbitrage, '!C:C,"")</f>
        <v/>
      </c>
    </row>
    <row r="3359">
      <c r="A3359" s="1" t="s">
        <v>3378</v>
      </c>
      <c r="B3359" s="2">
        <v>13.0</v>
      </c>
      <c r="C3359" s="4"/>
      <c r="E3359" s="4" t="str">
        <f t="array" ref="E3359">XLOOKUP(A3359,'Fintech, Regulatory Arbitrage, '!A:A,'Fintech, Regulatory Arbitrage, '!C:C,"")</f>
        <v/>
      </c>
    </row>
    <row r="3360">
      <c r="A3360" s="1" t="s">
        <v>3379</v>
      </c>
      <c r="B3360" s="2">
        <v>13.0</v>
      </c>
      <c r="C3360" s="4"/>
      <c r="E3360" s="4" t="str">
        <f t="array" ref="E3360">XLOOKUP(A3360,'Fintech, Regulatory Arbitrage, '!A:A,'Fintech, Regulatory Arbitrage, '!C:C,"")</f>
        <v/>
      </c>
    </row>
    <row r="3361">
      <c r="A3361" s="1" t="s">
        <v>3380</v>
      </c>
      <c r="B3361" s="2">
        <v>13.0</v>
      </c>
      <c r="C3361" s="4"/>
      <c r="E3361" s="4" t="str">
        <f t="array" ref="E3361">XLOOKUP(A3361,'Fintech, Regulatory Arbitrage, '!A:A,'Fintech, Regulatory Arbitrage, '!C:C,"")</f>
        <v/>
      </c>
    </row>
    <row r="3362">
      <c r="A3362" s="1" t="s">
        <v>3381</v>
      </c>
      <c r="B3362" s="2">
        <v>13.0</v>
      </c>
      <c r="C3362" s="4"/>
      <c r="E3362" s="4" t="str">
        <f t="array" ref="E3362">XLOOKUP(A3362,'Fintech, Regulatory Arbitrage, '!A:A,'Fintech, Regulatory Arbitrage, '!C:C,"")</f>
        <v/>
      </c>
    </row>
    <row r="3363">
      <c r="A3363" s="1" t="s">
        <v>3382</v>
      </c>
      <c r="B3363" s="2">
        <v>13.0</v>
      </c>
      <c r="C3363" s="4"/>
      <c r="E3363" s="4" t="str">
        <f t="array" ref="E3363">XLOOKUP(A3363,'Fintech, Regulatory Arbitrage, '!A:A,'Fintech, Regulatory Arbitrage, '!C:C,"")</f>
        <v/>
      </c>
    </row>
    <row r="3364">
      <c r="A3364" s="1" t="s">
        <v>3383</v>
      </c>
      <c r="B3364" s="2">
        <v>13.0</v>
      </c>
      <c r="C3364" s="4"/>
      <c r="E3364" s="4" t="str">
        <f t="array" ref="E3364">XLOOKUP(A3364,'Fintech, Regulatory Arbitrage, '!A:A,'Fintech, Regulatory Arbitrage, '!C:C,"")</f>
        <v/>
      </c>
    </row>
    <row r="3365">
      <c r="A3365" s="1" t="s">
        <v>3384</v>
      </c>
      <c r="B3365" s="2">
        <v>13.0</v>
      </c>
      <c r="C3365" s="4"/>
      <c r="E3365" s="4" t="str">
        <f t="array" ref="E3365">XLOOKUP(A3365,'Fintech, Regulatory Arbitrage, '!A:A,'Fintech, Regulatory Arbitrage, '!C:C,"")</f>
        <v/>
      </c>
    </row>
    <row r="3366">
      <c r="A3366" s="1" t="s">
        <v>3385</v>
      </c>
      <c r="B3366" s="2">
        <v>13.0</v>
      </c>
      <c r="C3366" s="4"/>
      <c r="E3366" s="4" t="str">
        <f t="array" ref="E3366">XLOOKUP(A3366,'Fintech, Regulatory Arbitrage, '!A:A,'Fintech, Regulatory Arbitrage, '!C:C,"")</f>
        <v/>
      </c>
    </row>
    <row r="3367">
      <c r="A3367" s="1" t="s">
        <v>3386</v>
      </c>
      <c r="B3367" s="2">
        <v>13.0</v>
      </c>
      <c r="C3367" s="4"/>
      <c r="E3367" s="4" t="str">
        <f t="array" ref="E3367">XLOOKUP(A3367,'Fintech, Regulatory Arbitrage, '!A:A,'Fintech, Regulatory Arbitrage, '!C:C,"")</f>
        <v/>
      </c>
    </row>
    <row r="3368">
      <c r="A3368" s="1" t="s">
        <v>3387</v>
      </c>
      <c r="B3368" s="2">
        <v>13.0</v>
      </c>
      <c r="C3368" s="4"/>
      <c r="E3368" s="4" t="str">
        <f t="array" ref="E3368">XLOOKUP(A3368,'Fintech, Regulatory Arbitrage, '!A:A,'Fintech, Regulatory Arbitrage, '!C:C,"")</f>
        <v/>
      </c>
    </row>
    <row r="3369">
      <c r="A3369" s="1" t="s">
        <v>3388</v>
      </c>
      <c r="B3369" s="2">
        <v>13.0</v>
      </c>
      <c r="C3369" s="4"/>
      <c r="E3369" s="4" t="str">
        <f t="array" ref="E3369">XLOOKUP(A3369,'Fintech, Regulatory Arbitrage, '!A:A,'Fintech, Regulatory Arbitrage, '!C:C,"")</f>
        <v/>
      </c>
    </row>
    <row r="3370">
      <c r="A3370" s="1" t="s">
        <v>3389</v>
      </c>
      <c r="B3370" s="2">
        <v>13.0</v>
      </c>
      <c r="C3370" s="4"/>
      <c r="E3370" s="4" t="str">
        <f t="array" ref="E3370">XLOOKUP(A3370,'Fintech, Regulatory Arbitrage, '!A:A,'Fintech, Regulatory Arbitrage, '!C:C,"")</f>
        <v/>
      </c>
    </row>
    <row r="3371">
      <c r="A3371" s="1" t="s">
        <v>3390</v>
      </c>
      <c r="B3371" s="2">
        <v>13.0</v>
      </c>
      <c r="C3371" s="4"/>
      <c r="E3371" s="4" t="str">
        <f t="array" ref="E3371">XLOOKUP(A3371,'Fintech, Regulatory Arbitrage, '!A:A,'Fintech, Regulatory Arbitrage, '!C:C,"")</f>
        <v/>
      </c>
    </row>
    <row r="3372">
      <c r="A3372" s="1" t="s">
        <v>3391</v>
      </c>
      <c r="B3372" s="2">
        <v>13.0</v>
      </c>
      <c r="C3372" s="4"/>
      <c r="E3372" s="4" t="str">
        <f t="array" ref="E3372">XLOOKUP(A3372,'Fintech, Regulatory Arbitrage, '!A:A,'Fintech, Regulatory Arbitrage, '!C:C,"")</f>
        <v/>
      </c>
    </row>
    <row r="3373">
      <c r="A3373" s="1" t="s">
        <v>3392</v>
      </c>
      <c r="B3373" s="2">
        <v>13.0</v>
      </c>
      <c r="C3373" s="4"/>
      <c r="E3373" s="4" t="str">
        <f t="array" ref="E3373">XLOOKUP(A3373,'Fintech, Regulatory Arbitrage, '!A:A,'Fintech, Regulatory Arbitrage, '!C:C,"")</f>
        <v/>
      </c>
    </row>
    <row r="3374">
      <c r="A3374" s="1" t="s">
        <v>3393</v>
      </c>
      <c r="B3374" s="2">
        <v>13.0</v>
      </c>
      <c r="C3374" s="4"/>
      <c r="E3374" s="4" t="str">
        <f t="array" ref="E3374">XLOOKUP(A3374,'Fintech, Regulatory Arbitrage, '!A:A,'Fintech, Regulatory Arbitrage, '!C:C,"")</f>
        <v/>
      </c>
    </row>
    <row r="3375">
      <c r="A3375" s="1" t="s">
        <v>3394</v>
      </c>
      <c r="B3375" s="2">
        <v>13.0</v>
      </c>
      <c r="C3375" s="4"/>
      <c r="E3375" s="4" t="str">
        <f t="array" ref="E3375">XLOOKUP(A3375,'Fintech, Regulatory Arbitrage, '!A:A,'Fintech, Regulatory Arbitrage, '!C:C,"")</f>
        <v/>
      </c>
    </row>
    <row r="3376">
      <c r="A3376" s="1" t="s">
        <v>3395</v>
      </c>
      <c r="B3376" s="2">
        <v>13.0</v>
      </c>
      <c r="C3376" s="4"/>
      <c r="E3376" s="4" t="str">
        <f t="array" ref="E3376">XLOOKUP(A3376,'Fintech, Regulatory Arbitrage, '!A:A,'Fintech, Regulatory Arbitrage, '!C:C,"")</f>
        <v/>
      </c>
    </row>
    <row r="3377">
      <c r="A3377" s="1" t="s">
        <v>3396</v>
      </c>
      <c r="B3377" s="2">
        <v>13.0</v>
      </c>
      <c r="C3377" s="4"/>
      <c r="E3377" s="4" t="str">
        <f t="array" ref="E3377">XLOOKUP(A3377,'Fintech, Regulatory Arbitrage, '!A:A,'Fintech, Regulatory Arbitrage, '!C:C,"")</f>
        <v/>
      </c>
    </row>
    <row r="3378">
      <c r="A3378" s="1" t="s">
        <v>3397</v>
      </c>
      <c r="B3378" s="2">
        <v>13.0</v>
      </c>
      <c r="C3378" s="4"/>
      <c r="E3378" s="4" t="str">
        <f t="array" ref="E3378">XLOOKUP(A3378,'Fintech, Regulatory Arbitrage, '!A:A,'Fintech, Regulatory Arbitrage, '!C:C,"")</f>
        <v/>
      </c>
    </row>
    <row r="3379">
      <c r="A3379" s="1" t="s">
        <v>3398</v>
      </c>
      <c r="B3379" s="2">
        <v>13.0</v>
      </c>
      <c r="C3379" s="4"/>
      <c r="E3379" s="4" t="str">
        <f t="array" ref="E3379">XLOOKUP(A3379,'Fintech, Regulatory Arbitrage, '!A:A,'Fintech, Regulatory Arbitrage, '!C:C,"")</f>
        <v/>
      </c>
    </row>
    <row r="3380">
      <c r="A3380" s="1" t="s">
        <v>3399</v>
      </c>
      <c r="B3380" s="2">
        <v>13.0</v>
      </c>
      <c r="C3380" s="4"/>
      <c r="E3380" s="4" t="str">
        <f t="array" ref="E3380">XLOOKUP(A3380,'Fintech, Regulatory Arbitrage, '!A:A,'Fintech, Regulatory Arbitrage, '!C:C,"")</f>
        <v/>
      </c>
    </row>
    <row r="3381">
      <c r="A3381" s="1" t="s">
        <v>3400</v>
      </c>
      <c r="B3381" s="2">
        <v>13.0</v>
      </c>
      <c r="C3381" s="4"/>
      <c r="E3381" s="4" t="str">
        <f t="array" ref="E3381">XLOOKUP(A3381,'Fintech, Regulatory Arbitrage, '!A:A,'Fintech, Regulatory Arbitrage, '!C:C,"")</f>
        <v/>
      </c>
    </row>
    <row r="3382">
      <c r="A3382" s="1" t="s">
        <v>3401</v>
      </c>
      <c r="B3382" s="2">
        <v>13.0</v>
      </c>
      <c r="C3382" s="4"/>
      <c r="E3382" s="4" t="str">
        <f t="array" ref="E3382">XLOOKUP(A3382,'Fintech, Regulatory Arbitrage, '!A:A,'Fintech, Regulatory Arbitrage, '!C:C,"")</f>
        <v/>
      </c>
    </row>
    <row r="3383">
      <c r="A3383" s="1" t="s">
        <v>3402</v>
      </c>
      <c r="B3383" s="2">
        <v>13.0</v>
      </c>
      <c r="C3383" s="4"/>
      <c r="E3383" s="4" t="str">
        <f t="array" ref="E3383">XLOOKUP(A3383,'Fintech, Regulatory Arbitrage, '!A:A,'Fintech, Regulatory Arbitrage, '!C:C,"")</f>
        <v/>
      </c>
    </row>
    <row r="3384">
      <c r="A3384" s="1" t="s">
        <v>3403</v>
      </c>
      <c r="B3384" s="2">
        <v>13.0</v>
      </c>
      <c r="C3384" s="4"/>
      <c r="E3384" s="4" t="str">
        <f t="array" ref="E3384">XLOOKUP(A3384,'Fintech, Regulatory Arbitrage, '!A:A,'Fintech, Regulatory Arbitrage, '!C:C,"")</f>
        <v/>
      </c>
    </row>
    <row r="3385">
      <c r="A3385" s="1" t="s">
        <v>3404</v>
      </c>
      <c r="B3385" s="2">
        <v>13.0</v>
      </c>
      <c r="C3385" s="4"/>
      <c r="E3385" s="4" t="str">
        <f t="array" ref="E3385">XLOOKUP(A3385,'Fintech, Regulatory Arbitrage, '!A:A,'Fintech, Regulatory Arbitrage, '!C:C,"")</f>
        <v/>
      </c>
    </row>
    <row r="3386">
      <c r="A3386" s="1" t="s">
        <v>3405</v>
      </c>
      <c r="B3386" s="2">
        <v>13.0</v>
      </c>
      <c r="C3386" s="4"/>
      <c r="E3386" s="4" t="str">
        <f t="array" ref="E3386">XLOOKUP(A3386,'Fintech, Regulatory Arbitrage, '!A:A,'Fintech, Regulatory Arbitrage, '!C:C,"")</f>
        <v/>
      </c>
    </row>
    <row r="3387">
      <c r="A3387" s="1" t="s">
        <v>3406</v>
      </c>
      <c r="B3387" s="2">
        <v>13.0</v>
      </c>
      <c r="C3387" s="4"/>
      <c r="E3387" s="4" t="str">
        <f t="array" ref="E3387">XLOOKUP(A3387,'Fintech, Regulatory Arbitrage, '!A:A,'Fintech, Regulatory Arbitrage, '!C:C,"")</f>
        <v/>
      </c>
    </row>
    <row r="3388">
      <c r="A3388" s="1" t="s">
        <v>3407</v>
      </c>
      <c r="B3388" s="2">
        <v>13.0</v>
      </c>
      <c r="C3388" s="4"/>
      <c r="E3388" s="4" t="str">
        <f t="array" ref="E3388">XLOOKUP(A3388,'Fintech, Regulatory Arbitrage, '!A:A,'Fintech, Regulatory Arbitrage, '!C:C,"")</f>
        <v/>
      </c>
    </row>
    <row r="3389">
      <c r="A3389" s="1" t="s">
        <v>3408</v>
      </c>
      <c r="B3389" s="2">
        <v>13.0</v>
      </c>
      <c r="C3389" s="4"/>
      <c r="E3389" s="4" t="str">
        <f t="array" ref="E3389">XLOOKUP(A3389,'Fintech, Regulatory Arbitrage, '!A:A,'Fintech, Regulatory Arbitrage, '!C:C,"")</f>
        <v/>
      </c>
    </row>
    <row r="3390">
      <c r="A3390" s="1" t="s">
        <v>3409</v>
      </c>
      <c r="B3390" s="2">
        <v>13.0</v>
      </c>
      <c r="C3390" s="4"/>
      <c r="E3390" s="4" t="str">
        <f t="array" ref="E3390">XLOOKUP(A3390,'Fintech, Regulatory Arbitrage, '!A:A,'Fintech, Regulatory Arbitrage, '!C:C,"")</f>
        <v/>
      </c>
    </row>
    <row r="3391">
      <c r="A3391" s="1" t="s">
        <v>3410</v>
      </c>
      <c r="B3391" s="2">
        <v>13.0</v>
      </c>
      <c r="C3391" s="4"/>
      <c r="E3391" s="4" t="str">
        <f t="array" ref="E3391">XLOOKUP(A3391,'Fintech, Regulatory Arbitrage, '!A:A,'Fintech, Regulatory Arbitrage, '!C:C,"")</f>
        <v/>
      </c>
    </row>
    <row r="3392">
      <c r="A3392" s="1" t="s">
        <v>3411</v>
      </c>
      <c r="B3392" s="2">
        <v>13.0</v>
      </c>
      <c r="C3392" s="4"/>
      <c r="E3392" s="4" t="str">
        <f t="array" ref="E3392">XLOOKUP(A3392,'Fintech, Regulatory Arbitrage, '!A:A,'Fintech, Regulatory Arbitrage, '!C:C,"")</f>
        <v/>
      </c>
    </row>
    <row r="3393">
      <c r="A3393" s="1" t="s">
        <v>3412</v>
      </c>
      <c r="B3393" s="2">
        <v>13.0</v>
      </c>
      <c r="C3393" s="4"/>
      <c r="E3393" s="4" t="str">
        <f t="array" ref="E3393">XLOOKUP(A3393,'Fintech, Regulatory Arbitrage, '!A:A,'Fintech, Regulatory Arbitrage, '!C:C,"")</f>
        <v/>
      </c>
    </row>
    <row r="3394">
      <c r="A3394" s="1" t="s">
        <v>3413</v>
      </c>
      <c r="B3394" s="2">
        <v>13.0</v>
      </c>
      <c r="C3394" s="4"/>
      <c r="E3394" s="4" t="str">
        <f t="array" ref="E3394">XLOOKUP(A3394,'Fintech, Regulatory Arbitrage, '!A:A,'Fintech, Regulatory Arbitrage, '!C:C,"")</f>
        <v/>
      </c>
    </row>
    <row r="3395">
      <c r="A3395" s="1" t="s">
        <v>3414</v>
      </c>
      <c r="B3395" s="2">
        <v>13.0</v>
      </c>
      <c r="C3395" s="4"/>
      <c r="E3395" s="4" t="str">
        <f t="array" ref="E3395">XLOOKUP(A3395,'Fintech, Regulatory Arbitrage, '!A:A,'Fintech, Regulatory Arbitrage, '!C:C,"")</f>
        <v/>
      </c>
    </row>
    <row r="3396">
      <c r="A3396" s="1" t="s">
        <v>3415</v>
      </c>
      <c r="B3396" s="2">
        <v>13.0</v>
      </c>
      <c r="C3396" s="4"/>
      <c r="E3396" s="4" t="str">
        <f t="array" ref="E3396">XLOOKUP(A3396,'Fintech, Regulatory Arbitrage, '!A:A,'Fintech, Regulatory Arbitrage, '!C:C,"")</f>
        <v/>
      </c>
    </row>
    <row r="3397">
      <c r="A3397" s="1" t="s">
        <v>3416</v>
      </c>
      <c r="B3397" s="2">
        <v>13.0</v>
      </c>
      <c r="C3397" s="4"/>
      <c r="E3397" s="4" t="str">
        <f t="array" ref="E3397">XLOOKUP(A3397,'Fintech, Regulatory Arbitrage, '!A:A,'Fintech, Regulatory Arbitrage, '!C:C,"")</f>
        <v/>
      </c>
    </row>
    <row r="3398">
      <c r="A3398" s="1" t="s">
        <v>3417</v>
      </c>
      <c r="B3398" s="2">
        <v>13.0</v>
      </c>
      <c r="C3398" s="4"/>
      <c r="E3398" s="4" t="str">
        <f t="array" ref="E3398">XLOOKUP(A3398,'Fintech, Regulatory Arbitrage, '!A:A,'Fintech, Regulatory Arbitrage, '!C:C,"")</f>
        <v/>
      </c>
    </row>
    <row r="3399">
      <c r="A3399" s="1" t="s">
        <v>3418</v>
      </c>
      <c r="B3399" s="2">
        <v>13.0</v>
      </c>
      <c r="C3399" s="4"/>
      <c r="E3399" s="4" t="str">
        <f t="array" ref="E3399">XLOOKUP(A3399,'Fintech, Regulatory Arbitrage, '!A:A,'Fintech, Regulatory Arbitrage, '!C:C,"")</f>
        <v/>
      </c>
    </row>
    <row r="3400">
      <c r="A3400" s="1" t="s">
        <v>3419</v>
      </c>
      <c r="B3400" s="2">
        <v>12.0</v>
      </c>
      <c r="C3400" s="4"/>
      <c r="E3400" s="4" t="str">
        <f t="array" ref="E3400">XLOOKUP(A3400,'Fintech, Regulatory Arbitrage, '!A:A,'Fintech, Regulatory Arbitrage, '!C:C,"")</f>
        <v/>
      </c>
    </row>
    <row r="3401">
      <c r="A3401" s="1" t="s">
        <v>3420</v>
      </c>
      <c r="B3401" s="2">
        <v>12.0</v>
      </c>
      <c r="C3401" s="4"/>
      <c r="E3401" s="4" t="str">
        <f t="array" ref="E3401">XLOOKUP(A3401,'Fintech, Regulatory Arbitrage, '!A:A,'Fintech, Regulatory Arbitrage, '!C:C,"")</f>
        <v/>
      </c>
    </row>
    <row r="3402">
      <c r="A3402" s="1" t="s">
        <v>3421</v>
      </c>
      <c r="B3402" s="2">
        <v>12.0</v>
      </c>
      <c r="C3402" s="4"/>
      <c r="E3402" s="4" t="str">
        <f t="array" ref="E3402">XLOOKUP(A3402,'Fintech, Regulatory Arbitrage, '!A:A,'Fintech, Regulatory Arbitrage, '!C:C,"")</f>
        <v/>
      </c>
    </row>
    <row r="3403">
      <c r="A3403" s="1" t="s">
        <v>3422</v>
      </c>
      <c r="B3403" s="2">
        <v>12.0</v>
      </c>
      <c r="C3403" s="4"/>
      <c r="E3403" s="4" t="str">
        <f t="array" ref="E3403">XLOOKUP(A3403,'Fintech, Regulatory Arbitrage, '!A:A,'Fintech, Regulatory Arbitrage, '!C:C,"")</f>
        <v/>
      </c>
    </row>
    <row r="3404">
      <c r="A3404" s="1" t="s">
        <v>3423</v>
      </c>
      <c r="B3404" s="2">
        <v>12.0</v>
      </c>
      <c r="C3404" s="4"/>
      <c r="E3404" s="4" t="str">
        <f t="array" ref="E3404">XLOOKUP(A3404,'Fintech, Regulatory Arbitrage, '!A:A,'Fintech, Regulatory Arbitrage, '!C:C,"")</f>
        <v/>
      </c>
    </row>
    <row r="3405">
      <c r="A3405" s="1" t="s">
        <v>3424</v>
      </c>
      <c r="B3405" s="2">
        <v>12.0</v>
      </c>
      <c r="C3405" s="4"/>
      <c r="E3405" s="4" t="str">
        <f t="array" ref="E3405">XLOOKUP(A3405,'Fintech, Regulatory Arbitrage, '!A:A,'Fintech, Regulatory Arbitrage, '!C:C,"")</f>
        <v/>
      </c>
    </row>
    <row r="3406">
      <c r="A3406" s="1" t="s">
        <v>3425</v>
      </c>
      <c r="B3406" s="2">
        <v>12.0</v>
      </c>
      <c r="C3406" s="4"/>
      <c r="E3406" s="4" t="str">
        <f t="array" ref="E3406">XLOOKUP(A3406,'Fintech, Regulatory Arbitrage, '!A:A,'Fintech, Regulatory Arbitrage, '!C:C,"")</f>
        <v/>
      </c>
    </row>
    <row r="3407">
      <c r="A3407" s="1" t="s">
        <v>3426</v>
      </c>
      <c r="B3407" s="2">
        <v>12.0</v>
      </c>
      <c r="C3407" s="4"/>
      <c r="E3407" s="4" t="str">
        <f t="array" ref="E3407">XLOOKUP(A3407,'Fintech, Regulatory Arbitrage, '!A:A,'Fintech, Regulatory Arbitrage, '!C:C,"")</f>
        <v/>
      </c>
    </row>
    <row r="3408">
      <c r="A3408" s="1" t="s">
        <v>3427</v>
      </c>
      <c r="B3408" s="2">
        <v>12.0</v>
      </c>
      <c r="C3408" s="4"/>
      <c r="E3408" s="4" t="str">
        <f t="array" ref="E3408">XLOOKUP(A3408,'Fintech, Regulatory Arbitrage, '!A:A,'Fintech, Regulatory Arbitrage, '!C:C,"")</f>
        <v/>
      </c>
    </row>
    <row r="3409">
      <c r="A3409" s="1" t="s">
        <v>3428</v>
      </c>
      <c r="B3409" s="2">
        <v>12.0</v>
      </c>
      <c r="C3409" s="4"/>
      <c r="E3409" s="4" t="str">
        <f t="array" ref="E3409">XLOOKUP(A3409,'Fintech, Regulatory Arbitrage, '!A:A,'Fintech, Regulatory Arbitrage, '!C:C,"")</f>
        <v/>
      </c>
    </row>
    <row r="3410">
      <c r="A3410" s="1" t="s">
        <v>3429</v>
      </c>
      <c r="B3410" s="2">
        <v>12.0</v>
      </c>
      <c r="C3410" s="4"/>
      <c r="E3410" s="4" t="str">
        <f t="array" ref="E3410">XLOOKUP(A3410,'Fintech, Regulatory Arbitrage, '!A:A,'Fintech, Regulatory Arbitrage, '!C:C,"")</f>
        <v/>
      </c>
    </row>
    <row r="3411">
      <c r="A3411" s="1" t="s">
        <v>3430</v>
      </c>
      <c r="B3411" s="2">
        <v>12.0</v>
      </c>
      <c r="C3411" s="4"/>
      <c r="E3411" s="4" t="str">
        <f t="array" ref="E3411">XLOOKUP(A3411,'Fintech, Regulatory Arbitrage, '!A:A,'Fintech, Regulatory Arbitrage, '!C:C,"")</f>
        <v/>
      </c>
    </row>
    <row r="3412">
      <c r="A3412" s="1" t="s">
        <v>3431</v>
      </c>
      <c r="B3412" s="2">
        <v>12.0</v>
      </c>
      <c r="C3412" s="4"/>
      <c r="E3412" s="4" t="str">
        <f t="array" ref="E3412">XLOOKUP(A3412,'Fintech, Regulatory Arbitrage, '!A:A,'Fintech, Regulatory Arbitrage, '!C:C,"")</f>
        <v/>
      </c>
    </row>
    <row r="3413">
      <c r="A3413" s="1" t="s">
        <v>3432</v>
      </c>
      <c r="B3413" s="2">
        <v>12.0</v>
      </c>
      <c r="C3413" s="4"/>
      <c r="E3413" s="4" t="str">
        <f t="array" ref="E3413">XLOOKUP(A3413,'Fintech, Regulatory Arbitrage, '!A:A,'Fintech, Regulatory Arbitrage, '!C:C,"")</f>
        <v/>
      </c>
    </row>
    <row r="3414">
      <c r="A3414" s="1" t="s">
        <v>3433</v>
      </c>
      <c r="B3414" s="2">
        <v>12.0</v>
      </c>
      <c r="C3414" s="4"/>
      <c r="E3414" s="4" t="str">
        <f t="array" ref="E3414">XLOOKUP(A3414,'Fintech, Regulatory Arbitrage, '!A:A,'Fintech, Regulatory Arbitrage, '!C:C,"")</f>
        <v/>
      </c>
    </row>
    <row r="3415">
      <c r="A3415" s="1" t="s">
        <v>3434</v>
      </c>
      <c r="B3415" s="2">
        <v>12.0</v>
      </c>
      <c r="C3415" s="4"/>
      <c r="E3415" s="4" t="str">
        <f t="array" ref="E3415">XLOOKUP(A3415,'Fintech, Regulatory Arbitrage, '!A:A,'Fintech, Regulatory Arbitrage, '!C:C,"")</f>
        <v/>
      </c>
    </row>
    <row r="3416">
      <c r="A3416" s="1" t="s">
        <v>3435</v>
      </c>
      <c r="B3416" s="2">
        <v>12.0</v>
      </c>
      <c r="C3416" s="4"/>
      <c r="E3416" s="4" t="str">
        <f t="array" ref="E3416">XLOOKUP(A3416,'Fintech, Regulatory Arbitrage, '!A:A,'Fintech, Regulatory Arbitrage, '!C:C,"")</f>
        <v/>
      </c>
    </row>
    <row r="3417">
      <c r="A3417" s="1" t="s">
        <v>3436</v>
      </c>
      <c r="B3417" s="2">
        <v>12.0</v>
      </c>
      <c r="C3417" s="4"/>
      <c r="E3417" s="4" t="str">
        <f t="array" ref="E3417">XLOOKUP(A3417,'Fintech, Regulatory Arbitrage, '!A:A,'Fintech, Regulatory Arbitrage, '!C:C,"")</f>
        <v/>
      </c>
    </row>
    <row r="3418">
      <c r="A3418" s="1" t="s">
        <v>3437</v>
      </c>
      <c r="B3418" s="2">
        <v>12.0</v>
      </c>
      <c r="C3418" s="4"/>
      <c r="E3418" s="4" t="str">
        <f t="array" ref="E3418">XLOOKUP(A3418,'Fintech, Regulatory Arbitrage, '!A:A,'Fintech, Regulatory Arbitrage, '!C:C,"")</f>
        <v/>
      </c>
    </row>
    <row r="3419">
      <c r="A3419" s="1" t="s">
        <v>3438</v>
      </c>
      <c r="B3419" s="2">
        <v>12.0</v>
      </c>
      <c r="C3419" s="4"/>
      <c r="E3419" s="4" t="str">
        <f t="array" ref="E3419">XLOOKUP(A3419,'Fintech, Regulatory Arbitrage, '!A:A,'Fintech, Regulatory Arbitrage, '!C:C,"")</f>
        <v/>
      </c>
    </row>
    <row r="3420">
      <c r="A3420" s="1" t="s">
        <v>3439</v>
      </c>
      <c r="B3420" s="2">
        <v>12.0</v>
      </c>
      <c r="C3420" s="4"/>
      <c r="E3420" s="4" t="str">
        <f t="array" ref="E3420">XLOOKUP(A3420,'Fintech, Regulatory Arbitrage, '!A:A,'Fintech, Regulatory Arbitrage, '!C:C,"")</f>
        <v/>
      </c>
    </row>
    <row r="3421">
      <c r="A3421" s="1" t="s">
        <v>3440</v>
      </c>
      <c r="B3421" s="2">
        <v>12.0</v>
      </c>
      <c r="C3421" s="4"/>
      <c r="E3421" s="4" t="str">
        <f t="array" ref="E3421">XLOOKUP(A3421,'Fintech, Regulatory Arbitrage, '!A:A,'Fintech, Regulatory Arbitrage, '!C:C,"")</f>
        <v/>
      </c>
    </row>
    <row r="3422">
      <c r="A3422" s="1" t="s">
        <v>3441</v>
      </c>
      <c r="B3422" s="2">
        <v>12.0</v>
      </c>
      <c r="C3422" s="4"/>
      <c r="E3422" s="4" t="str">
        <f t="array" ref="E3422">XLOOKUP(A3422,'Fintech, Regulatory Arbitrage, '!A:A,'Fintech, Regulatory Arbitrage, '!C:C,"")</f>
        <v/>
      </c>
    </row>
    <row r="3423">
      <c r="A3423" s="1" t="s">
        <v>3442</v>
      </c>
      <c r="B3423" s="2">
        <v>12.0</v>
      </c>
      <c r="C3423" s="4"/>
      <c r="E3423" s="4" t="str">
        <f t="array" ref="E3423">XLOOKUP(A3423,'Fintech, Regulatory Arbitrage, '!A:A,'Fintech, Regulatory Arbitrage, '!C:C,"")</f>
        <v/>
      </c>
    </row>
    <row r="3424">
      <c r="A3424" s="1" t="s">
        <v>3443</v>
      </c>
      <c r="B3424" s="2">
        <v>12.0</v>
      </c>
      <c r="C3424" s="4"/>
      <c r="E3424" s="4" t="str">
        <f t="array" ref="E3424">XLOOKUP(A3424,'Fintech, Regulatory Arbitrage, '!A:A,'Fintech, Regulatory Arbitrage, '!C:C,"")</f>
        <v/>
      </c>
    </row>
    <row r="3425">
      <c r="A3425" s="1" t="s">
        <v>3444</v>
      </c>
      <c r="B3425" s="2">
        <v>12.0</v>
      </c>
      <c r="C3425" s="4"/>
      <c r="E3425" s="4" t="str">
        <f t="array" ref="E3425">XLOOKUP(A3425,'Fintech, Regulatory Arbitrage, '!A:A,'Fintech, Regulatory Arbitrage, '!C:C,"")</f>
        <v/>
      </c>
    </row>
    <row r="3426">
      <c r="A3426" s="1" t="s">
        <v>3445</v>
      </c>
      <c r="B3426" s="2">
        <v>12.0</v>
      </c>
      <c r="C3426" s="4"/>
      <c r="E3426" s="4" t="str">
        <f t="array" ref="E3426">XLOOKUP(A3426,'Fintech, Regulatory Arbitrage, '!A:A,'Fintech, Regulatory Arbitrage, '!C:C,"")</f>
        <v/>
      </c>
    </row>
    <row r="3427">
      <c r="A3427" s="1" t="s">
        <v>3446</v>
      </c>
      <c r="B3427" s="2">
        <v>12.0</v>
      </c>
      <c r="C3427" s="4"/>
      <c r="E3427" s="4" t="str">
        <f t="array" ref="E3427">XLOOKUP(A3427,'Fintech, Regulatory Arbitrage, '!A:A,'Fintech, Regulatory Arbitrage, '!C:C,"")</f>
        <v/>
      </c>
    </row>
    <row r="3428">
      <c r="A3428" s="1" t="s">
        <v>3447</v>
      </c>
      <c r="B3428" s="2">
        <v>12.0</v>
      </c>
      <c r="C3428" s="4"/>
      <c r="E3428" s="4" t="str">
        <f t="array" ref="E3428">XLOOKUP(A3428,'Fintech, Regulatory Arbitrage, '!A:A,'Fintech, Regulatory Arbitrage, '!C:C,"")</f>
        <v/>
      </c>
    </row>
    <row r="3429">
      <c r="A3429" s="1" t="s">
        <v>3448</v>
      </c>
      <c r="B3429" s="2">
        <v>12.0</v>
      </c>
      <c r="C3429" s="4"/>
      <c r="E3429" s="4" t="str">
        <f t="array" ref="E3429">XLOOKUP(A3429,'Fintech, Regulatory Arbitrage, '!A:A,'Fintech, Regulatory Arbitrage, '!C:C,"")</f>
        <v/>
      </c>
    </row>
    <row r="3430">
      <c r="A3430" s="1" t="s">
        <v>3449</v>
      </c>
      <c r="B3430" s="2">
        <v>12.0</v>
      </c>
      <c r="C3430" s="4"/>
      <c r="E3430" s="4" t="str">
        <f t="array" ref="E3430">XLOOKUP(A3430,'Fintech, Regulatory Arbitrage, '!A:A,'Fintech, Regulatory Arbitrage, '!C:C,"")</f>
        <v/>
      </c>
    </row>
    <row r="3431">
      <c r="A3431" s="1" t="s">
        <v>3450</v>
      </c>
      <c r="B3431" s="2">
        <v>12.0</v>
      </c>
      <c r="C3431" s="4"/>
      <c r="E3431" s="4" t="str">
        <f t="array" ref="E3431">XLOOKUP(A3431,'Fintech, Regulatory Arbitrage, '!A:A,'Fintech, Regulatory Arbitrage, '!C:C,"")</f>
        <v/>
      </c>
    </row>
    <row r="3432">
      <c r="A3432" s="1" t="s">
        <v>3451</v>
      </c>
      <c r="B3432" s="2">
        <v>12.0</v>
      </c>
      <c r="C3432" s="4"/>
      <c r="E3432" s="4" t="str">
        <f t="array" ref="E3432">XLOOKUP(A3432,'Fintech, Regulatory Arbitrage, '!A:A,'Fintech, Regulatory Arbitrage, '!C:C,"")</f>
        <v/>
      </c>
    </row>
    <row r="3433">
      <c r="A3433" s="1" t="s">
        <v>3452</v>
      </c>
      <c r="B3433" s="2">
        <v>12.0</v>
      </c>
      <c r="C3433" s="4"/>
      <c r="E3433" s="4" t="str">
        <f t="array" ref="E3433">XLOOKUP(A3433,'Fintech, Regulatory Arbitrage, '!A:A,'Fintech, Regulatory Arbitrage, '!C:C,"")</f>
        <v/>
      </c>
    </row>
    <row r="3434">
      <c r="A3434" s="1" t="s">
        <v>3453</v>
      </c>
      <c r="B3434" s="2">
        <v>12.0</v>
      </c>
      <c r="C3434" s="4"/>
      <c r="E3434" s="4" t="str">
        <f t="array" ref="E3434">XLOOKUP(A3434,'Fintech, Regulatory Arbitrage, '!A:A,'Fintech, Regulatory Arbitrage, '!C:C,"")</f>
        <v/>
      </c>
    </row>
    <row r="3435">
      <c r="A3435" s="1" t="s">
        <v>3454</v>
      </c>
      <c r="B3435" s="2">
        <v>12.0</v>
      </c>
      <c r="C3435" s="4"/>
      <c r="E3435" s="4" t="str">
        <f t="array" ref="E3435">XLOOKUP(A3435,'Fintech, Regulatory Arbitrage, '!A:A,'Fintech, Regulatory Arbitrage, '!C:C,"")</f>
        <v/>
      </c>
    </row>
    <row r="3436">
      <c r="A3436" s="1" t="s">
        <v>3455</v>
      </c>
      <c r="B3436" s="2">
        <v>12.0</v>
      </c>
      <c r="C3436" s="4"/>
      <c r="E3436" s="4" t="str">
        <f t="array" ref="E3436">XLOOKUP(A3436,'Fintech, Regulatory Arbitrage, '!A:A,'Fintech, Regulatory Arbitrage, '!C:C,"")</f>
        <v/>
      </c>
    </row>
    <row r="3437">
      <c r="A3437" s="1" t="s">
        <v>3456</v>
      </c>
      <c r="B3437" s="2">
        <v>12.0</v>
      </c>
      <c r="C3437" s="4"/>
      <c r="E3437" s="4" t="str">
        <f t="array" ref="E3437">XLOOKUP(A3437,'Fintech, Regulatory Arbitrage, '!A:A,'Fintech, Regulatory Arbitrage, '!C:C,"")</f>
        <v/>
      </c>
    </row>
    <row r="3438">
      <c r="A3438" s="1" t="s">
        <v>3457</v>
      </c>
      <c r="B3438" s="2">
        <v>12.0</v>
      </c>
      <c r="C3438" s="4"/>
      <c r="E3438" s="4" t="str">
        <f t="array" ref="E3438">XLOOKUP(A3438,'Fintech, Regulatory Arbitrage, '!A:A,'Fintech, Regulatory Arbitrage, '!C:C,"")</f>
        <v/>
      </c>
    </row>
    <row r="3439">
      <c r="A3439" s="1" t="s">
        <v>3458</v>
      </c>
      <c r="B3439" s="2">
        <v>12.0</v>
      </c>
      <c r="C3439" s="4"/>
      <c r="E3439" s="4" t="str">
        <f t="array" ref="E3439">XLOOKUP(A3439,'Fintech, Regulatory Arbitrage, '!A:A,'Fintech, Regulatory Arbitrage, '!C:C,"")</f>
        <v/>
      </c>
    </row>
    <row r="3440">
      <c r="A3440" s="1" t="s">
        <v>3459</v>
      </c>
      <c r="B3440" s="2">
        <v>12.0</v>
      </c>
      <c r="C3440" s="4"/>
      <c r="E3440" s="4" t="str">
        <f t="array" ref="E3440">XLOOKUP(A3440,'Fintech, Regulatory Arbitrage, '!A:A,'Fintech, Regulatory Arbitrage, '!C:C,"")</f>
        <v/>
      </c>
    </row>
    <row r="3441">
      <c r="A3441" s="1" t="s">
        <v>3460</v>
      </c>
      <c r="B3441" s="2">
        <v>12.0</v>
      </c>
      <c r="C3441" s="4"/>
      <c r="E3441" s="4" t="str">
        <f t="array" ref="E3441">XLOOKUP(A3441,'Fintech, Regulatory Arbitrage, '!A:A,'Fintech, Regulatory Arbitrage, '!C:C,"")</f>
        <v/>
      </c>
    </row>
    <row r="3442">
      <c r="A3442" s="1" t="s">
        <v>3461</v>
      </c>
      <c r="B3442" s="2">
        <v>12.0</v>
      </c>
      <c r="C3442" s="4"/>
      <c r="E3442" s="4" t="str">
        <f t="array" ref="E3442">XLOOKUP(A3442,'Fintech, Regulatory Arbitrage, '!A:A,'Fintech, Regulatory Arbitrage, '!C:C,"")</f>
        <v/>
      </c>
    </row>
    <row r="3443">
      <c r="A3443" s="1" t="s">
        <v>3462</v>
      </c>
      <c r="B3443" s="2">
        <v>12.0</v>
      </c>
      <c r="C3443" s="4"/>
      <c r="E3443" s="4" t="str">
        <f t="array" ref="E3443">XLOOKUP(A3443,'Fintech, Regulatory Arbitrage, '!A:A,'Fintech, Regulatory Arbitrage, '!C:C,"")</f>
        <v/>
      </c>
    </row>
    <row r="3444">
      <c r="A3444" s="1" t="s">
        <v>3463</v>
      </c>
      <c r="B3444" s="2">
        <v>12.0</v>
      </c>
      <c r="C3444" s="4"/>
      <c r="E3444" s="4" t="str">
        <f t="array" ref="E3444">XLOOKUP(A3444,'Fintech, Regulatory Arbitrage, '!A:A,'Fintech, Regulatory Arbitrage, '!C:C,"")</f>
        <v/>
      </c>
    </row>
    <row r="3445">
      <c r="A3445" s="1" t="s">
        <v>3464</v>
      </c>
      <c r="B3445" s="2">
        <v>12.0</v>
      </c>
      <c r="C3445" s="4"/>
      <c r="E3445" s="4" t="str">
        <f t="array" ref="E3445">XLOOKUP(A3445,'Fintech, Regulatory Arbitrage, '!A:A,'Fintech, Regulatory Arbitrage, '!C:C,"")</f>
        <v/>
      </c>
    </row>
    <row r="3446">
      <c r="A3446" s="1" t="s">
        <v>3465</v>
      </c>
      <c r="B3446" s="2">
        <v>12.0</v>
      </c>
      <c r="C3446" s="4"/>
      <c r="E3446" s="4" t="str">
        <f t="array" ref="E3446">XLOOKUP(A3446,'Fintech, Regulatory Arbitrage, '!A:A,'Fintech, Regulatory Arbitrage, '!C:C,"")</f>
        <v/>
      </c>
    </row>
    <row r="3447">
      <c r="A3447" s="1" t="s">
        <v>3466</v>
      </c>
      <c r="B3447" s="2">
        <v>12.0</v>
      </c>
      <c r="C3447" s="4"/>
      <c r="E3447" s="4" t="str">
        <f t="array" ref="E3447">XLOOKUP(A3447,'Fintech, Regulatory Arbitrage, '!A:A,'Fintech, Regulatory Arbitrage, '!C:C,"")</f>
        <v/>
      </c>
    </row>
    <row r="3448">
      <c r="A3448" s="1" t="s">
        <v>3467</v>
      </c>
      <c r="B3448" s="2">
        <v>12.0</v>
      </c>
      <c r="C3448" s="4"/>
      <c r="E3448" s="4" t="str">
        <f t="array" ref="E3448">XLOOKUP(A3448,'Fintech, Regulatory Arbitrage, '!A:A,'Fintech, Regulatory Arbitrage, '!C:C,"")</f>
        <v/>
      </c>
    </row>
    <row r="3449">
      <c r="A3449" s="1" t="s">
        <v>3468</v>
      </c>
      <c r="B3449" s="2">
        <v>12.0</v>
      </c>
      <c r="C3449" s="4"/>
      <c r="E3449" s="4" t="str">
        <f t="array" ref="E3449">XLOOKUP(A3449,'Fintech, Regulatory Arbitrage, '!A:A,'Fintech, Regulatory Arbitrage, '!C:C,"")</f>
        <v/>
      </c>
    </row>
    <row r="3450">
      <c r="A3450" s="1" t="s">
        <v>3469</v>
      </c>
      <c r="B3450" s="2">
        <v>12.0</v>
      </c>
      <c r="C3450" s="4"/>
      <c r="E3450" s="4" t="str">
        <f t="array" ref="E3450">XLOOKUP(A3450,'Fintech, Regulatory Arbitrage, '!A:A,'Fintech, Regulatory Arbitrage, '!C:C,"")</f>
        <v/>
      </c>
    </row>
    <row r="3451">
      <c r="A3451" s="1" t="s">
        <v>3470</v>
      </c>
      <c r="B3451" s="2">
        <v>12.0</v>
      </c>
      <c r="C3451" s="4"/>
      <c r="E3451" s="4" t="str">
        <f t="array" ref="E3451">XLOOKUP(A3451,'Fintech, Regulatory Arbitrage, '!A:A,'Fintech, Regulatory Arbitrage, '!C:C,"")</f>
        <v/>
      </c>
    </row>
    <row r="3452">
      <c r="A3452" s="1" t="s">
        <v>3471</v>
      </c>
      <c r="B3452" s="2">
        <v>12.0</v>
      </c>
      <c r="C3452" s="4"/>
      <c r="E3452" s="4" t="str">
        <f t="array" ref="E3452">XLOOKUP(A3452,'Fintech, Regulatory Arbitrage, '!A:A,'Fintech, Regulatory Arbitrage, '!C:C,"")</f>
        <v/>
      </c>
    </row>
    <row r="3453">
      <c r="A3453" s="1" t="s">
        <v>3472</v>
      </c>
      <c r="B3453" s="2">
        <v>12.0</v>
      </c>
      <c r="C3453" s="4"/>
      <c r="E3453" s="4" t="str">
        <f t="array" ref="E3453">XLOOKUP(A3453,'Fintech, Regulatory Arbitrage, '!A:A,'Fintech, Regulatory Arbitrage, '!C:C,"")</f>
        <v/>
      </c>
    </row>
    <row r="3454">
      <c r="A3454" s="1" t="s">
        <v>3473</v>
      </c>
      <c r="B3454" s="2">
        <v>12.0</v>
      </c>
      <c r="C3454" s="4"/>
      <c r="E3454" s="4" t="str">
        <f t="array" ref="E3454">XLOOKUP(A3454,'Fintech, Regulatory Arbitrage, '!A:A,'Fintech, Regulatory Arbitrage, '!C:C,"")</f>
        <v/>
      </c>
    </row>
    <row r="3455">
      <c r="A3455" s="1" t="s">
        <v>3474</v>
      </c>
      <c r="B3455" s="2">
        <v>12.0</v>
      </c>
      <c r="C3455" s="4"/>
      <c r="E3455" s="4" t="str">
        <f t="array" ref="E3455">XLOOKUP(A3455,'Fintech, Regulatory Arbitrage, '!A:A,'Fintech, Regulatory Arbitrage, '!C:C,"")</f>
        <v/>
      </c>
    </row>
    <row r="3456">
      <c r="A3456" s="1" t="s">
        <v>3475</v>
      </c>
      <c r="B3456" s="2">
        <v>12.0</v>
      </c>
      <c r="C3456" s="4"/>
      <c r="E3456" s="4" t="str">
        <f t="array" ref="E3456">XLOOKUP(A3456,'Fintech, Regulatory Arbitrage, '!A:A,'Fintech, Regulatory Arbitrage, '!C:C,"")</f>
        <v/>
      </c>
    </row>
    <row r="3457">
      <c r="A3457" s="1" t="s">
        <v>3476</v>
      </c>
      <c r="B3457" s="2">
        <v>12.0</v>
      </c>
      <c r="C3457" s="4"/>
      <c r="E3457" s="4" t="str">
        <f t="array" ref="E3457">XLOOKUP(A3457,'Fintech, Regulatory Arbitrage, '!A:A,'Fintech, Regulatory Arbitrage, '!C:C,"")</f>
        <v/>
      </c>
    </row>
    <row r="3458">
      <c r="A3458" s="1" t="s">
        <v>3477</v>
      </c>
      <c r="B3458" s="2">
        <v>12.0</v>
      </c>
      <c r="C3458" s="4"/>
      <c r="E3458" s="4" t="str">
        <f t="array" ref="E3458">XLOOKUP(A3458,'Fintech, Regulatory Arbitrage, '!A:A,'Fintech, Regulatory Arbitrage, '!C:C,"")</f>
        <v/>
      </c>
    </row>
    <row r="3459">
      <c r="A3459" s="1" t="s">
        <v>3478</v>
      </c>
      <c r="B3459" s="2">
        <v>12.0</v>
      </c>
      <c r="C3459" s="4"/>
      <c r="E3459" s="4" t="str">
        <f t="array" ref="E3459">XLOOKUP(A3459,'Fintech, Regulatory Arbitrage, '!A:A,'Fintech, Regulatory Arbitrage, '!C:C,"")</f>
        <v/>
      </c>
    </row>
    <row r="3460">
      <c r="A3460" s="1" t="s">
        <v>3479</v>
      </c>
      <c r="B3460" s="2">
        <v>12.0</v>
      </c>
      <c r="C3460" s="4"/>
      <c r="E3460" s="4" t="str">
        <f t="array" ref="E3460">XLOOKUP(A3460,'Fintech, Regulatory Arbitrage, '!A:A,'Fintech, Regulatory Arbitrage, '!C:C,"")</f>
        <v/>
      </c>
    </row>
    <row r="3461">
      <c r="A3461" s="1" t="s">
        <v>3480</v>
      </c>
      <c r="B3461" s="2">
        <v>12.0</v>
      </c>
      <c r="C3461" s="4"/>
      <c r="E3461" s="4" t="str">
        <f t="array" ref="E3461">XLOOKUP(A3461,'Fintech, Regulatory Arbitrage, '!A:A,'Fintech, Regulatory Arbitrage, '!C:C,"")</f>
        <v/>
      </c>
    </row>
    <row r="3462">
      <c r="A3462" s="1" t="s">
        <v>3481</v>
      </c>
      <c r="B3462" s="2">
        <v>12.0</v>
      </c>
      <c r="C3462" s="4"/>
      <c r="E3462" s="4" t="str">
        <f t="array" ref="E3462">XLOOKUP(A3462,'Fintech, Regulatory Arbitrage, '!A:A,'Fintech, Regulatory Arbitrage, '!C:C,"")</f>
        <v/>
      </c>
    </row>
    <row r="3463">
      <c r="A3463" s="1" t="s">
        <v>3482</v>
      </c>
      <c r="B3463" s="2">
        <v>12.0</v>
      </c>
      <c r="C3463" s="4"/>
      <c r="E3463" s="4" t="str">
        <f t="array" ref="E3463">XLOOKUP(A3463,'Fintech, Regulatory Arbitrage, '!A:A,'Fintech, Regulatory Arbitrage, '!C:C,"")</f>
        <v/>
      </c>
    </row>
    <row r="3464">
      <c r="A3464" s="1" t="s">
        <v>3483</v>
      </c>
      <c r="B3464" s="2">
        <v>12.0</v>
      </c>
      <c r="C3464" s="4"/>
      <c r="E3464" s="4" t="str">
        <f t="array" ref="E3464">XLOOKUP(A3464,'Fintech, Regulatory Arbitrage, '!A:A,'Fintech, Regulatory Arbitrage, '!C:C,"")</f>
        <v/>
      </c>
    </row>
    <row r="3465">
      <c r="A3465" s="1" t="s">
        <v>3484</v>
      </c>
      <c r="B3465" s="2">
        <v>12.0</v>
      </c>
      <c r="C3465" s="4"/>
      <c r="E3465" s="4" t="str">
        <f t="array" ref="E3465">XLOOKUP(A3465,'Fintech, Regulatory Arbitrage, '!A:A,'Fintech, Regulatory Arbitrage, '!C:C,"")</f>
        <v/>
      </c>
    </row>
    <row r="3466">
      <c r="A3466" s="1" t="s">
        <v>3485</v>
      </c>
      <c r="B3466" s="2">
        <v>12.0</v>
      </c>
      <c r="C3466" s="4"/>
      <c r="E3466" s="4" t="str">
        <f t="array" ref="E3466">XLOOKUP(A3466,'Fintech, Regulatory Arbitrage, '!A:A,'Fintech, Regulatory Arbitrage, '!C:C,"")</f>
        <v/>
      </c>
    </row>
    <row r="3467">
      <c r="A3467" s="1" t="s">
        <v>3486</v>
      </c>
      <c r="B3467" s="2">
        <v>12.0</v>
      </c>
      <c r="C3467" s="4"/>
      <c r="E3467" s="4" t="str">
        <f t="array" ref="E3467">XLOOKUP(A3467,'Fintech, Regulatory Arbitrage, '!A:A,'Fintech, Regulatory Arbitrage, '!C:C,"")</f>
        <v/>
      </c>
    </row>
    <row r="3468">
      <c r="A3468" s="1" t="s">
        <v>3487</v>
      </c>
      <c r="B3468" s="2">
        <v>12.0</v>
      </c>
      <c r="C3468" s="4"/>
      <c r="E3468" s="4" t="str">
        <f t="array" ref="E3468">XLOOKUP(A3468,'Fintech, Regulatory Arbitrage, '!A:A,'Fintech, Regulatory Arbitrage, '!C:C,"")</f>
        <v/>
      </c>
    </row>
    <row r="3469">
      <c r="A3469" s="1" t="s">
        <v>3488</v>
      </c>
      <c r="B3469" s="2">
        <v>12.0</v>
      </c>
      <c r="C3469" s="4"/>
      <c r="E3469" s="4" t="str">
        <f t="array" ref="E3469">XLOOKUP(A3469,'Fintech, Regulatory Arbitrage, '!A:A,'Fintech, Regulatory Arbitrage, '!C:C,"")</f>
        <v/>
      </c>
    </row>
    <row r="3470">
      <c r="A3470" s="1" t="s">
        <v>3489</v>
      </c>
      <c r="B3470" s="2">
        <v>12.0</v>
      </c>
      <c r="C3470" s="4"/>
      <c r="E3470" s="4" t="str">
        <f t="array" ref="E3470">XLOOKUP(A3470,'Fintech, Regulatory Arbitrage, '!A:A,'Fintech, Regulatory Arbitrage, '!C:C,"")</f>
        <v/>
      </c>
    </row>
    <row r="3471">
      <c r="A3471" s="1" t="s">
        <v>3490</v>
      </c>
      <c r="B3471" s="2">
        <v>12.0</v>
      </c>
      <c r="C3471" s="4"/>
      <c r="E3471" s="4" t="str">
        <f t="array" ref="E3471">XLOOKUP(A3471,'Fintech, Regulatory Arbitrage, '!A:A,'Fintech, Regulatory Arbitrage, '!C:C,"")</f>
        <v/>
      </c>
    </row>
    <row r="3472">
      <c r="A3472" s="1" t="s">
        <v>3491</v>
      </c>
      <c r="B3472" s="2">
        <v>12.0</v>
      </c>
      <c r="C3472" s="4"/>
      <c r="E3472" s="4" t="str">
        <f t="array" ref="E3472">XLOOKUP(A3472,'Fintech, Regulatory Arbitrage, '!A:A,'Fintech, Regulatory Arbitrage, '!C:C,"")</f>
        <v/>
      </c>
    </row>
    <row r="3473">
      <c r="A3473" s="1" t="s">
        <v>3492</v>
      </c>
      <c r="B3473" s="2">
        <v>12.0</v>
      </c>
      <c r="C3473" s="4"/>
      <c r="E3473" s="4" t="str">
        <f t="array" ref="E3473">XLOOKUP(A3473,'Fintech, Regulatory Arbitrage, '!A:A,'Fintech, Regulatory Arbitrage, '!C:C,"")</f>
        <v/>
      </c>
    </row>
    <row r="3474">
      <c r="A3474" s="1" t="s">
        <v>3493</v>
      </c>
      <c r="B3474" s="2">
        <v>12.0</v>
      </c>
      <c r="C3474" s="4"/>
      <c r="E3474" s="4" t="str">
        <f t="array" ref="E3474">XLOOKUP(A3474,'Fintech, Regulatory Arbitrage, '!A:A,'Fintech, Regulatory Arbitrage, '!C:C,"")</f>
        <v/>
      </c>
    </row>
    <row r="3475">
      <c r="A3475" s="1" t="s">
        <v>3494</v>
      </c>
      <c r="B3475" s="2">
        <v>12.0</v>
      </c>
      <c r="C3475" s="4"/>
      <c r="E3475" s="4" t="str">
        <f t="array" ref="E3475">XLOOKUP(A3475,'Fintech, Regulatory Arbitrage, '!A:A,'Fintech, Regulatory Arbitrage, '!C:C,"")</f>
        <v/>
      </c>
    </row>
    <row r="3476">
      <c r="A3476" s="1" t="s">
        <v>3495</v>
      </c>
      <c r="B3476" s="2">
        <v>12.0</v>
      </c>
      <c r="C3476" s="4"/>
      <c r="E3476" s="4" t="str">
        <f t="array" ref="E3476">XLOOKUP(A3476,'Fintech, Regulatory Arbitrage, '!A:A,'Fintech, Regulatory Arbitrage, '!C:C,"")</f>
        <v/>
      </c>
    </row>
    <row r="3477">
      <c r="A3477" s="1" t="s">
        <v>3496</v>
      </c>
      <c r="B3477" s="2">
        <v>12.0</v>
      </c>
      <c r="C3477" s="4"/>
      <c r="E3477" s="4" t="str">
        <f t="array" ref="E3477">XLOOKUP(A3477,'Fintech, Regulatory Arbitrage, '!A:A,'Fintech, Regulatory Arbitrage, '!C:C,"")</f>
        <v/>
      </c>
    </row>
    <row r="3478">
      <c r="A3478" s="1" t="s">
        <v>3497</v>
      </c>
      <c r="B3478" s="2">
        <v>12.0</v>
      </c>
      <c r="C3478" s="4"/>
      <c r="E3478" s="4" t="str">
        <f t="array" ref="E3478">XLOOKUP(A3478,'Fintech, Regulatory Arbitrage, '!A:A,'Fintech, Regulatory Arbitrage, '!C:C,"")</f>
        <v/>
      </c>
    </row>
    <row r="3479">
      <c r="A3479" s="1" t="s">
        <v>3498</v>
      </c>
      <c r="B3479" s="2">
        <v>12.0</v>
      </c>
      <c r="C3479" s="4"/>
      <c r="E3479" s="4" t="str">
        <f t="array" ref="E3479">XLOOKUP(A3479,'Fintech, Regulatory Arbitrage, '!A:A,'Fintech, Regulatory Arbitrage, '!C:C,"")</f>
        <v/>
      </c>
    </row>
    <row r="3480">
      <c r="A3480" s="1" t="s">
        <v>3499</v>
      </c>
      <c r="B3480" s="2">
        <v>12.0</v>
      </c>
      <c r="C3480" s="4"/>
      <c r="E3480" s="4" t="str">
        <f t="array" ref="E3480">XLOOKUP(A3480,'Fintech, Regulatory Arbitrage, '!A:A,'Fintech, Regulatory Arbitrage, '!C:C,"")</f>
        <v/>
      </c>
    </row>
    <row r="3481">
      <c r="A3481" s="1" t="s">
        <v>3500</v>
      </c>
      <c r="B3481" s="2">
        <v>12.0</v>
      </c>
      <c r="C3481" s="4"/>
      <c r="E3481" s="4" t="str">
        <f t="array" ref="E3481">XLOOKUP(A3481,'Fintech, Regulatory Arbitrage, '!A:A,'Fintech, Regulatory Arbitrage, '!C:C,"")</f>
        <v/>
      </c>
    </row>
    <row r="3482">
      <c r="A3482" s="1" t="s">
        <v>3501</v>
      </c>
      <c r="B3482" s="2">
        <v>12.0</v>
      </c>
      <c r="C3482" s="4"/>
      <c r="E3482" s="4" t="str">
        <f t="array" ref="E3482">XLOOKUP(A3482,'Fintech, Regulatory Arbitrage, '!A:A,'Fintech, Regulatory Arbitrage, '!C:C,"")</f>
        <v/>
      </c>
    </row>
    <row r="3483">
      <c r="A3483" s="1" t="s">
        <v>3502</v>
      </c>
      <c r="B3483" s="2">
        <v>12.0</v>
      </c>
      <c r="C3483" s="4"/>
      <c r="E3483" s="4" t="str">
        <f t="array" ref="E3483">XLOOKUP(A3483,'Fintech, Regulatory Arbitrage, '!A:A,'Fintech, Regulatory Arbitrage, '!C:C,"")</f>
        <v/>
      </c>
    </row>
    <row r="3484">
      <c r="A3484" s="1" t="s">
        <v>3503</v>
      </c>
      <c r="B3484" s="2">
        <v>12.0</v>
      </c>
      <c r="C3484" s="4"/>
      <c r="E3484" s="4" t="str">
        <f t="array" ref="E3484">XLOOKUP(A3484,'Fintech, Regulatory Arbitrage, '!A:A,'Fintech, Regulatory Arbitrage, '!C:C,"")</f>
        <v/>
      </c>
    </row>
    <row r="3485">
      <c r="A3485" s="1" t="s">
        <v>3504</v>
      </c>
      <c r="B3485" s="2">
        <v>12.0</v>
      </c>
      <c r="C3485" s="4"/>
      <c r="E3485" s="4" t="str">
        <f t="array" ref="E3485">XLOOKUP(A3485,'Fintech, Regulatory Arbitrage, '!A:A,'Fintech, Regulatory Arbitrage, '!C:C,"")</f>
        <v/>
      </c>
    </row>
    <row r="3486">
      <c r="A3486" s="1" t="s">
        <v>3505</v>
      </c>
      <c r="B3486" s="2">
        <v>12.0</v>
      </c>
      <c r="C3486" s="4"/>
      <c r="E3486" s="4" t="str">
        <f t="array" ref="E3486">XLOOKUP(A3486,'Fintech, Regulatory Arbitrage, '!A:A,'Fintech, Regulatory Arbitrage, '!C:C,"")</f>
        <v/>
      </c>
    </row>
    <row r="3487">
      <c r="A3487" s="1" t="s">
        <v>3506</v>
      </c>
      <c r="B3487" s="2">
        <v>12.0</v>
      </c>
      <c r="C3487" s="4"/>
      <c r="E3487" s="4" t="str">
        <f t="array" ref="E3487">XLOOKUP(A3487,'Fintech, Regulatory Arbitrage, '!A:A,'Fintech, Regulatory Arbitrage, '!C:C,"")</f>
        <v/>
      </c>
    </row>
    <row r="3488">
      <c r="A3488" s="1" t="s">
        <v>3507</v>
      </c>
      <c r="B3488" s="2">
        <v>12.0</v>
      </c>
      <c r="C3488" s="4"/>
      <c r="E3488" s="4" t="str">
        <f t="array" ref="E3488">XLOOKUP(A3488,'Fintech, Regulatory Arbitrage, '!A:A,'Fintech, Regulatory Arbitrage, '!C:C,"")</f>
        <v/>
      </c>
    </row>
    <row r="3489">
      <c r="A3489" s="1" t="s">
        <v>3508</v>
      </c>
      <c r="B3489" s="2">
        <v>12.0</v>
      </c>
      <c r="C3489" s="4"/>
      <c r="E3489" s="4" t="str">
        <f t="array" ref="E3489">XLOOKUP(A3489,'Fintech, Regulatory Arbitrage, '!A:A,'Fintech, Regulatory Arbitrage, '!C:C,"")</f>
        <v/>
      </c>
    </row>
    <row r="3490">
      <c r="A3490" s="1" t="s">
        <v>3509</v>
      </c>
      <c r="B3490" s="2">
        <v>12.0</v>
      </c>
      <c r="C3490" s="4"/>
      <c r="E3490" s="4" t="str">
        <f t="array" ref="E3490">XLOOKUP(A3490,'Fintech, Regulatory Arbitrage, '!A:A,'Fintech, Regulatory Arbitrage, '!C:C,"")</f>
        <v/>
      </c>
    </row>
    <row r="3491">
      <c r="A3491" s="1" t="s">
        <v>3510</v>
      </c>
      <c r="B3491" s="2">
        <v>12.0</v>
      </c>
      <c r="C3491" s="4"/>
      <c r="E3491" s="4" t="str">
        <f t="array" ref="E3491">XLOOKUP(A3491,'Fintech, Regulatory Arbitrage, '!A:A,'Fintech, Regulatory Arbitrage, '!C:C,"")</f>
        <v/>
      </c>
    </row>
    <row r="3492">
      <c r="A3492" s="1" t="s">
        <v>3511</v>
      </c>
      <c r="B3492" s="2">
        <v>12.0</v>
      </c>
      <c r="C3492" s="4"/>
      <c r="E3492" s="4" t="str">
        <f t="array" ref="E3492">XLOOKUP(A3492,'Fintech, Regulatory Arbitrage, '!A:A,'Fintech, Regulatory Arbitrage, '!C:C,"")</f>
        <v/>
      </c>
    </row>
    <row r="3493">
      <c r="A3493" s="1" t="s">
        <v>3512</v>
      </c>
      <c r="B3493" s="2">
        <v>12.0</v>
      </c>
      <c r="C3493" s="4"/>
      <c r="E3493" s="4" t="str">
        <f t="array" ref="E3493">XLOOKUP(A3493,'Fintech, Regulatory Arbitrage, '!A:A,'Fintech, Regulatory Arbitrage, '!C:C,"")</f>
        <v/>
      </c>
    </row>
    <row r="3494">
      <c r="A3494" s="1" t="s">
        <v>3513</v>
      </c>
      <c r="B3494" s="2">
        <v>12.0</v>
      </c>
      <c r="C3494" s="4"/>
      <c r="E3494" s="4" t="str">
        <f t="array" ref="E3494">XLOOKUP(A3494,'Fintech, Regulatory Arbitrage, '!A:A,'Fintech, Regulatory Arbitrage, '!C:C,"")</f>
        <v/>
      </c>
    </row>
    <row r="3495">
      <c r="A3495" s="1" t="s">
        <v>3514</v>
      </c>
      <c r="B3495" s="2">
        <v>12.0</v>
      </c>
      <c r="C3495" s="4"/>
      <c r="E3495" s="4" t="str">
        <f t="array" ref="E3495">XLOOKUP(A3495,'Fintech, Regulatory Arbitrage, '!A:A,'Fintech, Regulatory Arbitrage, '!C:C,"")</f>
        <v/>
      </c>
    </row>
    <row r="3496">
      <c r="A3496" s="1" t="s">
        <v>3515</v>
      </c>
      <c r="B3496" s="2">
        <v>12.0</v>
      </c>
      <c r="C3496" s="4"/>
      <c r="E3496" s="4" t="str">
        <f t="array" ref="E3496">XLOOKUP(A3496,'Fintech, Regulatory Arbitrage, '!A:A,'Fintech, Regulatory Arbitrage, '!C:C,"")</f>
        <v/>
      </c>
    </row>
    <row r="3497">
      <c r="A3497" s="1" t="s">
        <v>3516</v>
      </c>
      <c r="B3497" s="2">
        <v>12.0</v>
      </c>
      <c r="C3497" s="4"/>
      <c r="E3497" s="4" t="str">
        <f t="array" ref="E3497">XLOOKUP(A3497,'Fintech, Regulatory Arbitrage, '!A:A,'Fintech, Regulatory Arbitrage, '!C:C,"")</f>
        <v/>
      </c>
    </row>
    <row r="3498">
      <c r="A3498" s="1" t="s">
        <v>3517</v>
      </c>
      <c r="B3498" s="2">
        <v>12.0</v>
      </c>
      <c r="C3498" s="4"/>
      <c r="E3498" s="4" t="str">
        <f t="array" ref="E3498">XLOOKUP(A3498,'Fintech, Regulatory Arbitrage, '!A:A,'Fintech, Regulatory Arbitrage, '!C:C,"")</f>
        <v/>
      </c>
    </row>
    <row r="3499">
      <c r="A3499" s="1" t="s">
        <v>3518</v>
      </c>
      <c r="B3499" s="2">
        <v>12.0</v>
      </c>
      <c r="C3499" s="4"/>
      <c r="E3499" s="4" t="str">
        <f t="array" ref="E3499">XLOOKUP(A3499,'Fintech, Regulatory Arbitrage, '!A:A,'Fintech, Regulatory Arbitrage, '!C:C,"")</f>
        <v/>
      </c>
    </row>
    <row r="3500">
      <c r="A3500" s="1" t="s">
        <v>3519</v>
      </c>
      <c r="B3500" s="2">
        <v>12.0</v>
      </c>
      <c r="C3500" s="4"/>
      <c r="E3500" s="4" t="str">
        <f t="array" ref="E3500">XLOOKUP(A3500,'Fintech, Regulatory Arbitrage, '!A:A,'Fintech, Regulatory Arbitrage, '!C:C,"")</f>
        <v/>
      </c>
    </row>
    <row r="3501">
      <c r="A3501" s="1" t="s">
        <v>3520</v>
      </c>
      <c r="B3501" s="2">
        <v>11.0</v>
      </c>
      <c r="C3501" s="4"/>
      <c r="E3501" s="4" t="str">
        <f t="array" ref="E3501">XLOOKUP(A3501,'Fintech, Regulatory Arbitrage, '!A:A,'Fintech, Regulatory Arbitrage, '!C:C,"")</f>
        <v/>
      </c>
    </row>
    <row r="3502">
      <c r="A3502" s="1" t="s">
        <v>3521</v>
      </c>
      <c r="B3502" s="2">
        <v>11.0</v>
      </c>
      <c r="C3502" s="4"/>
      <c r="E3502" s="4" t="str">
        <f t="array" ref="E3502">XLOOKUP(A3502,'Fintech, Regulatory Arbitrage, '!A:A,'Fintech, Regulatory Arbitrage, '!C:C,"")</f>
        <v/>
      </c>
    </row>
    <row r="3503">
      <c r="A3503" s="1" t="s">
        <v>3522</v>
      </c>
      <c r="B3503" s="2">
        <v>11.0</v>
      </c>
      <c r="C3503" s="4"/>
      <c r="E3503" s="4" t="str">
        <f t="array" ref="E3503">XLOOKUP(A3503,'Fintech, Regulatory Arbitrage, '!A:A,'Fintech, Regulatory Arbitrage, '!C:C,"")</f>
        <v/>
      </c>
    </row>
    <row r="3504">
      <c r="A3504" s="1" t="s">
        <v>3523</v>
      </c>
      <c r="B3504" s="2">
        <v>11.0</v>
      </c>
      <c r="C3504" s="4"/>
      <c r="E3504" s="4" t="str">
        <f t="array" ref="E3504">XLOOKUP(A3504,'Fintech, Regulatory Arbitrage, '!A:A,'Fintech, Regulatory Arbitrage, '!C:C,"")</f>
        <v/>
      </c>
    </row>
    <row r="3505">
      <c r="A3505" s="1" t="s">
        <v>3524</v>
      </c>
      <c r="B3505" s="2">
        <v>11.0</v>
      </c>
      <c r="C3505" s="4"/>
      <c r="E3505" s="4" t="str">
        <f t="array" ref="E3505">XLOOKUP(A3505,'Fintech, Regulatory Arbitrage, '!A:A,'Fintech, Regulatory Arbitrage, '!C:C,"")</f>
        <v/>
      </c>
    </row>
    <row r="3506">
      <c r="A3506" s="1" t="s">
        <v>3525</v>
      </c>
      <c r="B3506" s="2">
        <v>11.0</v>
      </c>
      <c r="C3506" s="4"/>
      <c r="E3506" s="4" t="str">
        <f t="array" ref="E3506">XLOOKUP(A3506,'Fintech, Regulatory Arbitrage, '!A:A,'Fintech, Regulatory Arbitrage, '!C:C,"")</f>
        <v/>
      </c>
    </row>
    <row r="3507">
      <c r="A3507" s="1" t="s">
        <v>3526</v>
      </c>
      <c r="B3507" s="2">
        <v>11.0</v>
      </c>
      <c r="C3507" s="4"/>
      <c r="E3507" s="4" t="str">
        <f t="array" ref="E3507">XLOOKUP(A3507,'Fintech, Regulatory Arbitrage, '!A:A,'Fintech, Regulatory Arbitrage, '!C:C,"")</f>
        <v/>
      </c>
    </row>
    <row r="3508">
      <c r="A3508" s="1" t="s">
        <v>3527</v>
      </c>
      <c r="B3508" s="2">
        <v>11.0</v>
      </c>
      <c r="C3508" s="4"/>
      <c r="E3508" s="4" t="str">
        <f t="array" ref="E3508">XLOOKUP(A3508,'Fintech, Regulatory Arbitrage, '!A:A,'Fintech, Regulatory Arbitrage, '!C:C,"")</f>
        <v/>
      </c>
    </row>
    <row r="3509">
      <c r="A3509" s="1" t="s">
        <v>3528</v>
      </c>
      <c r="B3509" s="2">
        <v>11.0</v>
      </c>
      <c r="C3509" s="4"/>
      <c r="E3509" s="4" t="str">
        <f t="array" ref="E3509">XLOOKUP(A3509,'Fintech, Regulatory Arbitrage, '!A:A,'Fintech, Regulatory Arbitrage, '!C:C,"")</f>
        <v/>
      </c>
    </row>
    <row r="3510">
      <c r="A3510" s="1" t="s">
        <v>3529</v>
      </c>
      <c r="B3510" s="2">
        <v>11.0</v>
      </c>
      <c r="C3510" s="4"/>
      <c r="E3510" s="4" t="str">
        <f t="array" ref="E3510">XLOOKUP(A3510,'Fintech, Regulatory Arbitrage, '!A:A,'Fintech, Regulatory Arbitrage, '!C:C,"")</f>
        <v/>
      </c>
    </row>
    <row r="3511">
      <c r="A3511" s="1" t="s">
        <v>3530</v>
      </c>
      <c r="B3511" s="2">
        <v>11.0</v>
      </c>
      <c r="C3511" s="4"/>
      <c r="E3511" s="4" t="str">
        <f t="array" ref="E3511">XLOOKUP(A3511,'Fintech, Regulatory Arbitrage, '!A:A,'Fintech, Regulatory Arbitrage, '!C:C,"")</f>
        <v/>
      </c>
    </row>
    <row r="3512">
      <c r="A3512" s="1" t="s">
        <v>3531</v>
      </c>
      <c r="B3512" s="2">
        <v>11.0</v>
      </c>
      <c r="C3512" s="4"/>
      <c r="E3512" s="4" t="str">
        <f t="array" ref="E3512">XLOOKUP(A3512,'Fintech, Regulatory Arbitrage, '!A:A,'Fintech, Regulatory Arbitrage, '!C:C,"")</f>
        <v/>
      </c>
    </row>
    <row r="3513">
      <c r="A3513" s="1" t="s">
        <v>3532</v>
      </c>
      <c r="B3513" s="2">
        <v>11.0</v>
      </c>
      <c r="C3513" s="4"/>
      <c r="E3513" s="4" t="str">
        <f t="array" ref="E3513">XLOOKUP(A3513,'Fintech, Regulatory Arbitrage, '!A:A,'Fintech, Regulatory Arbitrage, '!C:C,"")</f>
        <v/>
      </c>
    </row>
    <row r="3514">
      <c r="A3514" s="1" t="s">
        <v>3533</v>
      </c>
      <c r="B3514" s="2">
        <v>11.0</v>
      </c>
      <c r="C3514" s="4"/>
      <c r="E3514" s="4" t="str">
        <f t="array" ref="E3514">XLOOKUP(A3514,'Fintech, Regulatory Arbitrage, '!A:A,'Fintech, Regulatory Arbitrage, '!C:C,"")</f>
        <v/>
      </c>
    </row>
    <row r="3515">
      <c r="A3515" s="1" t="s">
        <v>3534</v>
      </c>
      <c r="B3515" s="2">
        <v>11.0</v>
      </c>
      <c r="C3515" s="4"/>
      <c r="E3515" s="4" t="str">
        <f t="array" ref="E3515">XLOOKUP(A3515,'Fintech, Regulatory Arbitrage, '!A:A,'Fintech, Regulatory Arbitrage, '!C:C,"")</f>
        <v/>
      </c>
    </row>
    <row r="3516">
      <c r="A3516" s="1" t="s">
        <v>3535</v>
      </c>
      <c r="B3516" s="2">
        <v>11.0</v>
      </c>
      <c r="C3516" s="4"/>
      <c r="E3516" s="4" t="str">
        <f t="array" ref="E3516">XLOOKUP(A3516,'Fintech, Regulatory Arbitrage, '!A:A,'Fintech, Regulatory Arbitrage, '!C:C,"")</f>
        <v/>
      </c>
    </row>
    <row r="3517">
      <c r="A3517" s="1" t="s">
        <v>3536</v>
      </c>
      <c r="B3517" s="2">
        <v>11.0</v>
      </c>
      <c r="C3517" s="4"/>
      <c r="E3517" s="4" t="str">
        <f t="array" ref="E3517">XLOOKUP(A3517,'Fintech, Regulatory Arbitrage, '!A:A,'Fintech, Regulatory Arbitrage, '!C:C,"")</f>
        <v/>
      </c>
    </row>
    <row r="3518">
      <c r="A3518" s="1" t="s">
        <v>3537</v>
      </c>
      <c r="B3518" s="2">
        <v>11.0</v>
      </c>
      <c r="C3518" s="4"/>
      <c r="E3518" s="4" t="str">
        <f t="array" ref="E3518">XLOOKUP(A3518,'Fintech, Regulatory Arbitrage, '!A:A,'Fintech, Regulatory Arbitrage, '!C:C,"")</f>
        <v/>
      </c>
    </row>
    <row r="3519">
      <c r="A3519" s="1" t="s">
        <v>3538</v>
      </c>
      <c r="B3519" s="2">
        <v>11.0</v>
      </c>
      <c r="C3519" s="4"/>
      <c r="E3519" s="4" t="str">
        <f t="array" ref="E3519">XLOOKUP(A3519,'Fintech, Regulatory Arbitrage, '!A:A,'Fintech, Regulatory Arbitrage, '!C:C,"")</f>
        <v/>
      </c>
    </row>
    <row r="3520">
      <c r="A3520" s="1" t="s">
        <v>3539</v>
      </c>
      <c r="B3520" s="2">
        <v>11.0</v>
      </c>
      <c r="C3520" s="4"/>
      <c r="E3520" s="4" t="str">
        <f t="array" ref="E3520">XLOOKUP(A3520,'Fintech, Regulatory Arbitrage, '!A:A,'Fintech, Regulatory Arbitrage, '!C:C,"")</f>
        <v/>
      </c>
    </row>
    <row r="3521">
      <c r="A3521" s="1" t="s">
        <v>3540</v>
      </c>
      <c r="B3521" s="2">
        <v>11.0</v>
      </c>
      <c r="C3521" s="4"/>
      <c r="E3521" s="4" t="str">
        <f t="array" ref="E3521">XLOOKUP(A3521,'Fintech, Regulatory Arbitrage, '!A:A,'Fintech, Regulatory Arbitrage, '!C:C,"")</f>
        <v/>
      </c>
    </row>
    <row r="3522">
      <c r="A3522" s="1" t="s">
        <v>3541</v>
      </c>
      <c r="B3522" s="2">
        <v>11.0</v>
      </c>
      <c r="C3522" s="4"/>
      <c r="E3522" s="4" t="str">
        <f t="array" ref="E3522">XLOOKUP(A3522,'Fintech, Regulatory Arbitrage, '!A:A,'Fintech, Regulatory Arbitrage, '!C:C,"")</f>
        <v/>
      </c>
    </row>
    <row r="3523">
      <c r="A3523" s="1" t="s">
        <v>3542</v>
      </c>
      <c r="B3523" s="2">
        <v>11.0</v>
      </c>
      <c r="C3523" s="4"/>
      <c r="E3523" s="4" t="str">
        <f t="array" ref="E3523">XLOOKUP(A3523,'Fintech, Regulatory Arbitrage, '!A:A,'Fintech, Regulatory Arbitrage, '!C:C,"")</f>
        <v/>
      </c>
    </row>
    <row r="3524">
      <c r="A3524" s="1" t="s">
        <v>3543</v>
      </c>
      <c r="B3524" s="2">
        <v>11.0</v>
      </c>
      <c r="C3524" s="4"/>
      <c r="E3524" s="4" t="str">
        <f t="array" ref="E3524">XLOOKUP(A3524,'Fintech, Regulatory Arbitrage, '!A:A,'Fintech, Regulatory Arbitrage, '!C:C,"")</f>
        <v/>
      </c>
    </row>
    <row r="3525">
      <c r="A3525" s="1" t="s">
        <v>3544</v>
      </c>
      <c r="B3525" s="2">
        <v>11.0</v>
      </c>
      <c r="C3525" s="4"/>
      <c r="E3525" s="4" t="str">
        <f t="array" ref="E3525">XLOOKUP(A3525,'Fintech, Regulatory Arbitrage, '!A:A,'Fintech, Regulatory Arbitrage, '!C:C,"")</f>
        <v/>
      </c>
    </row>
    <row r="3526">
      <c r="A3526" s="1" t="s">
        <v>3545</v>
      </c>
      <c r="B3526" s="2">
        <v>11.0</v>
      </c>
      <c r="C3526" s="4"/>
      <c r="E3526" s="4" t="str">
        <f t="array" ref="E3526">XLOOKUP(A3526,'Fintech, Regulatory Arbitrage, '!A:A,'Fintech, Regulatory Arbitrage, '!C:C,"")</f>
        <v/>
      </c>
    </row>
    <row r="3527">
      <c r="A3527" s="1" t="s">
        <v>3546</v>
      </c>
      <c r="B3527" s="2">
        <v>11.0</v>
      </c>
      <c r="C3527" s="4"/>
      <c r="E3527" s="4" t="str">
        <f t="array" ref="E3527">XLOOKUP(A3527,'Fintech, Regulatory Arbitrage, '!A:A,'Fintech, Regulatory Arbitrage, '!C:C,"")</f>
        <v/>
      </c>
    </row>
    <row r="3528">
      <c r="A3528" s="1" t="s">
        <v>3547</v>
      </c>
      <c r="B3528" s="2">
        <v>11.0</v>
      </c>
      <c r="C3528" s="4"/>
      <c r="E3528" s="4" t="str">
        <f t="array" ref="E3528">XLOOKUP(A3528,'Fintech, Regulatory Arbitrage, '!A:A,'Fintech, Regulatory Arbitrage, '!C:C,"")</f>
        <v/>
      </c>
    </row>
    <row r="3529">
      <c r="A3529" s="1" t="s">
        <v>3548</v>
      </c>
      <c r="B3529" s="2">
        <v>11.0</v>
      </c>
      <c r="C3529" s="4"/>
      <c r="E3529" s="4" t="str">
        <f t="array" ref="E3529">XLOOKUP(A3529,'Fintech, Regulatory Arbitrage, '!A:A,'Fintech, Regulatory Arbitrage, '!C:C,"")</f>
        <v/>
      </c>
    </row>
    <row r="3530">
      <c r="A3530" s="1" t="s">
        <v>3549</v>
      </c>
      <c r="B3530" s="2">
        <v>11.0</v>
      </c>
      <c r="C3530" s="4"/>
      <c r="E3530" s="4" t="str">
        <f t="array" ref="E3530">XLOOKUP(A3530,'Fintech, Regulatory Arbitrage, '!A:A,'Fintech, Regulatory Arbitrage, '!C:C,"")</f>
        <v/>
      </c>
    </row>
    <row r="3531">
      <c r="A3531" s="1" t="s">
        <v>3550</v>
      </c>
      <c r="B3531" s="2">
        <v>11.0</v>
      </c>
      <c r="C3531" s="4"/>
      <c r="E3531" s="4" t="str">
        <f t="array" ref="E3531">XLOOKUP(A3531,'Fintech, Regulatory Arbitrage, '!A:A,'Fintech, Regulatory Arbitrage, '!C:C,"")</f>
        <v/>
      </c>
    </row>
    <row r="3532">
      <c r="A3532" s="1" t="s">
        <v>3551</v>
      </c>
      <c r="B3532" s="2">
        <v>11.0</v>
      </c>
      <c r="C3532" s="4"/>
      <c r="E3532" s="4" t="str">
        <f t="array" ref="E3532">XLOOKUP(A3532,'Fintech, Regulatory Arbitrage, '!A:A,'Fintech, Regulatory Arbitrage, '!C:C,"")</f>
        <v/>
      </c>
    </row>
    <row r="3533">
      <c r="A3533" s="1" t="s">
        <v>3552</v>
      </c>
      <c r="B3533" s="2">
        <v>11.0</v>
      </c>
      <c r="C3533" s="4"/>
      <c r="E3533" s="4" t="str">
        <f t="array" ref="E3533">XLOOKUP(A3533,'Fintech, Regulatory Arbitrage, '!A:A,'Fintech, Regulatory Arbitrage, '!C:C,"")</f>
        <v/>
      </c>
    </row>
    <row r="3534">
      <c r="A3534" s="1" t="s">
        <v>3553</v>
      </c>
      <c r="B3534" s="2">
        <v>11.0</v>
      </c>
      <c r="C3534" s="4"/>
      <c r="E3534" s="4" t="str">
        <f t="array" ref="E3534">XLOOKUP(A3534,'Fintech, Regulatory Arbitrage, '!A:A,'Fintech, Regulatory Arbitrage, '!C:C,"")</f>
        <v/>
      </c>
    </row>
    <row r="3535">
      <c r="A3535" s="1" t="s">
        <v>3554</v>
      </c>
      <c r="B3535" s="2">
        <v>11.0</v>
      </c>
      <c r="C3535" s="4"/>
      <c r="E3535" s="4" t="str">
        <f t="array" ref="E3535">XLOOKUP(A3535,'Fintech, Regulatory Arbitrage, '!A:A,'Fintech, Regulatory Arbitrage, '!C:C,"")</f>
        <v/>
      </c>
    </row>
    <row r="3536">
      <c r="A3536" s="1" t="s">
        <v>3555</v>
      </c>
      <c r="B3536" s="2">
        <v>11.0</v>
      </c>
      <c r="C3536" s="4"/>
      <c r="E3536" s="4" t="str">
        <f t="array" ref="E3536">XLOOKUP(A3536,'Fintech, Regulatory Arbitrage, '!A:A,'Fintech, Regulatory Arbitrage, '!C:C,"")</f>
        <v/>
      </c>
    </row>
    <row r="3537">
      <c r="A3537" s="1" t="s">
        <v>3556</v>
      </c>
      <c r="B3537" s="2">
        <v>11.0</v>
      </c>
      <c r="C3537" s="4"/>
      <c r="E3537" s="4" t="str">
        <f t="array" ref="E3537">XLOOKUP(A3537,'Fintech, Regulatory Arbitrage, '!A:A,'Fintech, Regulatory Arbitrage, '!C:C,"")</f>
        <v/>
      </c>
    </row>
    <row r="3538">
      <c r="A3538" s="1" t="s">
        <v>3557</v>
      </c>
      <c r="B3538" s="2">
        <v>11.0</v>
      </c>
      <c r="C3538" s="4"/>
      <c r="E3538" s="4" t="str">
        <f t="array" ref="E3538">XLOOKUP(A3538,'Fintech, Regulatory Arbitrage, '!A:A,'Fintech, Regulatory Arbitrage, '!C:C,"")</f>
        <v/>
      </c>
    </row>
    <row r="3539">
      <c r="A3539" s="1" t="s">
        <v>3558</v>
      </c>
      <c r="B3539" s="2">
        <v>11.0</v>
      </c>
      <c r="C3539" s="4"/>
      <c r="E3539" s="4" t="str">
        <f t="array" ref="E3539">XLOOKUP(A3539,'Fintech, Regulatory Arbitrage, '!A:A,'Fintech, Regulatory Arbitrage, '!C:C,"")</f>
        <v/>
      </c>
    </row>
    <row r="3540">
      <c r="A3540" s="1" t="s">
        <v>3559</v>
      </c>
      <c r="B3540" s="2">
        <v>11.0</v>
      </c>
      <c r="C3540" s="4"/>
      <c r="E3540" s="4" t="str">
        <f t="array" ref="E3540">XLOOKUP(A3540,'Fintech, Regulatory Arbitrage, '!A:A,'Fintech, Regulatory Arbitrage, '!C:C,"")</f>
        <v/>
      </c>
    </row>
    <row r="3541">
      <c r="A3541" s="1" t="s">
        <v>3560</v>
      </c>
      <c r="B3541" s="2">
        <v>11.0</v>
      </c>
      <c r="C3541" s="4"/>
      <c r="E3541" s="4" t="str">
        <f t="array" ref="E3541">XLOOKUP(A3541,'Fintech, Regulatory Arbitrage, '!A:A,'Fintech, Regulatory Arbitrage, '!C:C,"")</f>
        <v/>
      </c>
    </row>
    <row r="3542">
      <c r="A3542" s="1" t="s">
        <v>3561</v>
      </c>
      <c r="B3542" s="2">
        <v>11.0</v>
      </c>
      <c r="C3542" s="4"/>
      <c r="E3542" s="4" t="str">
        <f t="array" ref="E3542">XLOOKUP(A3542,'Fintech, Regulatory Arbitrage, '!A:A,'Fintech, Regulatory Arbitrage, '!C:C,"")</f>
        <v/>
      </c>
    </row>
    <row r="3543">
      <c r="A3543" s="1" t="s">
        <v>3562</v>
      </c>
      <c r="B3543" s="2">
        <v>11.0</v>
      </c>
      <c r="C3543" s="4"/>
      <c r="E3543" s="4" t="str">
        <f t="array" ref="E3543">XLOOKUP(A3543,'Fintech, Regulatory Arbitrage, '!A:A,'Fintech, Regulatory Arbitrage, '!C:C,"")</f>
        <v/>
      </c>
    </row>
    <row r="3544">
      <c r="A3544" s="1" t="s">
        <v>3563</v>
      </c>
      <c r="B3544" s="2">
        <v>11.0</v>
      </c>
      <c r="C3544" s="4"/>
      <c r="E3544" s="4" t="str">
        <f t="array" ref="E3544">XLOOKUP(A3544,'Fintech, Regulatory Arbitrage, '!A:A,'Fintech, Regulatory Arbitrage, '!C:C,"")</f>
        <v/>
      </c>
    </row>
    <row r="3545">
      <c r="A3545" s="1" t="s">
        <v>3564</v>
      </c>
      <c r="B3545" s="2">
        <v>11.0</v>
      </c>
      <c r="C3545" s="4"/>
      <c r="E3545" s="4" t="str">
        <f t="array" ref="E3545">XLOOKUP(A3545,'Fintech, Regulatory Arbitrage, '!A:A,'Fintech, Regulatory Arbitrage, '!C:C,"")</f>
        <v/>
      </c>
    </row>
    <row r="3546">
      <c r="A3546" s="1" t="s">
        <v>3565</v>
      </c>
      <c r="B3546" s="2">
        <v>11.0</v>
      </c>
      <c r="C3546" s="4"/>
      <c r="E3546" s="4" t="str">
        <f t="array" ref="E3546">XLOOKUP(A3546,'Fintech, Regulatory Arbitrage, '!A:A,'Fintech, Regulatory Arbitrage, '!C:C,"")</f>
        <v/>
      </c>
    </row>
    <row r="3547">
      <c r="A3547" s="1" t="s">
        <v>3566</v>
      </c>
      <c r="B3547" s="2">
        <v>11.0</v>
      </c>
      <c r="C3547" s="4"/>
      <c r="E3547" s="4" t="str">
        <f t="array" ref="E3547">XLOOKUP(A3547,'Fintech, Regulatory Arbitrage, '!A:A,'Fintech, Regulatory Arbitrage, '!C:C,"")</f>
        <v/>
      </c>
    </row>
    <row r="3548">
      <c r="A3548" s="1" t="s">
        <v>3567</v>
      </c>
      <c r="B3548" s="2">
        <v>11.0</v>
      </c>
      <c r="C3548" s="4"/>
      <c r="E3548" s="4" t="str">
        <f t="array" ref="E3548">XLOOKUP(A3548,'Fintech, Regulatory Arbitrage, '!A:A,'Fintech, Regulatory Arbitrage, '!C:C,"")</f>
        <v/>
      </c>
    </row>
    <row r="3549">
      <c r="A3549" s="1" t="s">
        <v>3568</v>
      </c>
      <c r="B3549" s="2">
        <v>11.0</v>
      </c>
      <c r="C3549" s="4"/>
      <c r="E3549" s="4" t="str">
        <f t="array" ref="E3549">XLOOKUP(A3549,'Fintech, Regulatory Arbitrage, '!A:A,'Fintech, Regulatory Arbitrage, '!C:C,"")</f>
        <v/>
      </c>
    </row>
    <row r="3550">
      <c r="A3550" s="1" t="s">
        <v>3569</v>
      </c>
      <c r="B3550" s="2">
        <v>11.0</v>
      </c>
      <c r="C3550" s="4"/>
      <c r="E3550" s="4" t="str">
        <f t="array" ref="E3550">XLOOKUP(A3550,'Fintech, Regulatory Arbitrage, '!A:A,'Fintech, Regulatory Arbitrage, '!C:C,"")</f>
        <v/>
      </c>
    </row>
    <row r="3551">
      <c r="A3551" s="1" t="s">
        <v>3570</v>
      </c>
      <c r="B3551" s="2">
        <v>11.0</v>
      </c>
      <c r="C3551" s="4"/>
      <c r="E3551" s="4" t="str">
        <f t="array" ref="E3551">XLOOKUP(A3551,'Fintech, Regulatory Arbitrage, '!A:A,'Fintech, Regulatory Arbitrage, '!C:C,"")</f>
        <v/>
      </c>
    </row>
    <row r="3552">
      <c r="A3552" s="1" t="s">
        <v>3571</v>
      </c>
      <c r="B3552" s="2">
        <v>11.0</v>
      </c>
      <c r="C3552" s="4"/>
      <c r="E3552" s="4" t="str">
        <f t="array" ref="E3552">XLOOKUP(A3552,'Fintech, Regulatory Arbitrage, '!A:A,'Fintech, Regulatory Arbitrage, '!C:C,"")</f>
        <v/>
      </c>
    </row>
    <row r="3553">
      <c r="A3553" s="1" t="s">
        <v>3572</v>
      </c>
      <c r="B3553" s="2">
        <v>11.0</v>
      </c>
      <c r="C3553" s="4"/>
      <c r="E3553" s="4" t="str">
        <f t="array" ref="E3553">XLOOKUP(A3553,'Fintech, Regulatory Arbitrage, '!A:A,'Fintech, Regulatory Arbitrage, '!C:C,"")</f>
        <v/>
      </c>
    </row>
    <row r="3554">
      <c r="A3554" s="1" t="s">
        <v>3573</v>
      </c>
      <c r="B3554" s="2">
        <v>11.0</v>
      </c>
      <c r="C3554" s="4"/>
      <c r="E3554" s="4" t="str">
        <f t="array" ref="E3554">XLOOKUP(A3554,'Fintech, Regulatory Arbitrage, '!A:A,'Fintech, Regulatory Arbitrage, '!C:C,"")</f>
        <v/>
      </c>
    </row>
    <row r="3555">
      <c r="A3555" s="1" t="s">
        <v>3574</v>
      </c>
      <c r="B3555" s="2">
        <v>11.0</v>
      </c>
      <c r="C3555" s="4"/>
      <c r="E3555" s="4" t="str">
        <f t="array" ref="E3555">XLOOKUP(A3555,'Fintech, Regulatory Arbitrage, '!A:A,'Fintech, Regulatory Arbitrage, '!C:C,"")</f>
        <v/>
      </c>
    </row>
    <row r="3556">
      <c r="A3556" s="1" t="s">
        <v>3575</v>
      </c>
      <c r="B3556" s="2">
        <v>11.0</v>
      </c>
      <c r="C3556" s="4"/>
      <c r="E3556" s="4" t="str">
        <f t="array" ref="E3556">XLOOKUP(A3556,'Fintech, Regulatory Arbitrage, '!A:A,'Fintech, Regulatory Arbitrage, '!C:C,"")</f>
        <v/>
      </c>
    </row>
    <row r="3557">
      <c r="A3557" s="1" t="s">
        <v>3576</v>
      </c>
      <c r="B3557" s="2">
        <v>11.0</v>
      </c>
      <c r="C3557" s="4"/>
      <c r="E3557" s="4" t="str">
        <f t="array" ref="E3557">XLOOKUP(A3557,'Fintech, Regulatory Arbitrage, '!A:A,'Fintech, Regulatory Arbitrage, '!C:C,"")</f>
        <v/>
      </c>
    </row>
    <row r="3558">
      <c r="A3558" s="1" t="s">
        <v>3577</v>
      </c>
      <c r="B3558" s="2">
        <v>11.0</v>
      </c>
      <c r="C3558" s="4"/>
      <c r="E3558" s="4" t="str">
        <f t="array" ref="E3558">XLOOKUP(A3558,'Fintech, Regulatory Arbitrage, '!A:A,'Fintech, Regulatory Arbitrage, '!C:C,"")</f>
        <v/>
      </c>
    </row>
    <row r="3559">
      <c r="A3559" s="1" t="s">
        <v>3578</v>
      </c>
      <c r="B3559" s="2">
        <v>11.0</v>
      </c>
      <c r="C3559" s="4"/>
      <c r="E3559" s="4" t="str">
        <f t="array" ref="E3559">XLOOKUP(A3559,'Fintech, Regulatory Arbitrage, '!A:A,'Fintech, Regulatory Arbitrage, '!C:C,"")</f>
        <v/>
      </c>
    </row>
    <row r="3560">
      <c r="A3560" s="1" t="s">
        <v>3579</v>
      </c>
      <c r="B3560" s="2">
        <v>11.0</v>
      </c>
      <c r="C3560" s="4"/>
      <c r="E3560" s="4" t="str">
        <f t="array" ref="E3560">XLOOKUP(A3560,'Fintech, Regulatory Arbitrage, '!A:A,'Fintech, Regulatory Arbitrage, '!C:C,"")</f>
        <v/>
      </c>
    </row>
    <row r="3561">
      <c r="A3561" s="1" t="s">
        <v>3580</v>
      </c>
      <c r="B3561" s="2">
        <v>11.0</v>
      </c>
      <c r="C3561" s="4"/>
      <c r="E3561" s="4" t="str">
        <f t="array" ref="E3561">XLOOKUP(A3561,'Fintech, Regulatory Arbitrage, '!A:A,'Fintech, Regulatory Arbitrage, '!C:C,"")</f>
        <v/>
      </c>
    </row>
    <row r="3562">
      <c r="A3562" s="1" t="s">
        <v>3581</v>
      </c>
      <c r="B3562" s="2">
        <v>11.0</v>
      </c>
      <c r="C3562" s="4"/>
      <c r="E3562" s="4" t="str">
        <f t="array" ref="E3562">XLOOKUP(A3562,'Fintech, Regulatory Arbitrage, '!A:A,'Fintech, Regulatory Arbitrage, '!C:C,"")</f>
        <v/>
      </c>
    </row>
    <row r="3563">
      <c r="A3563" s="1" t="s">
        <v>3582</v>
      </c>
      <c r="B3563" s="2">
        <v>11.0</v>
      </c>
      <c r="C3563" s="4"/>
      <c r="E3563" s="4" t="str">
        <f t="array" ref="E3563">XLOOKUP(A3563,'Fintech, Regulatory Arbitrage, '!A:A,'Fintech, Regulatory Arbitrage, '!C:C,"")</f>
        <v/>
      </c>
    </row>
    <row r="3564">
      <c r="A3564" s="1" t="s">
        <v>3583</v>
      </c>
      <c r="B3564" s="2">
        <v>11.0</v>
      </c>
      <c r="C3564" s="4"/>
      <c r="E3564" s="4" t="str">
        <f t="array" ref="E3564">XLOOKUP(A3564,'Fintech, Regulatory Arbitrage, '!A:A,'Fintech, Regulatory Arbitrage, '!C:C,"")</f>
        <v/>
      </c>
    </row>
    <row r="3565">
      <c r="A3565" s="1" t="s">
        <v>3584</v>
      </c>
      <c r="B3565" s="2">
        <v>11.0</v>
      </c>
      <c r="C3565" s="4"/>
      <c r="E3565" s="4" t="str">
        <f t="array" ref="E3565">XLOOKUP(A3565,'Fintech, Regulatory Arbitrage, '!A:A,'Fintech, Regulatory Arbitrage, '!C:C,"")</f>
        <v/>
      </c>
    </row>
    <row r="3566">
      <c r="A3566" s="1" t="s">
        <v>3585</v>
      </c>
      <c r="B3566" s="2">
        <v>11.0</v>
      </c>
      <c r="C3566" s="4"/>
      <c r="E3566" s="4" t="str">
        <f t="array" ref="E3566">XLOOKUP(A3566,'Fintech, Regulatory Arbitrage, '!A:A,'Fintech, Regulatory Arbitrage, '!C:C,"")</f>
        <v/>
      </c>
    </row>
    <row r="3567">
      <c r="A3567" s="1" t="s">
        <v>3586</v>
      </c>
      <c r="B3567" s="2">
        <v>11.0</v>
      </c>
      <c r="C3567" s="4"/>
      <c r="E3567" s="4" t="str">
        <f t="array" ref="E3567">XLOOKUP(A3567,'Fintech, Regulatory Arbitrage, '!A:A,'Fintech, Regulatory Arbitrage, '!C:C,"")</f>
        <v/>
      </c>
    </row>
    <row r="3568">
      <c r="A3568" s="1" t="s">
        <v>3587</v>
      </c>
      <c r="B3568" s="2">
        <v>11.0</v>
      </c>
      <c r="C3568" s="4"/>
      <c r="E3568" s="4" t="str">
        <f t="array" ref="E3568">XLOOKUP(A3568,'Fintech, Regulatory Arbitrage, '!A:A,'Fintech, Regulatory Arbitrage, '!C:C,"")</f>
        <v/>
      </c>
    </row>
    <row r="3569">
      <c r="A3569" s="1" t="s">
        <v>3588</v>
      </c>
      <c r="B3569" s="2">
        <v>11.0</v>
      </c>
      <c r="C3569" s="4"/>
      <c r="E3569" s="4" t="str">
        <f t="array" ref="E3569">XLOOKUP(A3569,'Fintech, Regulatory Arbitrage, '!A:A,'Fintech, Regulatory Arbitrage, '!C:C,"")</f>
        <v/>
      </c>
    </row>
    <row r="3570">
      <c r="A3570" s="1" t="s">
        <v>3589</v>
      </c>
      <c r="B3570" s="2">
        <v>11.0</v>
      </c>
      <c r="C3570" s="4"/>
      <c r="E3570" s="4" t="str">
        <f t="array" ref="E3570">XLOOKUP(A3570,'Fintech, Regulatory Arbitrage, '!A:A,'Fintech, Regulatory Arbitrage, '!C:C,"")</f>
        <v/>
      </c>
    </row>
    <row r="3571">
      <c r="A3571" s="1" t="s">
        <v>3590</v>
      </c>
      <c r="B3571" s="2">
        <v>11.0</v>
      </c>
      <c r="C3571" s="4"/>
      <c r="E3571" s="4" t="str">
        <f t="array" ref="E3571">XLOOKUP(A3571,'Fintech, Regulatory Arbitrage, '!A:A,'Fintech, Regulatory Arbitrage, '!C:C,"")</f>
        <v/>
      </c>
    </row>
    <row r="3572">
      <c r="A3572" s="1" t="s">
        <v>3591</v>
      </c>
      <c r="B3572" s="2">
        <v>11.0</v>
      </c>
      <c r="C3572" s="4"/>
      <c r="E3572" s="4" t="str">
        <f t="array" ref="E3572">XLOOKUP(A3572,'Fintech, Regulatory Arbitrage, '!A:A,'Fintech, Regulatory Arbitrage, '!C:C,"")</f>
        <v/>
      </c>
    </row>
    <row r="3573">
      <c r="A3573" s="1" t="s">
        <v>3592</v>
      </c>
      <c r="B3573" s="2">
        <v>11.0</v>
      </c>
      <c r="C3573" s="4"/>
      <c r="E3573" s="4" t="str">
        <f t="array" ref="E3573">XLOOKUP(A3573,'Fintech, Regulatory Arbitrage, '!A:A,'Fintech, Regulatory Arbitrage, '!C:C,"")</f>
        <v/>
      </c>
    </row>
    <row r="3574">
      <c r="A3574" s="1" t="s">
        <v>3593</v>
      </c>
      <c r="B3574" s="2">
        <v>11.0</v>
      </c>
      <c r="C3574" s="4"/>
      <c r="E3574" s="4" t="str">
        <f t="array" ref="E3574">XLOOKUP(A3574,'Fintech, Regulatory Arbitrage, '!A:A,'Fintech, Regulatory Arbitrage, '!C:C,"")</f>
        <v/>
      </c>
    </row>
    <row r="3575">
      <c r="A3575" s="1" t="s">
        <v>3594</v>
      </c>
      <c r="B3575" s="2">
        <v>11.0</v>
      </c>
      <c r="C3575" s="4"/>
      <c r="E3575" s="4" t="str">
        <f t="array" ref="E3575">XLOOKUP(A3575,'Fintech, Regulatory Arbitrage, '!A:A,'Fintech, Regulatory Arbitrage, '!C:C,"")</f>
        <v/>
      </c>
    </row>
    <row r="3576">
      <c r="A3576" s="1" t="s">
        <v>3595</v>
      </c>
      <c r="B3576" s="2">
        <v>11.0</v>
      </c>
      <c r="C3576" s="4"/>
      <c r="E3576" s="4" t="str">
        <f t="array" ref="E3576">XLOOKUP(A3576,'Fintech, Regulatory Arbitrage, '!A:A,'Fintech, Regulatory Arbitrage, '!C:C,"")</f>
        <v/>
      </c>
    </row>
    <row r="3577">
      <c r="A3577" s="1" t="s">
        <v>3596</v>
      </c>
      <c r="B3577" s="2">
        <v>11.0</v>
      </c>
      <c r="C3577" s="4"/>
      <c r="E3577" s="4" t="str">
        <f t="array" ref="E3577">XLOOKUP(A3577,'Fintech, Regulatory Arbitrage, '!A:A,'Fintech, Regulatory Arbitrage, '!C:C,"")</f>
        <v/>
      </c>
    </row>
    <row r="3578">
      <c r="A3578" s="1" t="s">
        <v>3597</v>
      </c>
      <c r="B3578" s="2">
        <v>11.0</v>
      </c>
      <c r="C3578" s="4"/>
      <c r="E3578" s="4" t="str">
        <f t="array" ref="E3578">XLOOKUP(A3578,'Fintech, Regulatory Arbitrage, '!A:A,'Fintech, Regulatory Arbitrage, '!C:C,"")</f>
        <v/>
      </c>
    </row>
    <row r="3579">
      <c r="A3579" s="1" t="s">
        <v>3598</v>
      </c>
      <c r="B3579" s="2">
        <v>11.0</v>
      </c>
      <c r="C3579" s="4"/>
      <c r="E3579" s="4" t="str">
        <f t="array" ref="E3579">XLOOKUP(A3579,'Fintech, Regulatory Arbitrage, '!A:A,'Fintech, Regulatory Arbitrage, '!C:C,"")</f>
        <v/>
      </c>
    </row>
    <row r="3580">
      <c r="A3580" s="1" t="s">
        <v>3599</v>
      </c>
      <c r="B3580" s="2">
        <v>11.0</v>
      </c>
      <c r="C3580" s="4"/>
      <c r="E3580" s="4" t="str">
        <f t="array" ref="E3580">XLOOKUP(A3580,'Fintech, Regulatory Arbitrage, '!A:A,'Fintech, Regulatory Arbitrage, '!C:C,"")</f>
        <v/>
      </c>
    </row>
    <row r="3581">
      <c r="A3581" s="1" t="s">
        <v>3600</v>
      </c>
      <c r="B3581" s="2">
        <v>11.0</v>
      </c>
      <c r="C3581" s="4"/>
      <c r="E3581" s="4" t="str">
        <f t="array" ref="E3581">XLOOKUP(A3581,'Fintech, Regulatory Arbitrage, '!A:A,'Fintech, Regulatory Arbitrage, '!C:C,"")</f>
        <v/>
      </c>
    </row>
    <row r="3582">
      <c r="A3582" s="1" t="s">
        <v>3601</v>
      </c>
      <c r="B3582" s="2">
        <v>11.0</v>
      </c>
      <c r="C3582" s="4"/>
      <c r="E3582" s="4" t="str">
        <f t="array" ref="E3582">XLOOKUP(A3582,'Fintech, Regulatory Arbitrage, '!A:A,'Fintech, Regulatory Arbitrage, '!C:C,"")</f>
        <v/>
      </c>
    </row>
    <row r="3583">
      <c r="A3583" s="1" t="s">
        <v>3602</v>
      </c>
      <c r="B3583" s="2">
        <v>11.0</v>
      </c>
      <c r="C3583" s="4"/>
      <c r="E3583" s="4" t="str">
        <f t="array" ref="E3583">XLOOKUP(A3583,'Fintech, Regulatory Arbitrage, '!A:A,'Fintech, Regulatory Arbitrage, '!C:C,"")</f>
        <v/>
      </c>
    </row>
    <row r="3584">
      <c r="A3584" s="1" t="s">
        <v>3603</v>
      </c>
      <c r="B3584" s="2">
        <v>11.0</v>
      </c>
      <c r="C3584" s="4"/>
      <c r="E3584" s="4" t="str">
        <f t="array" ref="E3584">XLOOKUP(A3584,'Fintech, Regulatory Arbitrage, '!A:A,'Fintech, Regulatory Arbitrage, '!C:C,"")</f>
        <v/>
      </c>
    </row>
    <row r="3585">
      <c r="A3585" s="1" t="s">
        <v>3604</v>
      </c>
      <c r="B3585" s="2">
        <v>11.0</v>
      </c>
      <c r="C3585" s="4"/>
      <c r="E3585" s="4" t="str">
        <f t="array" ref="E3585">XLOOKUP(A3585,'Fintech, Regulatory Arbitrage, '!A:A,'Fintech, Regulatory Arbitrage, '!C:C,"")</f>
        <v/>
      </c>
    </row>
    <row r="3586">
      <c r="A3586" s="1" t="s">
        <v>3605</v>
      </c>
      <c r="B3586" s="2">
        <v>11.0</v>
      </c>
      <c r="C3586" s="4"/>
      <c r="E3586" s="4" t="str">
        <f t="array" ref="E3586">XLOOKUP(A3586,'Fintech, Regulatory Arbitrage, '!A:A,'Fintech, Regulatory Arbitrage, '!C:C,"")</f>
        <v/>
      </c>
    </row>
    <row r="3587">
      <c r="A3587" s="1" t="s">
        <v>3606</v>
      </c>
      <c r="B3587" s="2">
        <v>11.0</v>
      </c>
      <c r="C3587" s="4"/>
      <c r="E3587" s="4" t="str">
        <f t="array" ref="E3587">XLOOKUP(A3587,'Fintech, Regulatory Arbitrage, '!A:A,'Fintech, Regulatory Arbitrage, '!C:C,"")</f>
        <v/>
      </c>
    </row>
    <row r="3588">
      <c r="A3588" s="1" t="s">
        <v>3607</v>
      </c>
      <c r="B3588" s="2">
        <v>11.0</v>
      </c>
      <c r="C3588" s="4"/>
      <c r="E3588" s="4" t="str">
        <f t="array" ref="E3588">XLOOKUP(A3588,'Fintech, Regulatory Arbitrage, '!A:A,'Fintech, Regulatory Arbitrage, '!C:C,"")</f>
        <v/>
      </c>
    </row>
    <row r="3589">
      <c r="A3589" s="1" t="s">
        <v>3608</v>
      </c>
      <c r="B3589" s="2">
        <v>11.0</v>
      </c>
      <c r="C3589" s="4"/>
      <c r="E3589" s="4" t="str">
        <f t="array" ref="E3589">XLOOKUP(A3589,'Fintech, Regulatory Arbitrage, '!A:A,'Fintech, Regulatory Arbitrage, '!C:C,"")</f>
        <v/>
      </c>
    </row>
    <row r="3590">
      <c r="A3590" s="1" t="s">
        <v>3609</v>
      </c>
      <c r="B3590" s="2">
        <v>11.0</v>
      </c>
      <c r="C3590" s="4"/>
      <c r="E3590" s="4" t="str">
        <f t="array" ref="E3590">XLOOKUP(A3590,'Fintech, Regulatory Arbitrage, '!A:A,'Fintech, Regulatory Arbitrage, '!C:C,"")</f>
        <v/>
      </c>
    </row>
    <row r="3591">
      <c r="A3591" s="1" t="s">
        <v>3610</v>
      </c>
      <c r="B3591" s="2">
        <v>11.0</v>
      </c>
      <c r="C3591" s="4"/>
      <c r="E3591" s="4" t="str">
        <f t="array" ref="E3591">XLOOKUP(A3591,'Fintech, Regulatory Arbitrage, '!A:A,'Fintech, Regulatory Arbitrage, '!C:C,"")</f>
        <v/>
      </c>
    </row>
    <row r="3592">
      <c r="A3592" s="1" t="s">
        <v>3611</v>
      </c>
      <c r="B3592" s="2">
        <v>11.0</v>
      </c>
      <c r="C3592" s="4"/>
      <c r="E3592" s="4" t="str">
        <f t="array" ref="E3592">XLOOKUP(A3592,'Fintech, Regulatory Arbitrage, '!A:A,'Fintech, Regulatory Arbitrage, '!C:C,"")</f>
        <v/>
      </c>
    </row>
    <row r="3593">
      <c r="A3593" s="1" t="s">
        <v>3612</v>
      </c>
      <c r="B3593" s="2">
        <v>11.0</v>
      </c>
      <c r="C3593" s="4"/>
      <c r="E3593" s="4" t="str">
        <f t="array" ref="E3593">XLOOKUP(A3593,'Fintech, Regulatory Arbitrage, '!A:A,'Fintech, Regulatory Arbitrage, '!C:C,"")</f>
        <v/>
      </c>
    </row>
    <row r="3594">
      <c r="A3594" s="1" t="s">
        <v>3613</v>
      </c>
      <c r="B3594" s="2">
        <v>11.0</v>
      </c>
      <c r="C3594" s="4"/>
      <c r="E3594" s="4" t="str">
        <f t="array" ref="E3594">XLOOKUP(A3594,'Fintech, Regulatory Arbitrage, '!A:A,'Fintech, Regulatory Arbitrage, '!C:C,"")</f>
        <v/>
      </c>
    </row>
    <row r="3595">
      <c r="A3595" s="1" t="s">
        <v>3614</v>
      </c>
      <c r="B3595" s="2">
        <v>11.0</v>
      </c>
      <c r="C3595" s="4"/>
      <c r="E3595" s="4" t="str">
        <f t="array" ref="E3595">XLOOKUP(A3595,'Fintech, Regulatory Arbitrage, '!A:A,'Fintech, Regulatory Arbitrage, '!C:C,"")</f>
        <v/>
      </c>
    </row>
    <row r="3596">
      <c r="A3596" s="1" t="s">
        <v>3615</v>
      </c>
      <c r="B3596" s="2">
        <v>11.0</v>
      </c>
      <c r="C3596" s="4"/>
      <c r="E3596" s="4" t="str">
        <f t="array" ref="E3596">XLOOKUP(A3596,'Fintech, Regulatory Arbitrage, '!A:A,'Fintech, Regulatory Arbitrage, '!C:C,"")</f>
        <v/>
      </c>
    </row>
    <row r="3597">
      <c r="A3597" s="1" t="s">
        <v>3616</v>
      </c>
      <c r="B3597" s="2">
        <v>11.0</v>
      </c>
      <c r="C3597" s="4"/>
      <c r="E3597" s="4" t="str">
        <f t="array" ref="E3597">XLOOKUP(A3597,'Fintech, Regulatory Arbitrage, '!A:A,'Fintech, Regulatory Arbitrage, '!C:C,"")</f>
        <v/>
      </c>
    </row>
    <row r="3598">
      <c r="A3598" s="1" t="s">
        <v>3617</v>
      </c>
      <c r="B3598" s="2">
        <v>11.0</v>
      </c>
      <c r="C3598" s="4"/>
      <c r="E3598" s="4" t="str">
        <f t="array" ref="E3598">XLOOKUP(A3598,'Fintech, Regulatory Arbitrage, '!A:A,'Fintech, Regulatory Arbitrage, '!C:C,"")</f>
        <v/>
      </c>
    </row>
    <row r="3599">
      <c r="A3599" s="1" t="s">
        <v>3618</v>
      </c>
      <c r="B3599" s="2">
        <v>11.0</v>
      </c>
      <c r="C3599" s="4"/>
      <c r="E3599" s="4" t="str">
        <f t="array" ref="E3599">XLOOKUP(A3599,'Fintech, Regulatory Arbitrage, '!A:A,'Fintech, Regulatory Arbitrage, '!C:C,"")</f>
        <v/>
      </c>
    </row>
    <row r="3600">
      <c r="A3600" s="1" t="s">
        <v>3619</v>
      </c>
      <c r="B3600" s="2">
        <v>11.0</v>
      </c>
      <c r="C3600" s="4"/>
      <c r="E3600" s="4" t="str">
        <f t="array" ref="E3600">XLOOKUP(A3600,'Fintech, Regulatory Arbitrage, '!A:A,'Fintech, Regulatory Arbitrage, '!C:C,"")</f>
        <v/>
      </c>
    </row>
    <row r="3601">
      <c r="A3601" s="1" t="s">
        <v>3620</v>
      </c>
      <c r="B3601" s="2">
        <v>11.0</v>
      </c>
      <c r="C3601" s="4"/>
      <c r="E3601" s="4" t="str">
        <f t="array" ref="E3601">XLOOKUP(A3601,'Fintech, Regulatory Arbitrage, '!A:A,'Fintech, Regulatory Arbitrage, '!C:C,"")</f>
        <v/>
      </c>
    </row>
    <row r="3602">
      <c r="A3602" s="1" t="s">
        <v>3621</v>
      </c>
      <c r="B3602" s="2">
        <v>11.0</v>
      </c>
      <c r="C3602" s="4"/>
      <c r="E3602" s="4" t="str">
        <f t="array" ref="E3602">XLOOKUP(A3602,'Fintech, Regulatory Arbitrage, '!A:A,'Fintech, Regulatory Arbitrage, '!C:C,"")</f>
        <v/>
      </c>
    </row>
    <row r="3603">
      <c r="A3603" s="1" t="s">
        <v>3622</v>
      </c>
      <c r="B3603" s="2">
        <v>11.0</v>
      </c>
      <c r="C3603" s="4"/>
      <c r="E3603" s="4" t="str">
        <f t="array" ref="E3603">XLOOKUP(A3603,'Fintech, Regulatory Arbitrage, '!A:A,'Fintech, Regulatory Arbitrage, '!C:C,"")</f>
        <v/>
      </c>
    </row>
    <row r="3604">
      <c r="A3604" s="1" t="s">
        <v>3623</v>
      </c>
      <c r="B3604" s="2">
        <v>11.0</v>
      </c>
      <c r="C3604" s="4"/>
      <c r="E3604" s="4" t="str">
        <f t="array" ref="E3604">XLOOKUP(A3604,'Fintech, Regulatory Arbitrage, '!A:A,'Fintech, Regulatory Arbitrage, '!C:C,"")</f>
        <v/>
      </c>
    </row>
    <row r="3605">
      <c r="A3605" s="1" t="s">
        <v>3624</v>
      </c>
      <c r="B3605" s="2">
        <v>11.0</v>
      </c>
      <c r="C3605" s="4"/>
      <c r="E3605" s="4" t="str">
        <f t="array" ref="E3605">XLOOKUP(A3605,'Fintech, Regulatory Arbitrage, '!A:A,'Fintech, Regulatory Arbitrage, '!C:C,"")</f>
        <v/>
      </c>
    </row>
    <row r="3606">
      <c r="A3606" s="1" t="s">
        <v>3625</v>
      </c>
      <c r="B3606" s="2">
        <v>11.0</v>
      </c>
      <c r="C3606" s="4"/>
      <c r="E3606" s="4" t="str">
        <f t="array" ref="E3606">XLOOKUP(A3606,'Fintech, Regulatory Arbitrage, '!A:A,'Fintech, Regulatory Arbitrage, '!C:C,"")</f>
        <v/>
      </c>
    </row>
    <row r="3607">
      <c r="A3607" s="1" t="s">
        <v>3626</v>
      </c>
      <c r="B3607" s="2">
        <v>11.0</v>
      </c>
      <c r="C3607" s="4"/>
      <c r="E3607" s="4" t="str">
        <f t="array" ref="E3607">XLOOKUP(A3607,'Fintech, Regulatory Arbitrage, '!A:A,'Fintech, Regulatory Arbitrage, '!C:C,"")</f>
        <v/>
      </c>
    </row>
    <row r="3608">
      <c r="A3608" s="1" t="s">
        <v>3627</v>
      </c>
      <c r="B3608" s="2">
        <v>11.0</v>
      </c>
      <c r="C3608" s="4"/>
      <c r="E3608" s="4" t="str">
        <f t="array" ref="E3608">XLOOKUP(A3608,'Fintech, Regulatory Arbitrage, '!A:A,'Fintech, Regulatory Arbitrage, '!C:C,"")</f>
        <v/>
      </c>
    </row>
    <row r="3609">
      <c r="A3609" s="1" t="s">
        <v>3628</v>
      </c>
      <c r="B3609" s="2">
        <v>11.0</v>
      </c>
      <c r="C3609" s="4"/>
      <c r="E3609" s="4" t="str">
        <f t="array" ref="E3609">XLOOKUP(A3609,'Fintech, Regulatory Arbitrage, '!A:A,'Fintech, Regulatory Arbitrage, '!C:C,"")</f>
        <v/>
      </c>
    </row>
    <row r="3610">
      <c r="A3610" s="1" t="s">
        <v>3629</v>
      </c>
      <c r="B3610" s="2">
        <v>11.0</v>
      </c>
      <c r="C3610" s="4"/>
      <c r="E3610" s="4" t="str">
        <f t="array" ref="E3610">XLOOKUP(A3610,'Fintech, Regulatory Arbitrage, '!A:A,'Fintech, Regulatory Arbitrage, '!C:C,"")</f>
        <v/>
      </c>
    </row>
    <row r="3611">
      <c r="A3611" s="1" t="s">
        <v>3630</v>
      </c>
      <c r="B3611" s="2">
        <v>11.0</v>
      </c>
      <c r="C3611" s="4"/>
      <c r="E3611" s="4" t="str">
        <f t="array" ref="E3611">XLOOKUP(A3611,'Fintech, Regulatory Arbitrage, '!A:A,'Fintech, Regulatory Arbitrage, '!C:C,"")</f>
        <v/>
      </c>
    </row>
    <row r="3612">
      <c r="A3612" s="1" t="s">
        <v>3631</v>
      </c>
      <c r="B3612" s="2">
        <v>11.0</v>
      </c>
      <c r="C3612" s="4"/>
      <c r="E3612" s="4" t="str">
        <f t="array" ref="E3612">XLOOKUP(A3612,'Fintech, Regulatory Arbitrage, '!A:A,'Fintech, Regulatory Arbitrage, '!C:C,"")</f>
        <v/>
      </c>
    </row>
    <row r="3613">
      <c r="A3613" s="1" t="s">
        <v>3632</v>
      </c>
      <c r="B3613" s="2">
        <v>11.0</v>
      </c>
      <c r="C3613" s="4"/>
      <c r="E3613" s="4" t="str">
        <f t="array" ref="E3613">XLOOKUP(A3613,'Fintech, Regulatory Arbitrage, '!A:A,'Fintech, Regulatory Arbitrage, '!C:C,"")</f>
        <v/>
      </c>
    </row>
    <row r="3614">
      <c r="A3614" s="1" t="s">
        <v>3633</v>
      </c>
      <c r="B3614" s="2">
        <v>11.0</v>
      </c>
      <c r="C3614" s="4"/>
      <c r="E3614" s="4" t="str">
        <f t="array" ref="E3614">XLOOKUP(A3614,'Fintech, Regulatory Arbitrage, '!A:A,'Fintech, Regulatory Arbitrage, '!C:C,"")</f>
        <v/>
      </c>
    </row>
    <row r="3615">
      <c r="A3615" s="1" t="s">
        <v>3634</v>
      </c>
      <c r="B3615" s="2">
        <v>11.0</v>
      </c>
      <c r="C3615" s="4"/>
      <c r="E3615" s="4" t="str">
        <f t="array" ref="E3615">XLOOKUP(A3615,'Fintech, Regulatory Arbitrage, '!A:A,'Fintech, Regulatory Arbitrage, '!C:C,"")</f>
        <v/>
      </c>
    </row>
    <row r="3616">
      <c r="A3616" s="1" t="s">
        <v>3635</v>
      </c>
      <c r="B3616" s="2">
        <v>11.0</v>
      </c>
      <c r="C3616" s="4"/>
      <c r="E3616" s="4" t="str">
        <f t="array" ref="E3616">XLOOKUP(A3616,'Fintech, Regulatory Arbitrage, '!A:A,'Fintech, Regulatory Arbitrage, '!C:C,"")</f>
        <v/>
      </c>
    </row>
    <row r="3617">
      <c r="A3617" s="1" t="s">
        <v>3636</v>
      </c>
      <c r="B3617" s="2">
        <v>11.0</v>
      </c>
      <c r="C3617" s="4"/>
      <c r="E3617" s="4" t="str">
        <f t="array" ref="E3617">XLOOKUP(A3617,'Fintech, Regulatory Arbitrage, '!A:A,'Fintech, Regulatory Arbitrage, '!C:C,"")</f>
        <v/>
      </c>
    </row>
    <row r="3618">
      <c r="A3618" s="1" t="s">
        <v>3637</v>
      </c>
      <c r="B3618" s="2">
        <v>11.0</v>
      </c>
      <c r="C3618" s="4"/>
      <c r="E3618" s="4" t="str">
        <f t="array" ref="E3618">XLOOKUP(A3618,'Fintech, Regulatory Arbitrage, '!A:A,'Fintech, Regulatory Arbitrage, '!C:C,"")</f>
        <v/>
      </c>
    </row>
    <row r="3619">
      <c r="A3619" s="1" t="s">
        <v>3638</v>
      </c>
      <c r="B3619" s="2">
        <v>11.0</v>
      </c>
      <c r="C3619" s="4"/>
      <c r="E3619" s="4" t="str">
        <f t="array" ref="E3619">XLOOKUP(A3619,'Fintech, Regulatory Arbitrage, '!A:A,'Fintech, Regulatory Arbitrage, '!C:C,"")</f>
        <v/>
      </c>
    </row>
    <row r="3620">
      <c r="A3620" s="1" t="s">
        <v>3639</v>
      </c>
      <c r="B3620" s="2">
        <v>11.0</v>
      </c>
      <c r="C3620" s="4"/>
      <c r="E3620" s="4" t="str">
        <f t="array" ref="E3620">XLOOKUP(A3620,'Fintech, Regulatory Arbitrage, '!A:A,'Fintech, Regulatory Arbitrage, '!C:C,"")</f>
        <v/>
      </c>
    </row>
    <row r="3621">
      <c r="A3621" s="1" t="s">
        <v>3640</v>
      </c>
      <c r="B3621" s="2">
        <v>11.0</v>
      </c>
      <c r="C3621" s="4"/>
      <c r="E3621" s="4" t="str">
        <f t="array" ref="E3621">XLOOKUP(A3621,'Fintech, Regulatory Arbitrage, '!A:A,'Fintech, Regulatory Arbitrage, '!C:C,"")</f>
        <v/>
      </c>
    </row>
    <row r="3622">
      <c r="A3622" s="1" t="s">
        <v>3641</v>
      </c>
      <c r="B3622" s="2">
        <v>11.0</v>
      </c>
      <c r="C3622" s="4"/>
      <c r="E3622" s="4" t="str">
        <f t="array" ref="E3622">XLOOKUP(A3622,'Fintech, Regulatory Arbitrage, '!A:A,'Fintech, Regulatory Arbitrage, '!C:C,"")</f>
        <v/>
      </c>
    </row>
    <row r="3623">
      <c r="A3623" s="1" t="s">
        <v>3642</v>
      </c>
      <c r="B3623" s="2">
        <v>11.0</v>
      </c>
      <c r="C3623" s="4"/>
      <c r="E3623" s="4" t="str">
        <f t="array" ref="E3623">XLOOKUP(A3623,'Fintech, Regulatory Arbitrage, '!A:A,'Fintech, Regulatory Arbitrage, '!C:C,"")</f>
        <v/>
      </c>
    </row>
    <row r="3624">
      <c r="A3624" s="1" t="s">
        <v>3643</v>
      </c>
      <c r="B3624" s="2">
        <v>10.0</v>
      </c>
      <c r="C3624" s="4"/>
      <c r="E3624" s="4" t="str">
        <f t="array" ref="E3624">XLOOKUP(A3624,'Fintech, Regulatory Arbitrage, '!A:A,'Fintech, Regulatory Arbitrage, '!C:C,"")</f>
        <v/>
      </c>
    </row>
    <row r="3625">
      <c r="A3625" s="1" t="s">
        <v>3644</v>
      </c>
      <c r="B3625" s="2">
        <v>10.0</v>
      </c>
      <c r="C3625" s="4"/>
      <c r="E3625" s="4" t="str">
        <f t="array" ref="E3625">XLOOKUP(A3625,'Fintech, Regulatory Arbitrage, '!A:A,'Fintech, Regulatory Arbitrage, '!C:C,"")</f>
        <v/>
      </c>
    </row>
    <row r="3626">
      <c r="A3626" s="1" t="s">
        <v>3645</v>
      </c>
      <c r="B3626" s="2">
        <v>10.0</v>
      </c>
      <c r="C3626" s="4"/>
      <c r="E3626" s="4" t="str">
        <f t="array" ref="E3626">XLOOKUP(A3626,'Fintech, Regulatory Arbitrage, '!A:A,'Fintech, Regulatory Arbitrage, '!C:C,"")</f>
        <v/>
      </c>
    </row>
    <row r="3627">
      <c r="A3627" s="1" t="s">
        <v>3646</v>
      </c>
      <c r="B3627" s="2">
        <v>10.0</v>
      </c>
      <c r="C3627" s="4"/>
      <c r="E3627" s="4" t="str">
        <f t="array" ref="E3627">XLOOKUP(A3627,'Fintech, Regulatory Arbitrage, '!A:A,'Fintech, Regulatory Arbitrage, '!C:C,"")</f>
        <v/>
      </c>
    </row>
    <row r="3628">
      <c r="A3628" s="1" t="s">
        <v>3647</v>
      </c>
      <c r="B3628" s="2">
        <v>10.0</v>
      </c>
      <c r="C3628" s="4"/>
      <c r="E3628" s="4" t="str">
        <f t="array" ref="E3628">XLOOKUP(A3628,'Fintech, Regulatory Arbitrage, '!A:A,'Fintech, Regulatory Arbitrage, '!C:C,"")</f>
        <v/>
      </c>
    </row>
    <row r="3629">
      <c r="A3629" s="1" t="s">
        <v>3648</v>
      </c>
      <c r="B3629" s="2">
        <v>10.0</v>
      </c>
      <c r="C3629" s="4"/>
      <c r="E3629" s="4" t="str">
        <f t="array" ref="E3629">XLOOKUP(A3629,'Fintech, Regulatory Arbitrage, '!A:A,'Fintech, Regulatory Arbitrage, '!C:C,"")</f>
        <v/>
      </c>
    </row>
    <row r="3630">
      <c r="A3630" s="1" t="s">
        <v>3649</v>
      </c>
      <c r="B3630" s="2">
        <v>10.0</v>
      </c>
      <c r="C3630" s="4"/>
      <c r="E3630" s="4" t="str">
        <f t="array" ref="E3630">XLOOKUP(A3630,'Fintech, Regulatory Arbitrage, '!A:A,'Fintech, Regulatory Arbitrage, '!C:C,"")</f>
        <v/>
      </c>
    </row>
    <row r="3631">
      <c r="A3631" s="1" t="s">
        <v>3650</v>
      </c>
      <c r="B3631" s="2">
        <v>10.0</v>
      </c>
      <c r="C3631" s="4"/>
      <c r="E3631" s="4" t="str">
        <f t="array" ref="E3631">XLOOKUP(A3631,'Fintech, Regulatory Arbitrage, '!A:A,'Fintech, Regulatory Arbitrage, '!C:C,"")</f>
        <v/>
      </c>
    </row>
    <row r="3632">
      <c r="A3632" s="1" t="s">
        <v>3651</v>
      </c>
      <c r="B3632" s="2">
        <v>10.0</v>
      </c>
      <c r="C3632" s="4"/>
      <c r="E3632" s="4" t="str">
        <f t="array" ref="E3632">XLOOKUP(A3632,'Fintech, Regulatory Arbitrage, '!A:A,'Fintech, Regulatory Arbitrage, '!C:C,"")</f>
        <v/>
      </c>
    </row>
    <row r="3633">
      <c r="A3633" s="1" t="s">
        <v>3652</v>
      </c>
      <c r="B3633" s="2">
        <v>10.0</v>
      </c>
      <c r="C3633" s="4"/>
      <c r="E3633" s="4" t="str">
        <f t="array" ref="E3633">XLOOKUP(A3633,'Fintech, Regulatory Arbitrage, '!A:A,'Fintech, Regulatory Arbitrage, '!C:C,"")</f>
        <v/>
      </c>
    </row>
    <row r="3634">
      <c r="A3634" s="1" t="s">
        <v>3653</v>
      </c>
      <c r="B3634" s="2">
        <v>10.0</v>
      </c>
      <c r="C3634" s="4"/>
      <c r="E3634" s="4" t="str">
        <f t="array" ref="E3634">XLOOKUP(A3634,'Fintech, Regulatory Arbitrage, '!A:A,'Fintech, Regulatory Arbitrage, '!C:C,"")</f>
        <v/>
      </c>
    </row>
    <row r="3635">
      <c r="A3635" s="1" t="s">
        <v>3654</v>
      </c>
      <c r="B3635" s="2">
        <v>10.0</v>
      </c>
      <c r="C3635" s="4"/>
      <c r="E3635" s="4" t="str">
        <f t="array" ref="E3635">XLOOKUP(A3635,'Fintech, Regulatory Arbitrage, '!A:A,'Fintech, Regulatory Arbitrage, '!C:C,"")</f>
        <v/>
      </c>
    </row>
    <row r="3636">
      <c r="A3636" s="1" t="s">
        <v>3655</v>
      </c>
      <c r="B3636" s="2">
        <v>10.0</v>
      </c>
      <c r="C3636" s="4"/>
      <c r="E3636" s="4" t="str">
        <f t="array" ref="E3636">XLOOKUP(A3636,'Fintech, Regulatory Arbitrage, '!A:A,'Fintech, Regulatory Arbitrage, '!C:C,"")</f>
        <v/>
      </c>
    </row>
    <row r="3637">
      <c r="A3637" s="1" t="s">
        <v>3656</v>
      </c>
      <c r="B3637" s="2">
        <v>10.0</v>
      </c>
      <c r="C3637" s="4"/>
      <c r="E3637" s="4" t="str">
        <f t="array" ref="E3637">XLOOKUP(A3637,'Fintech, Regulatory Arbitrage, '!A:A,'Fintech, Regulatory Arbitrage, '!C:C,"")</f>
        <v/>
      </c>
    </row>
    <row r="3638">
      <c r="A3638" s="1" t="s">
        <v>3657</v>
      </c>
      <c r="B3638" s="2">
        <v>10.0</v>
      </c>
      <c r="C3638" s="4"/>
      <c r="E3638" s="4" t="str">
        <f t="array" ref="E3638">XLOOKUP(A3638,'Fintech, Regulatory Arbitrage, '!A:A,'Fintech, Regulatory Arbitrage, '!C:C,"")</f>
        <v/>
      </c>
    </row>
    <row r="3639">
      <c r="A3639" s="1" t="s">
        <v>3658</v>
      </c>
      <c r="B3639" s="2">
        <v>10.0</v>
      </c>
      <c r="C3639" s="4"/>
      <c r="E3639" s="4" t="str">
        <f t="array" ref="E3639">XLOOKUP(A3639,'Fintech, Regulatory Arbitrage, '!A:A,'Fintech, Regulatory Arbitrage, '!C:C,"")</f>
        <v/>
      </c>
    </row>
    <row r="3640">
      <c r="A3640" s="1" t="s">
        <v>3659</v>
      </c>
      <c r="B3640" s="2">
        <v>10.0</v>
      </c>
      <c r="C3640" s="4"/>
      <c r="E3640" s="4" t="str">
        <f t="array" ref="E3640">XLOOKUP(A3640,'Fintech, Regulatory Arbitrage, '!A:A,'Fintech, Regulatory Arbitrage, '!C:C,"")</f>
        <v/>
      </c>
    </row>
    <row r="3641">
      <c r="A3641" s="1" t="s">
        <v>3660</v>
      </c>
      <c r="B3641" s="2">
        <v>10.0</v>
      </c>
      <c r="C3641" s="4"/>
      <c r="E3641" s="4" t="str">
        <f t="array" ref="E3641">XLOOKUP(A3641,'Fintech, Regulatory Arbitrage, '!A:A,'Fintech, Regulatory Arbitrage, '!C:C,"")</f>
        <v/>
      </c>
    </row>
    <row r="3642">
      <c r="A3642" s="1" t="s">
        <v>3661</v>
      </c>
      <c r="B3642" s="2">
        <v>10.0</v>
      </c>
      <c r="C3642" s="4"/>
      <c r="E3642" s="4" t="str">
        <f t="array" ref="E3642">XLOOKUP(A3642,'Fintech, Regulatory Arbitrage, '!A:A,'Fintech, Regulatory Arbitrage, '!C:C,"")</f>
        <v/>
      </c>
    </row>
    <row r="3643">
      <c r="A3643" s="1" t="s">
        <v>3662</v>
      </c>
      <c r="B3643" s="2">
        <v>10.0</v>
      </c>
      <c r="C3643" s="4"/>
      <c r="E3643" s="4" t="str">
        <f t="array" ref="E3643">XLOOKUP(A3643,'Fintech, Regulatory Arbitrage, '!A:A,'Fintech, Regulatory Arbitrage, '!C:C,"")</f>
        <v/>
      </c>
    </row>
    <row r="3644">
      <c r="A3644" s="1" t="s">
        <v>3663</v>
      </c>
      <c r="B3644" s="2">
        <v>10.0</v>
      </c>
      <c r="C3644" s="4"/>
      <c r="E3644" s="4" t="str">
        <f t="array" ref="E3644">XLOOKUP(A3644,'Fintech, Regulatory Arbitrage, '!A:A,'Fintech, Regulatory Arbitrage, '!C:C,"")</f>
        <v/>
      </c>
    </row>
    <row r="3645">
      <c r="A3645" s="1" t="s">
        <v>3664</v>
      </c>
      <c r="B3645" s="2">
        <v>10.0</v>
      </c>
      <c r="C3645" s="4"/>
      <c r="E3645" s="4" t="str">
        <f t="array" ref="E3645">XLOOKUP(A3645,'Fintech, Regulatory Arbitrage, '!A:A,'Fintech, Regulatory Arbitrage, '!C:C,"")</f>
        <v/>
      </c>
    </row>
    <row r="3646">
      <c r="A3646" s="1" t="s">
        <v>3665</v>
      </c>
      <c r="B3646" s="2">
        <v>10.0</v>
      </c>
      <c r="C3646" s="4"/>
      <c r="E3646" s="4" t="str">
        <f t="array" ref="E3646">XLOOKUP(A3646,'Fintech, Regulatory Arbitrage, '!A:A,'Fintech, Regulatory Arbitrage, '!C:C,"")</f>
        <v/>
      </c>
    </row>
    <row r="3647">
      <c r="A3647" s="1" t="s">
        <v>3666</v>
      </c>
      <c r="B3647" s="2">
        <v>10.0</v>
      </c>
      <c r="C3647" s="4"/>
      <c r="E3647" s="4" t="str">
        <f t="array" ref="E3647">XLOOKUP(A3647,'Fintech, Regulatory Arbitrage, '!A:A,'Fintech, Regulatory Arbitrage, '!C:C,"")</f>
        <v/>
      </c>
    </row>
    <row r="3648">
      <c r="A3648" s="1" t="s">
        <v>3667</v>
      </c>
      <c r="B3648" s="2">
        <v>10.0</v>
      </c>
      <c r="C3648" s="4"/>
      <c r="E3648" s="4" t="str">
        <f t="array" ref="E3648">XLOOKUP(A3648,'Fintech, Regulatory Arbitrage, '!A:A,'Fintech, Regulatory Arbitrage, '!C:C,"")</f>
        <v/>
      </c>
    </row>
    <row r="3649">
      <c r="A3649" s="1" t="s">
        <v>3668</v>
      </c>
      <c r="B3649" s="2">
        <v>10.0</v>
      </c>
      <c r="C3649" s="4"/>
      <c r="E3649" s="4" t="str">
        <f t="array" ref="E3649">XLOOKUP(A3649,'Fintech, Regulatory Arbitrage, '!A:A,'Fintech, Regulatory Arbitrage, '!C:C,"")</f>
        <v/>
      </c>
    </row>
    <row r="3650">
      <c r="A3650" s="1" t="s">
        <v>3669</v>
      </c>
      <c r="B3650" s="2">
        <v>10.0</v>
      </c>
      <c r="C3650" s="4"/>
      <c r="E3650" s="4" t="str">
        <f t="array" ref="E3650">XLOOKUP(A3650,'Fintech, Regulatory Arbitrage, '!A:A,'Fintech, Regulatory Arbitrage, '!C:C,"")</f>
        <v/>
      </c>
    </row>
    <row r="3651">
      <c r="A3651" s="1" t="s">
        <v>3670</v>
      </c>
      <c r="B3651" s="2">
        <v>10.0</v>
      </c>
      <c r="C3651" s="4"/>
      <c r="E3651" s="4" t="str">
        <f t="array" ref="E3651">XLOOKUP(A3651,'Fintech, Regulatory Arbitrage, '!A:A,'Fintech, Regulatory Arbitrage, '!C:C,"")</f>
        <v/>
      </c>
    </row>
    <row r="3652">
      <c r="A3652" s="1" t="s">
        <v>3671</v>
      </c>
      <c r="B3652" s="2">
        <v>10.0</v>
      </c>
      <c r="C3652" s="4"/>
      <c r="E3652" s="4" t="str">
        <f t="array" ref="E3652">XLOOKUP(A3652,'Fintech, Regulatory Arbitrage, '!A:A,'Fintech, Regulatory Arbitrage, '!C:C,"")</f>
        <v/>
      </c>
    </row>
    <row r="3653">
      <c r="A3653" s="1" t="s">
        <v>3672</v>
      </c>
      <c r="B3653" s="2">
        <v>10.0</v>
      </c>
      <c r="C3653" s="4"/>
      <c r="E3653" s="4" t="str">
        <f t="array" ref="E3653">XLOOKUP(A3653,'Fintech, Regulatory Arbitrage, '!A:A,'Fintech, Regulatory Arbitrage, '!C:C,"")</f>
        <v/>
      </c>
    </row>
    <row r="3654">
      <c r="A3654" s="1" t="s">
        <v>3673</v>
      </c>
      <c r="B3654" s="2">
        <v>10.0</v>
      </c>
      <c r="C3654" s="4"/>
      <c r="E3654" s="4" t="str">
        <f t="array" ref="E3654">XLOOKUP(A3654,'Fintech, Regulatory Arbitrage, '!A:A,'Fintech, Regulatory Arbitrage, '!C:C,"")</f>
        <v/>
      </c>
    </row>
    <row r="3655">
      <c r="A3655" s="1" t="s">
        <v>3674</v>
      </c>
      <c r="B3655" s="2">
        <v>10.0</v>
      </c>
      <c r="C3655" s="4"/>
      <c r="E3655" s="4" t="str">
        <f t="array" ref="E3655">XLOOKUP(A3655,'Fintech, Regulatory Arbitrage, '!A:A,'Fintech, Regulatory Arbitrage, '!C:C,"")</f>
        <v/>
      </c>
    </row>
    <row r="3656">
      <c r="A3656" s="1" t="s">
        <v>3675</v>
      </c>
      <c r="B3656" s="2">
        <v>10.0</v>
      </c>
      <c r="C3656" s="4"/>
      <c r="E3656" s="4" t="str">
        <f t="array" ref="E3656">XLOOKUP(A3656,'Fintech, Regulatory Arbitrage, '!A:A,'Fintech, Regulatory Arbitrage, '!C:C,"")</f>
        <v/>
      </c>
    </row>
    <row r="3657">
      <c r="A3657" s="1" t="s">
        <v>3676</v>
      </c>
      <c r="B3657" s="2">
        <v>10.0</v>
      </c>
      <c r="C3657" s="4"/>
      <c r="E3657" s="4" t="str">
        <f t="array" ref="E3657">XLOOKUP(A3657,'Fintech, Regulatory Arbitrage, '!A:A,'Fintech, Regulatory Arbitrage, '!C:C,"")</f>
        <v/>
      </c>
    </row>
    <row r="3658">
      <c r="A3658" s="1" t="s">
        <v>3677</v>
      </c>
      <c r="B3658" s="2">
        <v>10.0</v>
      </c>
      <c r="C3658" s="4"/>
      <c r="E3658" s="4" t="str">
        <f t="array" ref="E3658">XLOOKUP(A3658,'Fintech, Regulatory Arbitrage, '!A:A,'Fintech, Regulatory Arbitrage, '!C:C,"")</f>
        <v/>
      </c>
    </row>
    <row r="3659">
      <c r="A3659" s="1" t="s">
        <v>3678</v>
      </c>
      <c r="B3659" s="2">
        <v>10.0</v>
      </c>
      <c r="C3659" s="4"/>
      <c r="E3659" s="4" t="str">
        <f t="array" ref="E3659">XLOOKUP(A3659,'Fintech, Regulatory Arbitrage, '!A:A,'Fintech, Regulatory Arbitrage, '!C:C,"")</f>
        <v/>
      </c>
    </row>
    <row r="3660">
      <c r="A3660" s="1" t="s">
        <v>3679</v>
      </c>
      <c r="B3660" s="2">
        <v>10.0</v>
      </c>
      <c r="C3660" s="4"/>
      <c r="E3660" s="4" t="str">
        <f t="array" ref="E3660">XLOOKUP(A3660,'Fintech, Regulatory Arbitrage, '!A:A,'Fintech, Regulatory Arbitrage, '!C:C,"")</f>
        <v/>
      </c>
    </row>
    <row r="3661">
      <c r="A3661" s="1" t="s">
        <v>3680</v>
      </c>
      <c r="B3661" s="2">
        <v>10.0</v>
      </c>
      <c r="C3661" s="4"/>
      <c r="E3661" s="4" t="str">
        <f t="array" ref="E3661">XLOOKUP(A3661,'Fintech, Regulatory Arbitrage, '!A:A,'Fintech, Regulatory Arbitrage, '!C:C,"")</f>
        <v/>
      </c>
    </row>
    <row r="3662">
      <c r="A3662" s="1" t="s">
        <v>3681</v>
      </c>
      <c r="B3662" s="2">
        <v>10.0</v>
      </c>
      <c r="C3662" s="4"/>
      <c r="E3662" s="4" t="str">
        <f t="array" ref="E3662">XLOOKUP(A3662,'Fintech, Regulatory Arbitrage, '!A:A,'Fintech, Regulatory Arbitrage, '!C:C,"")</f>
        <v/>
      </c>
    </row>
    <row r="3663">
      <c r="A3663" s="1" t="s">
        <v>3682</v>
      </c>
      <c r="B3663" s="2">
        <v>10.0</v>
      </c>
      <c r="C3663" s="4"/>
      <c r="E3663" s="4" t="str">
        <f t="array" ref="E3663">XLOOKUP(A3663,'Fintech, Regulatory Arbitrage, '!A:A,'Fintech, Regulatory Arbitrage, '!C:C,"")</f>
        <v/>
      </c>
    </row>
    <row r="3664">
      <c r="A3664" s="1" t="s">
        <v>3683</v>
      </c>
      <c r="B3664" s="2">
        <v>10.0</v>
      </c>
      <c r="C3664" s="4"/>
      <c r="E3664" s="4" t="str">
        <f t="array" ref="E3664">XLOOKUP(A3664,'Fintech, Regulatory Arbitrage, '!A:A,'Fintech, Regulatory Arbitrage, '!C:C,"")</f>
        <v/>
      </c>
    </row>
    <row r="3665">
      <c r="A3665" s="1" t="s">
        <v>3684</v>
      </c>
      <c r="B3665" s="2">
        <v>10.0</v>
      </c>
      <c r="C3665" s="4"/>
      <c r="E3665" s="4" t="str">
        <f t="array" ref="E3665">XLOOKUP(A3665,'Fintech, Regulatory Arbitrage, '!A:A,'Fintech, Regulatory Arbitrage, '!C:C,"")</f>
        <v/>
      </c>
    </row>
    <row r="3666">
      <c r="A3666" s="1" t="s">
        <v>3685</v>
      </c>
      <c r="B3666" s="2">
        <v>10.0</v>
      </c>
      <c r="C3666" s="4"/>
      <c r="E3666" s="4" t="str">
        <f t="array" ref="E3666">XLOOKUP(A3666,'Fintech, Regulatory Arbitrage, '!A:A,'Fintech, Regulatory Arbitrage, '!C:C,"")</f>
        <v/>
      </c>
    </row>
    <row r="3667">
      <c r="A3667" s="1" t="s">
        <v>3686</v>
      </c>
      <c r="B3667" s="2">
        <v>10.0</v>
      </c>
      <c r="C3667" s="4"/>
      <c r="E3667" s="4" t="str">
        <f t="array" ref="E3667">XLOOKUP(A3667,'Fintech, Regulatory Arbitrage, '!A:A,'Fintech, Regulatory Arbitrage, '!C:C,"")</f>
        <v/>
      </c>
    </row>
    <row r="3668">
      <c r="A3668" s="1" t="s">
        <v>3687</v>
      </c>
      <c r="B3668" s="2">
        <v>10.0</v>
      </c>
      <c r="C3668" s="4"/>
      <c r="E3668" s="4" t="str">
        <f t="array" ref="E3668">XLOOKUP(A3668,'Fintech, Regulatory Arbitrage, '!A:A,'Fintech, Regulatory Arbitrage, '!C:C,"")</f>
        <v/>
      </c>
    </row>
    <row r="3669">
      <c r="A3669" s="1" t="s">
        <v>3688</v>
      </c>
      <c r="B3669" s="2">
        <v>10.0</v>
      </c>
      <c r="C3669" s="4"/>
      <c r="E3669" s="4" t="str">
        <f t="array" ref="E3669">XLOOKUP(A3669,'Fintech, Regulatory Arbitrage, '!A:A,'Fintech, Regulatory Arbitrage, '!C:C,"")</f>
        <v/>
      </c>
    </row>
    <row r="3670">
      <c r="A3670" s="1" t="s">
        <v>3689</v>
      </c>
      <c r="B3670" s="2">
        <v>10.0</v>
      </c>
      <c r="C3670" s="4"/>
      <c r="E3670" s="4" t="str">
        <f t="array" ref="E3670">XLOOKUP(A3670,'Fintech, Regulatory Arbitrage, '!A:A,'Fintech, Regulatory Arbitrage, '!C:C,"")</f>
        <v/>
      </c>
    </row>
    <row r="3671">
      <c r="A3671" s="1" t="s">
        <v>3690</v>
      </c>
      <c r="B3671" s="2">
        <v>10.0</v>
      </c>
      <c r="C3671" s="4"/>
      <c r="E3671" s="4" t="str">
        <f t="array" ref="E3671">XLOOKUP(A3671,'Fintech, Regulatory Arbitrage, '!A:A,'Fintech, Regulatory Arbitrage, '!C:C,"")</f>
        <v/>
      </c>
    </row>
    <row r="3672">
      <c r="A3672" s="1" t="s">
        <v>3691</v>
      </c>
      <c r="B3672" s="2">
        <v>10.0</v>
      </c>
      <c r="C3672" s="4"/>
      <c r="E3672" s="4" t="str">
        <f t="array" ref="E3672">XLOOKUP(A3672,'Fintech, Regulatory Arbitrage, '!A:A,'Fintech, Regulatory Arbitrage, '!C:C,"")</f>
        <v/>
      </c>
    </row>
    <row r="3673">
      <c r="A3673" s="1" t="s">
        <v>3692</v>
      </c>
      <c r="B3673" s="2">
        <v>10.0</v>
      </c>
      <c r="C3673" s="4"/>
      <c r="E3673" s="4" t="str">
        <f t="array" ref="E3673">XLOOKUP(A3673,'Fintech, Regulatory Arbitrage, '!A:A,'Fintech, Regulatory Arbitrage, '!C:C,"")</f>
        <v/>
      </c>
    </row>
    <row r="3674">
      <c r="A3674" s="1" t="s">
        <v>3693</v>
      </c>
      <c r="B3674" s="2">
        <v>10.0</v>
      </c>
      <c r="C3674" s="4"/>
      <c r="E3674" s="4" t="str">
        <f t="array" ref="E3674">XLOOKUP(A3674,'Fintech, Regulatory Arbitrage, '!A:A,'Fintech, Regulatory Arbitrage, '!C:C,"")</f>
        <v/>
      </c>
    </row>
    <row r="3675">
      <c r="A3675" s="1" t="s">
        <v>3694</v>
      </c>
      <c r="B3675" s="2">
        <v>10.0</v>
      </c>
      <c r="C3675" s="4"/>
      <c r="E3675" s="4" t="str">
        <f t="array" ref="E3675">XLOOKUP(A3675,'Fintech, Regulatory Arbitrage, '!A:A,'Fintech, Regulatory Arbitrage, '!C:C,"")</f>
        <v/>
      </c>
    </row>
    <row r="3676">
      <c r="A3676" s="1" t="s">
        <v>3695</v>
      </c>
      <c r="B3676" s="2">
        <v>10.0</v>
      </c>
      <c r="C3676" s="4"/>
      <c r="E3676" s="4" t="str">
        <f t="array" ref="E3676">XLOOKUP(A3676,'Fintech, Regulatory Arbitrage, '!A:A,'Fintech, Regulatory Arbitrage, '!C:C,"")</f>
        <v/>
      </c>
    </row>
    <row r="3677">
      <c r="A3677" s="1" t="s">
        <v>3696</v>
      </c>
      <c r="B3677" s="2">
        <v>10.0</v>
      </c>
      <c r="C3677" s="4"/>
      <c r="E3677" s="4" t="str">
        <f t="array" ref="E3677">XLOOKUP(A3677,'Fintech, Regulatory Arbitrage, '!A:A,'Fintech, Regulatory Arbitrage, '!C:C,"")</f>
        <v/>
      </c>
    </row>
    <row r="3678">
      <c r="A3678" s="1" t="s">
        <v>3697</v>
      </c>
      <c r="B3678" s="2">
        <v>10.0</v>
      </c>
      <c r="C3678" s="4"/>
      <c r="E3678" s="4" t="str">
        <f t="array" ref="E3678">XLOOKUP(A3678,'Fintech, Regulatory Arbitrage, '!A:A,'Fintech, Regulatory Arbitrage, '!C:C,"")</f>
        <v/>
      </c>
    </row>
    <row r="3679">
      <c r="A3679" s="1" t="s">
        <v>3698</v>
      </c>
      <c r="B3679" s="2">
        <v>10.0</v>
      </c>
      <c r="C3679" s="4"/>
      <c r="E3679" s="4" t="str">
        <f t="array" ref="E3679">XLOOKUP(A3679,'Fintech, Regulatory Arbitrage, '!A:A,'Fintech, Regulatory Arbitrage, '!C:C,"")</f>
        <v/>
      </c>
    </row>
    <row r="3680">
      <c r="A3680" s="1" t="s">
        <v>3699</v>
      </c>
      <c r="B3680" s="2">
        <v>10.0</v>
      </c>
      <c r="C3680" s="4"/>
      <c r="E3680" s="4" t="str">
        <f t="array" ref="E3680">XLOOKUP(A3680,'Fintech, Regulatory Arbitrage, '!A:A,'Fintech, Regulatory Arbitrage, '!C:C,"")</f>
        <v/>
      </c>
    </row>
    <row r="3681">
      <c r="A3681" s="1" t="s">
        <v>3700</v>
      </c>
      <c r="B3681" s="2">
        <v>10.0</v>
      </c>
      <c r="C3681" s="4"/>
      <c r="E3681" s="4" t="str">
        <f t="array" ref="E3681">XLOOKUP(A3681,'Fintech, Regulatory Arbitrage, '!A:A,'Fintech, Regulatory Arbitrage, '!C:C,"")</f>
        <v/>
      </c>
    </row>
    <row r="3682">
      <c r="A3682" s="1" t="s">
        <v>3701</v>
      </c>
      <c r="B3682" s="2">
        <v>10.0</v>
      </c>
      <c r="C3682" s="4"/>
      <c r="E3682" s="4" t="str">
        <f t="array" ref="E3682">XLOOKUP(A3682,'Fintech, Regulatory Arbitrage, '!A:A,'Fintech, Regulatory Arbitrage, '!C:C,"")</f>
        <v/>
      </c>
    </row>
    <row r="3683">
      <c r="A3683" s="1" t="s">
        <v>3702</v>
      </c>
      <c r="B3683" s="2">
        <v>10.0</v>
      </c>
      <c r="C3683" s="4"/>
      <c r="E3683" s="4" t="str">
        <f t="array" ref="E3683">XLOOKUP(A3683,'Fintech, Regulatory Arbitrage, '!A:A,'Fintech, Regulatory Arbitrage, '!C:C,"")</f>
        <v/>
      </c>
    </row>
    <row r="3684">
      <c r="A3684" s="1" t="s">
        <v>3703</v>
      </c>
      <c r="B3684" s="2">
        <v>10.0</v>
      </c>
      <c r="C3684" s="4"/>
      <c r="E3684" s="4" t="str">
        <f t="array" ref="E3684">XLOOKUP(A3684,'Fintech, Regulatory Arbitrage, '!A:A,'Fintech, Regulatory Arbitrage, '!C:C,"")</f>
        <v/>
      </c>
    </row>
    <row r="3685">
      <c r="A3685" s="1" t="s">
        <v>3704</v>
      </c>
      <c r="B3685" s="2">
        <v>10.0</v>
      </c>
      <c r="C3685" s="4"/>
      <c r="E3685" s="4" t="str">
        <f t="array" ref="E3685">XLOOKUP(A3685,'Fintech, Regulatory Arbitrage, '!A:A,'Fintech, Regulatory Arbitrage, '!C:C,"")</f>
        <v/>
      </c>
    </row>
    <row r="3686">
      <c r="A3686" s="1" t="s">
        <v>3705</v>
      </c>
      <c r="B3686" s="2">
        <v>10.0</v>
      </c>
      <c r="C3686" s="4"/>
      <c r="E3686" s="4" t="str">
        <f t="array" ref="E3686">XLOOKUP(A3686,'Fintech, Regulatory Arbitrage, '!A:A,'Fintech, Regulatory Arbitrage, '!C:C,"")</f>
        <v/>
      </c>
    </row>
    <row r="3687">
      <c r="A3687" s="1" t="s">
        <v>3706</v>
      </c>
      <c r="B3687" s="2">
        <v>10.0</v>
      </c>
      <c r="C3687" s="4"/>
      <c r="E3687" s="4" t="str">
        <f t="array" ref="E3687">XLOOKUP(A3687,'Fintech, Regulatory Arbitrage, '!A:A,'Fintech, Regulatory Arbitrage, '!C:C,"")</f>
        <v/>
      </c>
    </row>
    <row r="3688">
      <c r="A3688" s="1" t="s">
        <v>3707</v>
      </c>
      <c r="B3688" s="2">
        <v>10.0</v>
      </c>
      <c r="C3688" s="4"/>
      <c r="E3688" s="4" t="str">
        <f t="array" ref="E3688">XLOOKUP(A3688,'Fintech, Regulatory Arbitrage, '!A:A,'Fintech, Regulatory Arbitrage, '!C:C,"")</f>
        <v/>
      </c>
    </row>
    <row r="3689">
      <c r="A3689" s="1" t="s">
        <v>3708</v>
      </c>
      <c r="B3689" s="2">
        <v>10.0</v>
      </c>
      <c r="C3689" s="4"/>
      <c r="E3689" s="4" t="str">
        <f t="array" ref="E3689">XLOOKUP(A3689,'Fintech, Regulatory Arbitrage, '!A:A,'Fintech, Regulatory Arbitrage, '!C:C,"")</f>
        <v/>
      </c>
    </row>
    <row r="3690">
      <c r="A3690" s="1" t="s">
        <v>3709</v>
      </c>
      <c r="B3690" s="2">
        <v>10.0</v>
      </c>
      <c r="C3690" s="4"/>
      <c r="E3690" s="4" t="str">
        <f t="array" ref="E3690">XLOOKUP(A3690,'Fintech, Regulatory Arbitrage, '!A:A,'Fintech, Regulatory Arbitrage, '!C:C,"")</f>
        <v/>
      </c>
    </row>
    <row r="3691">
      <c r="A3691" s="1" t="s">
        <v>3710</v>
      </c>
      <c r="B3691" s="2">
        <v>10.0</v>
      </c>
      <c r="C3691" s="4"/>
      <c r="E3691" s="4" t="str">
        <f t="array" ref="E3691">XLOOKUP(A3691,'Fintech, Regulatory Arbitrage, '!A:A,'Fintech, Regulatory Arbitrage, '!C:C,"")</f>
        <v/>
      </c>
    </row>
    <row r="3692">
      <c r="A3692" s="1" t="s">
        <v>3711</v>
      </c>
      <c r="B3692" s="2">
        <v>10.0</v>
      </c>
      <c r="C3692" s="4"/>
      <c r="E3692" s="4" t="str">
        <f t="array" ref="E3692">XLOOKUP(A3692,'Fintech, Regulatory Arbitrage, '!A:A,'Fintech, Regulatory Arbitrage, '!C:C,"")</f>
        <v/>
      </c>
    </row>
    <row r="3693">
      <c r="A3693" s="1" t="s">
        <v>3712</v>
      </c>
      <c r="B3693" s="2">
        <v>10.0</v>
      </c>
      <c r="C3693" s="4"/>
      <c r="E3693" s="4" t="str">
        <f t="array" ref="E3693">XLOOKUP(A3693,'Fintech, Regulatory Arbitrage, '!A:A,'Fintech, Regulatory Arbitrage, '!C:C,"")</f>
        <v/>
      </c>
    </row>
    <row r="3694">
      <c r="A3694" s="1" t="s">
        <v>3713</v>
      </c>
      <c r="B3694" s="2">
        <v>10.0</v>
      </c>
      <c r="C3694" s="4"/>
      <c r="E3694" s="4" t="str">
        <f t="array" ref="E3694">XLOOKUP(A3694,'Fintech, Regulatory Arbitrage, '!A:A,'Fintech, Regulatory Arbitrage, '!C:C,"")</f>
        <v/>
      </c>
    </row>
    <row r="3695">
      <c r="A3695" s="1" t="s">
        <v>3714</v>
      </c>
      <c r="B3695" s="2">
        <v>10.0</v>
      </c>
      <c r="C3695" s="4"/>
      <c r="E3695" s="4" t="str">
        <f t="array" ref="E3695">XLOOKUP(A3695,'Fintech, Regulatory Arbitrage, '!A:A,'Fintech, Regulatory Arbitrage, '!C:C,"")</f>
        <v/>
      </c>
    </row>
    <row r="3696">
      <c r="A3696" s="1" t="s">
        <v>3715</v>
      </c>
      <c r="B3696" s="2">
        <v>10.0</v>
      </c>
      <c r="C3696" s="4"/>
      <c r="E3696" s="4" t="str">
        <f t="array" ref="E3696">XLOOKUP(A3696,'Fintech, Regulatory Arbitrage, '!A:A,'Fintech, Regulatory Arbitrage, '!C:C,"")</f>
        <v/>
      </c>
    </row>
    <row r="3697">
      <c r="A3697" s="1" t="s">
        <v>3716</v>
      </c>
      <c r="B3697" s="2">
        <v>10.0</v>
      </c>
      <c r="C3697" s="4"/>
      <c r="E3697" s="4" t="str">
        <f t="array" ref="E3697">XLOOKUP(A3697,'Fintech, Regulatory Arbitrage, '!A:A,'Fintech, Regulatory Arbitrage, '!C:C,"")</f>
        <v/>
      </c>
    </row>
    <row r="3698">
      <c r="A3698" s="1" t="s">
        <v>3717</v>
      </c>
      <c r="B3698" s="2">
        <v>10.0</v>
      </c>
      <c r="C3698" s="4"/>
      <c r="E3698" s="4" t="str">
        <f t="array" ref="E3698">XLOOKUP(A3698,'Fintech, Regulatory Arbitrage, '!A:A,'Fintech, Regulatory Arbitrage, '!C:C,"")</f>
        <v/>
      </c>
    </row>
    <row r="3699">
      <c r="A3699" s="1" t="s">
        <v>3718</v>
      </c>
      <c r="B3699" s="2">
        <v>10.0</v>
      </c>
      <c r="C3699" s="4"/>
      <c r="E3699" s="4" t="str">
        <f t="array" ref="E3699">XLOOKUP(A3699,'Fintech, Regulatory Arbitrage, '!A:A,'Fintech, Regulatory Arbitrage, '!C:C,"")</f>
        <v/>
      </c>
    </row>
    <row r="3700">
      <c r="A3700" s="1" t="s">
        <v>3719</v>
      </c>
      <c r="B3700" s="2">
        <v>10.0</v>
      </c>
      <c r="C3700" s="4"/>
      <c r="E3700" s="4" t="str">
        <f t="array" ref="E3700">XLOOKUP(A3700,'Fintech, Regulatory Arbitrage, '!A:A,'Fintech, Regulatory Arbitrage, '!C:C,"")</f>
        <v/>
      </c>
    </row>
    <row r="3701">
      <c r="A3701" s="1" t="s">
        <v>3720</v>
      </c>
      <c r="B3701" s="2">
        <v>10.0</v>
      </c>
      <c r="C3701" s="4"/>
      <c r="E3701" s="4" t="str">
        <f t="array" ref="E3701">XLOOKUP(A3701,'Fintech, Regulatory Arbitrage, '!A:A,'Fintech, Regulatory Arbitrage, '!C:C,"")</f>
        <v/>
      </c>
    </row>
    <row r="3702">
      <c r="A3702" s="1" t="s">
        <v>3721</v>
      </c>
      <c r="B3702" s="2">
        <v>10.0</v>
      </c>
      <c r="C3702" s="4"/>
      <c r="E3702" s="4" t="str">
        <f t="array" ref="E3702">XLOOKUP(A3702,'Fintech, Regulatory Arbitrage, '!A:A,'Fintech, Regulatory Arbitrage, '!C:C,"")</f>
        <v/>
      </c>
    </row>
    <row r="3703">
      <c r="A3703" s="1" t="s">
        <v>3722</v>
      </c>
      <c r="B3703" s="2">
        <v>10.0</v>
      </c>
      <c r="C3703" s="4"/>
      <c r="E3703" s="4" t="str">
        <f t="array" ref="E3703">XLOOKUP(A3703,'Fintech, Regulatory Arbitrage, '!A:A,'Fintech, Regulatory Arbitrage, '!C:C,"")</f>
        <v/>
      </c>
    </row>
    <row r="3704">
      <c r="A3704" s="1" t="s">
        <v>3723</v>
      </c>
      <c r="B3704" s="2">
        <v>10.0</v>
      </c>
      <c r="C3704" s="4"/>
      <c r="E3704" s="4" t="str">
        <f t="array" ref="E3704">XLOOKUP(A3704,'Fintech, Regulatory Arbitrage, '!A:A,'Fintech, Regulatory Arbitrage, '!C:C,"")</f>
        <v/>
      </c>
    </row>
    <row r="3705">
      <c r="A3705" s="1" t="s">
        <v>3724</v>
      </c>
      <c r="B3705" s="2">
        <v>10.0</v>
      </c>
      <c r="C3705" s="4"/>
      <c r="E3705" s="4" t="str">
        <f t="array" ref="E3705">XLOOKUP(A3705,'Fintech, Regulatory Arbitrage, '!A:A,'Fintech, Regulatory Arbitrage, '!C:C,"")</f>
        <v/>
      </c>
    </row>
    <row r="3706">
      <c r="A3706" s="1" t="s">
        <v>3725</v>
      </c>
      <c r="B3706" s="2">
        <v>10.0</v>
      </c>
      <c r="C3706" s="4"/>
      <c r="E3706" s="4" t="str">
        <f t="array" ref="E3706">XLOOKUP(A3706,'Fintech, Regulatory Arbitrage, '!A:A,'Fintech, Regulatory Arbitrage, '!C:C,"")</f>
        <v/>
      </c>
    </row>
    <row r="3707">
      <c r="A3707" s="1" t="s">
        <v>3726</v>
      </c>
      <c r="B3707" s="2">
        <v>10.0</v>
      </c>
      <c r="C3707" s="4"/>
      <c r="E3707" s="4" t="str">
        <f t="array" ref="E3707">XLOOKUP(A3707,'Fintech, Regulatory Arbitrage, '!A:A,'Fintech, Regulatory Arbitrage, '!C:C,"")</f>
        <v/>
      </c>
    </row>
    <row r="3708">
      <c r="A3708" s="1" t="s">
        <v>3727</v>
      </c>
      <c r="B3708" s="2">
        <v>10.0</v>
      </c>
      <c r="C3708" s="4"/>
      <c r="E3708" s="4" t="str">
        <f t="array" ref="E3708">XLOOKUP(A3708,'Fintech, Regulatory Arbitrage, '!A:A,'Fintech, Regulatory Arbitrage, '!C:C,"")</f>
        <v/>
      </c>
    </row>
    <row r="3709">
      <c r="A3709" s="1" t="s">
        <v>3728</v>
      </c>
      <c r="B3709" s="2">
        <v>10.0</v>
      </c>
      <c r="C3709" s="4"/>
      <c r="E3709" s="4" t="str">
        <f t="array" ref="E3709">XLOOKUP(A3709,'Fintech, Regulatory Arbitrage, '!A:A,'Fintech, Regulatory Arbitrage, '!C:C,"")</f>
        <v/>
      </c>
    </row>
    <row r="3710">
      <c r="A3710" s="1" t="s">
        <v>3729</v>
      </c>
      <c r="B3710" s="2">
        <v>10.0</v>
      </c>
      <c r="C3710" s="4"/>
      <c r="E3710" s="4" t="str">
        <f t="array" ref="E3710">XLOOKUP(A3710,'Fintech, Regulatory Arbitrage, '!A:A,'Fintech, Regulatory Arbitrage, '!C:C,"")</f>
        <v/>
      </c>
    </row>
    <row r="3711">
      <c r="A3711" s="1" t="s">
        <v>3730</v>
      </c>
      <c r="B3711" s="2">
        <v>10.0</v>
      </c>
      <c r="C3711" s="4"/>
      <c r="E3711" s="4" t="str">
        <f t="array" ref="E3711">XLOOKUP(A3711,'Fintech, Regulatory Arbitrage, '!A:A,'Fintech, Regulatory Arbitrage, '!C:C,"")</f>
        <v/>
      </c>
    </row>
    <row r="3712">
      <c r="A3712" s="1" t="s">
        <v>3731</v>
      </c>
      <c r="B3712" s="2">
        <v>10.0</v>
      </c>
      <c r="C3712" s="4"/>
      <c r="E3712" s="4" t="str">
        <f t="array" ref="E3712">XLOOKUP(A3712,'Fintech, Regulatory Arbitrage, '!A:A,'Fintech, Regulatory Arbitrage, '!C:C,"")</f>
        <v/>
      </c>
    </row>
    <row r="3713">
      <c r="A3713" s="1" t="s">
        <v>3732</v>
      </c>
      <c r="B3713" s="2">
        <v>10.0</v>
      </c>
      <c r="C3713" s="4"/>
      <c r="E3713" s="4" t="str">
        <f t="array" ref="E3713">XLOOKUP(A3713,'Fintech, Regulatory Arbitrage, '!A:A,'Fintech, Regulatory Arbitrage, '!C:C,"")</f>
        <v/>
      </c>
    </row>
    <row r="3714">
      <c r="A3714" s="1" t="s">
        <v>3733</v>
      </c>
      <c r="B3714" s="2">
        <v>10.0</v>
      </c>
      <c r="C3714" s="4"/>
      <c r="E3714" s="4" t="str">
        <f t="array" ref="E3714">XLOOKUP(A3714,'Fintech, Regulatory Arbitrage, '!A:A,'Fintech, Regulatory Arbitrage, '!C:C,"")</f>
        <v/>
      </c>
    </row>
    <row r="3715">
      <c r="A3715" s="1" t="s">
        <v>3734</v>
      </c>
      <c r="B3715" s="2">
        <v>10.0</v>
      </c>
      <c r="C3715" s="4"/>
      <c r="E3715" s="4" t="str">
        <f t="array" ref="E3715">XLOOKUP(A3715,'Fintech, Regulatory Arbitrage, '!A:A,'Fintech, Regulatory Arbitrage, '!C:C,"")</f>
        <v/>
      </c>
    </row>
    <row r="3716">
      <c r="A3716" s="1" t="s">
        <v>3735</v>
      </c>
      <c r="B3716" s="2">
        <v>10.0</v>
      </c>
      <c r="C3716" s="4"/>
      <c r="E3716" s="4" t="str">
        <f t="array" ref="E3716">XLOOKUP(A3716,'Fintech, Regulatory Arbitrage, '!A:A,'Fintech, Regulatory Arbitrage, '!C:C,"")</f>
        <v/>
      </c>
    </row>
    <row r="3717">
      <c r="A3717" s="1" t="s">
        <v>3736</v>
      </c>
      <c r="B3717" s="2">
        <v>10.0</v>
      </c>
      <c r="C3717" s="4"/>
      <c r="E3717" s="4" t="str">
        <f t="array" ref="E3717">XLOOKUP(A3717,'Fintech, Regulatory Arbitrage, '!A:A,'Fintech, Regulatory Arbitrage, '!C:C,"")</f>
        <v/>
      </c>
    </row>
    <row r="3718">
      <c r="A3718" s="1" t="s">
        <v>3737</v>
      </c>
      <c r="B3718" s="2">
        <v>10.0</v>
      </c>
      <c r="C3718" s="4"/>
      <c r="E3718" s="4" t="str">
        <f t="array" ref="E3718">XLOOKUP(A3718,'Fintech, Regulatory Arbitrage, '!A:A,'Fintech, Regulatory Arbitrage, '!C:C,"")</f>
        <v/>
      </c>
    </row>
    <row r="3719">
      <c r="A3719" s="1" t="s">
        <v>3738</v>
      </c>
      <c r="B3719" s="2">
        <v>10.0</v>
      </c>
      <c r="C3719" s="4"/>
      <c r="E3719" s="4" t="str">
        <f t="array" ref="E3719">XLOOKUP(A3719,'Fintech, Regulatory Arbitrage, '!A:A,'Fintech, Regulatory Arbitrage, '!C:C,"")</f>
        <v/>
      </c>
    </row>
    <row r="3720">
      <c r="A3720" s="1" t="s">
        <v>3739</v>
      </c>
      <c r="B3720" s="2">
        <v>10.0</v>
      </c>
      <c r="C3720" s="4"/>
      <c r="E3720" s="4" t="str">
        <f t="array" ref="E3720">XLOOKUP(A3720,'Fintech, Regulatory Arbitrage, '!A:A,'Fintech, Regulatory Arbitrage, '!C:C,"")</f>
        <v/>
      </c>
    </row>
    <row r="3721">
      <c r="A3721" s="1" t="s">
        <v>3740</v>
      </c>
      <c r="B3721" s="2">
        <v>10.0</v>
      </c>
      <c r="C3721" s="4"/>
      <c r="E3721" s="4" t="str">
        <f t="array" ref="E3721">XLOOKUP(A3721,'Fintech, Regulatory Arbitrage, '!A:A,'Fintech, Regulatory Arbitrage, '!C:C,"")</f>
        <v/>
      </c>
    </row>
    <row r="3722">
      <c r="A3722" s="1" t="s">
        <v>3741</v>
      </c>
      <c r="B3722" s="2">
        <v>10.0</v>
      </c>
      <c r="C3722" s="4"/>
      <c r="E3722" s="4" t="str">
        <f t="array" ref="E3722">XLOOKUP(A3722,'Fintech, Regulatory Arbitrage, '!A:A,'Fintech, Regulatory Arbitrage, '!C:C,"")</f>
        <v/>
      </c>
    </row>
    <row r="3723">
      <c r="A3723" s="1" t="s">
        <v>3742</v>
      </c>
      <c r="B3723" s="2">
        <v>10.0</v>
      </c>
      <c r="C3723" s="4"/>
      <c r="E3723" s="4" t="str">
        <f t="array" ref="E3723">XLOOKUP(A3723,'Fintech, Regulatory Arbitrage, '!A:A,'Fintech, Regulatory Arbitrage, '!C:C,"")</f>
        <v/>
      </c>
    </row>
    <row r="3724">
      <c r="A3724" s="1" t="s">
        <v>3743</v>
      </c>
      <c r="B3724" s="2">
        <v>10.0</v>
      </c>
      <c r="C3724" s="4"/>
      <c r="E3724" s="4" t="str">
        <f t="array" ref="E3724">XLOOKUP(A3724,'Fintech, Regulatory Arbitrage, '!A:A,'Fintech, Regulatory Arbitrage, '!C:C,"")</f>
        <v/>
      </c>
    </row>
    <row r="3725">
      <c r="A3725" s="1" t="s">
        <v>3744</v>
      </c>
      <c r="B3725" s="2">
        <v>10.0</v>
      </c>
      <c r="C3725" s="4"/>
      <c r="E3725" s="4" t="str">
        <f t="array" ref="E3725">XLOOKUP(A3725,'Fintech, Regulatory Arbitrage, '!A:A,'Fintech, Regulatory Arbitrage, '!C:C,"")</f>
        <v/>
      </c>
    </row>
    <row r="3726">
      <c r="A3726" s="1" t="s">
        <v>3745</v>
      </c>
      <c r="B3726" s="2">
        <v>10.0</v>
      </c>
      <c r="C3726" s="4"/>
      <c r="E3726" s="4" t="str">
        <f t="array" ref="E3726">XLOOKUP(A3726,'Fintech, Regulatory Arbitrage, '!A:A,'Fintech, Regulatory Arbitrage, '!C:C,"")</f>
        <v/>
      </c>
    </row>
    <row r="3727">
      <c r="A3727" s="1" t="s">
        <v>3746</v>
      </c>
      <c r="B3727" s="2">
        <v>10.0</v>
      </c>
      <c r="C3727" s="4"/>
      <c r="E3727" s="4" t="str">
        <f t="array" ref="E3727">XLOOKUP(A3727,'Fintech, Regulatory Arbitrage, '!A:A,'Fintech, Regulatory Arbitrage, '!C:C,"")</f>
        <v/>
      </c>
    </row>
    <row r="3728">
      <c r="A3728" s="1" t="s">
        <v>3747</v>
      </c>
      <c r="B3728" s="2">
        <v>10.0</v>
      </c>
      <c r="C3728" s="4"/>
      <c r="E3728" s="4" t="str">
        <f t="array" ref="E3728">XLOOKUP(A3728,'Fintech, Regulatory Arbitrage, '!A:A,'Fintech, Regulatory Arbitrage, '!C:C,"")</f>
        <v/>
      </c>
    </row>
    <row r="3729">
      <c r="A3729" s="1" t="s">
        <v>3748</v>
      </c>
      <c r="B3729" s="2">
        <v>10.0</v>
      </c>
      <c r="C3729" s="4"/>
      <c r="E3729" s="4" t="str">
        <f t="array" ref="E3729">XLOOKUP(A3729,'Fintech, Regulatory Arbitrage, '!A:A,'Fintech, Regulatory Arbitrage, '!C:C,"")</f>
        <v/>
      </c>
    </row>
    <row r="3730">
      <c r="A3730" s="1" t="s">
        <v>3749</v>
      </c>
      <c r="B3730" s="2">
        <v>10.0</v>
      </c>
      <c r="C3730" s="4"/>
      <c r="E3730" s="4" t="str">
        <f t="array" ref="E3730">XLOOKUP(A3730,'Fintech, Regulatory Arbitrage, '!A:A,'Fintech, Regulatory Arbitrage, '!C:C,"")</f>
        <v/>
      </c>
    </row>
    <row r="3731">
      <c r="A3731" s="1" t="s">
        <v>3750</v>
      </c>
      <c r="B3731" s="2">
        <v>10.0</v>
      </c>
      <c r="C3731" s="4"/>
      <c r="E3731" s="4" t="str">
        <f t="array" ref="E3731">XLOOKUP(A3731,'Fintech, Regulatory Arbitrage, '!A:A,'Fintech, Regulatory Arbitrage, '!C:C,"")</f>
        <v/>
      </c>
    </row>
    <row r="3732">
      <c r="A3732" s="1" t="s">
        <v>3751</v>
      </c>
      <c r="B3732" s="2">
        <v>10.0</v>
      </c>
      <c r="C3732" s="4"/>
      <c r="E3732" s="4" t="str">
        <f t="array" ref="E3732">XLOOKUP(A3732,'Fintech, Regulatory Arbitrage, '!A:A,'Fintech, Regulatory Arbitrage, '!C:C,"")</f>
        <v/>
      </c>
    </row>
    <row r="3733">
      <c r="A3733" s="1" t="s">
        <v>3752</v>
      </c>
      <c r="B3733" s="2">
        <v>10.0</v>
      </c>
      <c r="C3733" s="4"/>
      <c r="E3733" s="4" t="str">
        <f t="array" ref="E3733">XLOOKUP(A3733,'Fintech, Regulatory Arbitrage, '!A:A,'Fintech, Regulatory Arbitrage, '!C:C,"")</f>
        <v/>
      </c>
    </row>
    <row r="3734">
      <c r="A3734" s="1" t="s">
        <v>3753</v>
      </c>
      <c r="B3734" s="2">
        <v>10.0</v>
      </c>
      <c r="C3734" s="4"/>
      <c r="E3734" s="4" t="str">
        <f t="array" ref="E3734">XLOOKUP(A3734,'Fintech, Regulatory Arbitrage, '!A:A,'Fintech, Regulatory Arbitrage, '!C:C,"")</f>
        <v/>
      </c>
    </row>
    <row r="3735">
      <c r="A3735" s="1" t="s">
        <v>3754</v>
      </c>
      <c r="B3735" s="2">
        <v>10.0</v>
      </c>
      <c r="C3735" s="4"/>
      <c r="E3735" s="4" t="str">
        <f t="array" ref="E3735">XLOOKUP(A3735,'Fintech, Regulatory Arbitrage, '!A:A,'Fintech, Regulatory Arbitrage, '!C:C,"")</f>
        <v/>
      </c>
    </row>
    <row r="3736">
      <c r="A3736" s="1" t="s">
        <v>3755</v>
      </c>
      <c r="B3736" s="2">
        <v>10.0</v>
      </c>
      <c r="C3736" s="4"/>
      <c r="E3736" s="4" t="str">
        <f t="array" ref="E3736">XLOOKUP(A3736,'Fintech, Regulatory Arbitrage, '!A:A,'Fintech, Regulatory Arbitrage, '!C:C,"")</f>
        <v/>
      </c>
    </row>
    <row r="3737">
      <c r="A3737" s="1" t="s">
        <v>3756</v>
      </c>
      <c r="B3737" s="2">
        <v>10.0</v>
      </c>
      <c r="C3737" s="4"/>
      <c r="E3737" s="4" t="str">
        <f t="array" ref="E3737">XLOOKUP(A3737,'Fintech, Regulatory Arbitrage, '!A:A,'Fintech, Regulatory Arbitrage, '!C:C,"")</f>
        <v/>
      </c>
    </row>
    <row r="3738">
      <c r="A3738" s="1" t="s">
        <v>3757</v>
      </c>
      <c r="B3738" s="2">
        <v>10.0</v>
      </c>
      <c r="C3738" s="4"/>
      <c r="E3738" s="4" t="str">
        <f t="array" ref="E3738">XLOOKUP(A3738,'Fintech, Regulatory Arbitrage, '!A:A,'Fintech, Regulatory Arbitrage, '!C:C,"")</f>
        <v/>
      </c>
    </row>
    <row r="3739">
      <c r="A3739" s="1" t="s">
        <v>3758</v>
      </c>
      <c r="B3739" s="2">
        <v>10.0</v>
      </c>
      <c r="C3739" s="4"/>
      <c r="E3739" s="4" t="str">
        <f t="array" ref="E3739">XLOOKUP(A3739,'Fintech, Regulatory Arbitrage, '!A:A,'Fintech, Regulatory Arbitrage, '!C:C,"")</f>
        <v/>
      </c>
    </row>
    <row r="3740">
      <c r="A3740" s="1" t="s">
        <v>3759</v>
      </c>
      <c r="B3740" s="2">
        <v>10.0</v>
      </c>
      <c r="C3740" s="4"/>
      <c r="E3740" s="4" t="str">
        <f t="array" ref="E3740">XLOOKUP(A3740,'Fintech, Regulatory Arbitrage, '!A:A,'Fintech, Regulatory Arbitrage, '!C:C,"")</f>
        <v/>
      </c>
    </row>
    <row r="3741">
      <c r="A3741" s="1" t="s">
        <v>3760</v>
      </c>
      <c r="B3741" s="2">
        <v>10.0</v>
      </c>
      <c r="C3741" s="4"/>
      <c r="E3741" s="4" t="str">
        <f t="array" ref="E3741">XLOOKUP(A3741,'Fintech, Regulatory Arbitrage, '!A:A,'Fintech, Regulatory Arbitrage, '!C:C,"")</f>
        <v/>
      </c>
    </row>
    <row r="3742">
      <c r="A3742" s="1" t="s">
        <v>3761</v>
      </c>
      <c r="B3742" s="2">
        <v>10.0</v>
      </c>
      <c r="C3742" s="4"/>
      <c r="E3742" s="4" t="str">
        <f t="array" ref="E3742">XLOOKUP(A3742,'Fintech, Regulatory Arbitrage, '!A:A,'Fintech, Regulatory Arbitrage, '!C:C,"")</f>
        <v/>
      </c>
    </row>
    <row r="3743">
      <c r="A3743" s="1" t="s">
        <v>3762</v>
      </c>
      <c r="B3743" s="2">
        <v>10.0</v>
      </c>
      <c r="C3743" s="4"/>
      <c r="E3743" s="4" t="str">
        <f t="array" ref="E3743">XLOOKUP(A3743,'Fintech, Regulatory Arbitrage, '!A:A,'Fintech, Regulatory Arbitrage, '!C:C,"")</f>
        <v/>
      </c>
    </row>
    <row r="3744">
      <c r="A3744" s="1" t="s">
        <v>3763</v>
      </c>
      <c r="B3744" s="2">
        <v>10.0</v>
      </c>
      <c r="C3744" s="4"/>
      <c r="E3744" s="4" t="str">
        <f t="array" ref="E3744">XLOOKUP(A3744,'Fintech, Regulatory Arbitrage, '!A:A,'Fintech, Regulatory Arbitrage, '!C:C,"")</f>
        <v/>
      </c>
    </row>
    <row r="3745">
      <c r="A3745" s="1" t="s">
        <v>3764</v>
      </c>
      <c r="B3745" s="2">
        <v>10.0</v>
      </c>
      <c r="C3745" s="4"/>
      <c r="E3745" s="4" t="str">
        <f t="array" ref="E3745">XLOOKUP(A3745,'Fintech, Regulatory Arbitrage, '!A:A,'Fintech, Regulatory Arbitrage, '!C:C,"")</f>
        <v/>
      </c>
    </row>
    <row r="3746">
      <c r="A3746" s="1" t="s">
        <v>3765</v>
      </c>
      <c r="B3746" s="2">
        <v>10.0</v>
      </c>
      <c r="C3746" s="4"/>
      <c r="E3746" s="4" t="str">
        <f t="array" ref="E3746">XLOOKUP(A3746,'Fintech, Regulatory Arbitrage, '!A:A,'Fintech, Regulatory Arbitrage, '!C:C,"")</f>
        <v/>
      </c>
    </row>
    <row r="3747">
      <c r="A3747" s="1" t="s">
        <v>3766</v>
      </c>
      <c r="B3747" s="2">
        <v>10.0</v>
      </c>
      <c r="C3747" s="4"/>
      <c r="E3747" s="4" t="str">
        <f t="array" ref="E3747">XLOOKUP(A3747,'Fintech, Regulatory Arbitrage, '!A:A,'Fintech, Regulatory Arbitrage, '!C:C,"")</f>
        <v/>
      </c>
    </row>
    <row r="3748">
      <c r="A3748" s="1" t="s">
        <v>3767</v>
      </c>
      <c r="B3748" s="2">
        <v>10.0</v>
      </c>
      <c r="C3748" s="4"/>
      <c r="E3748" s="4" t="str">
        <f t="array" ref="E3748">XLOOKUP(A3748,'Fintech, Regulatory Arbitrage, '!A:A,'Fintech, Regulatory Arbitrage, '!C:C,"")</f>
        <v/>
      </c>
    </row>
    <row r="3749">
      <c r="A3749" s="1" t="s">
        <v>3768</v>
      </c>
      <c r="B3749" s="2">
        <v>9.0</v>
      </c>
      <c r="C3749" s="4"/>
      <c r="E3749" s="4" t="str">
        <f t="array" ref="E3749">XLOOKUP(A3749,'Fintech, Regulatory Arbitrage, '!A:A,'Fintech, Regulatory Arbitrage, '!C:C,"")</f>
        <v/>
      </c>
    </row>
    <row r="3750">
      <c r="A3750" s="1" t="s">
        <v>3769</v>
      </c>
      <c r="B3750" s="2">
        <v>9.0</v>
      </c>
      <c r="C3750" s="4"/>
      <c r="E3750" s="4" t="str">
        <f t="array" ref="E3750">XLOOKUP(A3750,'Fintech, Regulatory Arbitrage, '!A:A,'Fintech, Regulatory Arbitrage, '!C:C,"")</f>
        <v/>
      </c>
    </row>
    <row r="3751">
      <c r="A3751" s="1" t="s">
        <v>3770</v>
      </c>
      <c r="B3751" s="2">
        <v>9.0</v>
      </c>
      <c r="C3751" s="4"/>
      <c r="E3751" s="4" t="str">
        <f t="array" ref="E3751">XLOOKUP(A3751,'Fintech, Regulatory Arbitrage, '!A:A,'Fintech, Regulatory Arbitrage, '!C:C,"")</f>
        <v/>
      </c>
    </row>
    <row r="3752">
      <c r="A3752" s="1" t="s">
        <v>3771</v>
      </c>
      <c r="B3752" s="2">
        <v>9.0</v>
      </c>
      <c r="C3752" s="4"/>
      <c r="E3752" s="4" t="str">
        <f t="array" ref="E3752">XLOOKUP(A3752,'Fintech, Regulatory Arbitrage, '!A:A,'Fintech, Regulatory Arbitrage, '!C:C,"")</f>
        <v/>
      </c>
    </row>
    <row r="3753">
      <c r="A3753" s="1" t="s">
        <v>3772</v>
      </c>
      <c r="B3753" s="2">
        <v>9.0</v>
      </c>
      <c r="C3753" s="4"/>
      <c r="E3753" s="4" t="str">
        <f t="array" ref="E3753">XLOOKUP(A3753,'Fintech, Regulatory Arbitrage, '!A:A,'Fintech, Regulatory Arbitrage, '!C:C,"")</f>
        <v/>
      </c>
    </row>
    <row r="3754">
      <c r="A3754" s="1" t="s">
        <v>3773</v>
      </c>
      <c r="B3754" s="2">
        <v>9.0</v>
      </c>
      <c r="C3754" s="4"/>
      <c r="E3754" s="4" t="str">
        <f t="array" ref="E3754">XLOOKUP(A3754,'Fintech, Regulatory Arbitrage, '!A:A,'Fintech, Regulatory Arbitrage, '!C:C,"")</f>
        <v/>
      </c>
    </row>
    <row r="3755">
      <c r="A3755" s="1" t="s">
        <v>3774</v>
      </c>
      <c r="B3755" s="2">
        <v>9.0</v>
      </c>
      <c r="C3755" s="4"/>
      <c r="E3755" s="4" t="str">
        <f t="array" ref="E3755">XLOOKUP(A3755,'Fintech, Regulatory Arbitrage, '!A:A,'Fintech, Regulatory Arbitrage, '!C:C,"")</f>
        <v/>
      </c>
    </row>
    <row r="3756">
      <c r="A3756" s="1" t="s">
        <v>3775</v>
      </c>
      <c r="B3756" s="2">
        <v>9.0</v>
      </c>
      <c r="C3756" s="4"/>
      <c r="E3756" s="4" t="str">
        <f t="array" ref="E3756">XLOOKUP(A3756,'Fintech, Regulatory Arbitrage, '!A:A,'Fintech, Regulatory Arbitrage, '!C:C,"")</f>
        <v/>
      </c>
    </row>
    <row r="3757">
      <c r="A3757" s="1" t="s">
        <v>3776</v>
      </c>
      <c r="B3757" s="2">
        <v>9.0</v>
      </c>
      <c r="C3757" s="4"/>
      <c r="E3757" s="4" t="str">
        <f t="array" ref="E3757">XLOOKUP(A3757,'Fintech, Regulatory Arbitrage, '!A:A,'Fintech, Regulatory Arbitrage, '!C:C,"")</f>
        <v/>
      </c>
    </row>
    <row r="3758">
      <c r="A3758" s="1" t="s">
        <v>3777</v>
      </c>
      <c r="B3758" s="2">
        <v>9.0</v>
      </c>
      <c r="C3758" s="4"/>
      <c r="E3758" s="4" t="str">
        <f t="array" ref="E3758">XLOOKUP(A3758,'Fintech, Regulatory Arbitrage, '!A:A,'Fintech, Regulatory Arbitrage, '!C:C,"")</f>
        <v/>
      </c>
    </row>
    <row r="3759">
      <c r="A3759" s="1" t="s">
        <v>3778</v>
      </c>
      <c r="B3759" s="2">
        <v>9.0</v>
      </c>
      <c r="C3759" s="4"/>
      <c r="E3759" s="4" t="str">
        <f t="array" ref="E3759">XLOOKUP(A3759,'Fintech, Regulatory Arbitrage, '!A:A,'Fintech, Regulatory Arbitrage, '!C:C,"")</f>
        <v/>
      </c>
    </row>
    <row r="3760">
      <c r="A3760" s="1" t="s">
        <v>3779</v>
      </c>
      <c r="B3760" s="2">
        <v>9.0</v>
      </c>
      <c r="C3760" s="4"/>
      <c r="E3760" s="4" t="str">
        <f t="array" ref="E3760">XLOOKUP(A3760,'Fintech, Regulatory Arbitrage, '!A:A,'Fintech, Regulatory Arbitrage, '!C:C,"")</f>
        <v/>
      </c>
    </row>
    <row r="3761">
      <c r="A3761" s="1" t="s">
        <v>3780</v>
      </c>
      <c r="B3761" s="2">
        <v>9.0</v>
      </c>
      <c r="C3761" s="4"/>
      <c r="E3761" s="4" t="str">
        <f t="array" ref="E3761">XLOOKUP(A3761,'Fintech, Regulatory Arbitrage, '!A:A,'Fintech, Regulatory Arbitrage, '!C:C,"")</f>
        <v/>
      </c>
    </row>
    <row r="3762">
      <c r="A3762" s="1" t="s">
        <v>3781</v>
      </c>
      <c r="B3762" s="2">
        <v>9.0</v>
      </c>
      <c r="C3762" s="4"/>
      <c r="E3762" s="4" t="str">
        <f t="array" ref="E3762">XLOOKUP(A3762,'Fintech, Regulatory Arbitrage, '!A:A,'Fintech, Regulatory Arbitrage, '!C:C,"")</f>
        <v/>
      </c>
    </row>
    <row r="3763">
      <c r="A3763" s="1" t="s">
        <v>3782</v>
      </c>
      <c r="B3763" s="2">
        <v>9.0</v>
      </c>
      <c r="C3763" s="4"/>
      <c r="E3763" s="4" t="str">
        <f t="array" ref="E3763">XLOOKUP(A3763,'Fintech, Regulatory Arbitrage, '!A:A,'Fintech, Regulatory Arbitrage, '!C:C,"")</f>
        <v/>
      </c>
    </row>
    <row r="3764">
      <c r="A3764" s="1" t="s">
        <v>3783</v>
      </c>
      <c r="B3764" s="2">
        <v>9.0</v>
      </c>
      <c r="C3764" s="4"/>
      <c r="E3764" s="4" t="str">
        <f t="array" ref="E3764">XLOOKUP(A3764,'Fintech, Regulatory Arbitrage, '!A:A,'Fintech, Regulatory Arbitrage, '!C:C,"")</f>
        <v/>
      </c>
    </row>
    <row r="3765">
      <c r="A3765" s="1" t="s">
        <v>3784</v>
      </c>
      <c r="B3765" s="2">
        <v>9.0</v>
      </c>
      <c r="C3765" s="4"/>
      <c r="E3765" s="4" t="str">
        <f t="array" ref="E3765">XLOOKUP(A3765,'Fintech, Regulatory Arbitrage, '!A:A,'Fintech, Regulatory Arbitrage, '!C:C,"")</f>
        <v/>
      </c>
    </row>
    <row r="3766">
      <c r="A3766" s="1" t="s">
        <v>3785</v>
      </c>
      <c r="B3766" s="2">
        <v>9.0</v>
      </c>
      <c r="C3766" s="4"/>
      <c r="E3766" s="4" t="str">
        <f t="array" ref="E3766">XLOOKUP(A3766,'Fintech, Regulatory Arbitrage, '!A:A,'Fintech, Regulatory Arbitrage, '!C:C,"")</f>
        <v/>
      </c>
    </row>
    <row r="3767">
      <c r="A3767" s="1" t="s">
        <v>3786</v>
      </c>
      <c r="B3767" s="2">
        <v>9.0</v>
      </c>
      <c r="C3767" s="4"/>
      <c r="E3767" s="4" t="str">
        <f t="array" ref="E3767">XLOOKUP(A3767,'Fintech, Regulatory Arbitrage, '!A:A,'Fintech, Regulatory Arbitrage, '!C:C,"")</f>
        <v/>
      </c>
    </row>
    <row r="3768">
      <c r="A3768" s="1" t="s">
        <v>3787</v>
      </c>
      <c r="B3768" s="2">
        <v>9.0</v>
      </c>
      <c r="C3768" s="4"/>
      <c r="E3768" s="4" t="str">
        <f t="array" ref="E3768">XLOOKUP(A3768,'Fintech, Regulatory Arbitrage, '!A:A,'Fintech, Regulatory Arbitrage, '!C:C,"")</f>
        <v/>
      </c>
    </row>
    <row r="3769">
      <c r="A3769" s="1" t="s">
        <v>3788</v>
      </c>
      <c r="B3769" s="2">
        <v>9.0</v>
      </c>
      <c r="C3769" s="4"/>
      <c r="E3769" s="4" t="str">
        <f t="array" ref="E3769">XLOOKUP(A3769,'Fintech, Regulatory Arbitrage, '!A:A,'Fintech, Regulatory Arbitrage, '!C:C,"")</f>
        <v/>
      </c>
    </row>
    <row r="3770">
      <c r="A3770" s="1" t="s">
        <v>3789</v>
      </c>
      <c r="B3770" s="2">
        <v>9.0</v>
      </c>
      <c r="C3770" s="4"/>
      <c r="E3770" s="4" t="str">
        <f t="array" ref="E3770">XLOOKUP(A3770,'Fintech, Regulatory Arbitrage, '!A:A,'Fintech, Regulatory Arbitrage, '!C:C,"")</f>
        <v/>
      </c>
    </row>
    <row r="3771">
      <c r="A3771" s="1" t="s">
        <v>3790</v>
      </c>
      <c r="B3771" s="2">
        <v>9.0</v>
      </c>
      <c r="C3771" s="4"/>
      <c r="E3771" s="4" t="str">
        <f t="array" ref="E3771">XLOOKUP(A3771,'Fintech, Regulatory Arbitrage, '!A:A,'Fintech, Regulatory Arbitrage, '!C:C,"")</f>
        <v/>
      </c>
    </row>
    <row r="3772">
      <c r="A3772" s="1" t="s">
        <v>3791</v>
      </c>
      <c r="B3772" s="2">
        <v>9.0</v>
      </c>
      <c r="C3772" s="4"/>
      <c r="E3772" s="4" t="str">
        <f t="array" ref="E3772">XLOOKUP(A3772,'Fintech, Regulatory Arbitrage, '!A:A,'Fintech, Regulatory Arbitrage, '!C:C,"")</f>
        <v/>
      </c>
    </row>
    <row r="3773">
      <c r="A3773" s="1" t="s">
        <v>3792</v>
      </c>
      <c r="B3773" s="2">
        <v>9.0</v>
      </c>
      <c r="C3773" s="4"/>
      <c r="E3773" s="4" t="str">
        <f t="array" ref="E3773">XLOOKUP(A3773,'Fintech, Regulatory Arbitrage, '!A:A,'Fintech, Regulatory Arbitrage, '!C:C,"")</f>
        <v/>
      </c>
    </row>
    <row r="3774">
      <c r="A3774" s="1" t="s">
        <v>3793</v>
      </c>
      <c r="B3774" s="2">
        <v>9.0</v>
      </c>
      <c r="C3774" s="4"/>
      <c r="E3774" s="4" t="str">
        <f t="array" ref="E3774">XLOOKUP(A3774,'Fintech, Regulatory Arbitrage, '!A:A,'Fintech, Regulatory Arbitrage, '!C:C,"")</f>
        <v/>
      </c>
    </row>
    <row r="3775">
      <c r="A3775" s="1" t="s">
        <v>3794</v>
      </c>
      <c r="B3775" s="2">
        <v>9.0</v>
      </c>
      <c r="C3775" s="4"/>
      <c r="E3775" s="4" t="str">
        <f t="array" ref="E3775">XLOOKUP(A3775,'Fintech, Regulatory Arbitrage, '!A:A,'Fintech, Regulatory Arbitrage, '!C:C,"")</f>
        <v/>
      </c>
    </row>
    <row r="3776">
      <c r="A3776" s="1" t="s">
        <v>3795</v>
      </c>
      <c r="B3776" s="2">
        <v>9.0</v>
      </c>
      <c r="C3776" s="4"/>
      <c r="E3776" s="4" t="str">
        <f t="array" ref="E3776">XLOOKUP(A3776,'Fintech, Regulatory Arbitrage, '!A:A,'Fintech, Regulatory Arbitrage, '!C:C,"")</f>
        <v/>
      </c>
    </row>
    <row r="3777">
      <c r="A3777" s="1" t="s">
        <v>3796</v>
      </c>
      <c r="B3777" s="2">
        <v>9.0</v>
      </c>
      <c r="C3777" s="4"/>
      <c r="E3777" s="4" t="str">
        <f t="array" ref="E3777">XLOOKUP(A3777,'Fintech, Regulatory Arbitrage, '!A:A,'Fintech, Regulatory Arbitrage, '!C:C,"")</f>
        <v/>
      </c>
    </row>
    <row r="3778">
      <c r="A3778" s="1" t="s">
        <v>3797</v>
      </c>
      <c r="B3778" s="2">
        <v>9.0</v>
      </c>
      <c r="C3778" s="4"/>
      <c r="E3778" s="4" t="str">
        <f t="array" ref="E3778">XLOOKUP(A3778,'Fintech, Regulatory Arbitrage, '!A:A,'Fintech, Regulatory Arbitrage, '!C:C,"")</f>
        <v/>
      </c>
    </row>
    <row r="3779">
      <c r="A3779" s="1" t="s">
        <v>3798</v>
      </c>
      <c r="B3779" s="2">
        <v>9.0</v>
      </c>
      <c r="C3779" s="4"/>
      <c r="E3779" s="4" t="str">
        <f t="array" ref="E3779">XLOOKUP(A3779,'Fintech, Regulatory Arbitrage, '!A:A,'Fintech, Regulatory Arbitrage, '!C:C,"")</f>
        <v/>
      </c>
    </row>
    <row r="3780">
      <c r="A3780" s="1" t="s">
        <v>3799</v>
      </c>
      <c r="B3780" s="2">
        <v>9.0</v>
      </c>
      <c r="C3780" s="4"/>
      <c r="E3780" s="4" t="str">
        <f t="array" ref="E3780">XLOOKUP(A3780,'Fintech, Regulatory Arbitrage, '!A:A,'Fintech, Regulatory Arbitrage, '!C:C,"")</f>
        <v/>
      </c>
    </row>
    <row r="3781">
      <c r="A3781" s="1" t="s">
        <v>3800</v>
      </c>
      <c r="B3781" s="2">
        <v>9.0</v>
      </c>
      <c r="C3781" s="4"/>
      <c r="E3781" s="4" t="str">
        <f t="array" ref="E3781">XLOOKUP(A3781,'Fintech, Regulatory Arbitrage, '!A:A,'Fintech, Regulatory Arbitrage, '!C:C,"")</f>
        <v/>
      </c>
    </row>
    <row r="3782">
      <c r="A3782" s="1" t="s">
        <v>3801</v>
      </c>
      <c r="B3782" s="2">
        <v>9.0</v>
      </c>
      <c r="C3782" s="4"/>
      <c r="E3782" s="4" t="str">
        <f t="array" ref="E3782">XLOOKUP(A3782,'Fintech, Regulatory Arbitrage, '!A:A,'Fintech, Regulatory Arbitrage, '!C:C,"")</f>
        <v/>
      </c>
    </row>
    <row r="3783">
      <c r="A3783" s="1" t="s">
        <v>3802</v>
      </c>
      <c r="B3783" s="2">
        <v>9.0</v>
      </c>
      <c r="C3783" s="4"/>
      <c r="E3783" s="4" t="str">
        <f t="array" ref="E3783">XLOOKUP(A3783,'Fintech, Regulatory Arbitrage, '!A:A,'Fintech, Regulatory Arbitrage, '!C:C,"")</f>
        <v/>
      </c>
    </row>
    <row r="3784">
      <c r="A3784" s="1" t="s">
        <v>3803</v>
      </c>
      <c r="B3784" s="2">
        <v>9.0</v>
      </c>
      <c r="C3784" s="4"/>
      <c r="E3784" s="4" t="str">
        <f t="array" ref="E3784">XLOOKUP(A3784,'Fintech, Regulatory Arbitrage, '!A:A,'Fintech, Regulatory Arbitrage, '!C:C,"")</f>
        <v/>
      </c>
    </row>
    <row r="3785">
      <c r="A3785" s="1" t="s">
        <v>3804</v>
      </c>
      <c r="B3785" s="2">
        <v>9.0</v>
      </c>
      <c r="C3785" s="4"/>
      <c r="E3785" s="4" t="str">
        <f t="array" ref="E3785">XLOOKUP(A3785,'Fintech, Regulatory Arbitrage, '!A:A,'Fintech, Regulatory Arbitrage, '!C:C,"")</f>
        <v/>
      </c>
    </row>
    <row r="3786">
      <c r="A3786" s="1" t="s">
        <v>3805</v>
      </c>
      <c r="B3786" s="2">
        <v>9.0</v>
      </c>
      <c r="C3786" s="4"/>
      <c r="E3786" s="4" t="str">
        <f t="array" ref="E3786">XLOOKUP(A3786,'Fintech, Regulatory Arbitrage, '!A:A,'Fintech, Regulatory Arbitrage, '!C:C,"")</f>
        <v/>
      </c>
    </row>
    <row r="3787">
      <c r="A3787" s="1" t="s">
        <v>3806</v>
      </c>
      <c r="B3787" s="2">
        <v>9.0</v>
      </c>
      <c r="C3787" s="4"/>
      <c r="E3787" s="4" t="str">
        <f t="array" ref="E3787">XLOOKUP(A3787,'Fintech, Regulatory Arbitrage, '!A:A,'Fintech, Regulatory Arbitrage, '!C:C,"")</f>
        <v/>
      </c>
    </row>
    <row r="3788">
      <c r="A3788" s="1" t="s">
        <v>3807</v>
      </c>
      <c r="B3788" s="2">
        <v>9.0</v>
      </c>
      <c r="C3788" s="4"/>
      <c r="E3788" s="4" t="str">
        <f t="array" ref="E3788">XLOOKUP(A3788,'Fintech, Regulatory Arbitrage, '!A:A,'Fintech, Regulatory Arbitrage, '!C:C,"")</f>
        <v/>
      </c>
    </row>
    <row r="3789">
      <c r="A3789" s="1" t="s">
        <v>3808</v>
      </c>
      <c r="B3789" s="2">
        <v>9.0</v>
      </c>
      <c r="C3789" s="4"/>
      <c r="E3789" s="4" t="str">
        <f t="array" ref="E3789">XLOOKUP(A3789,'Fintech, Regulatory Arbitrage, '!A:A,'Fintech, Regulatory Arbitrage, '!C:C,"")</f>
        <v/>
      </c>
    </row>
    <row r="3790">
      <c r="A3790" s="1" t="s">
        <v>3809</v>
      </c>
      <c r="B3790" s="2">
        <v>9.0</v>
      </c>
      <c r="C3790" s="4"/>
      <c r="E3790" s="4" t="str">
        <f t="array" ref="E3790">XLOOKUP(A3790,'Fintech, Regulatory Arbitrage, '!A:A,'Fintech, Regulatory Arbitrage, '!C:C,"")</f>
        <v/>
      </c>
    </row>
    <row r="3791">
      <c r="A3791" s="1" t="s">
        <v>3810</v>
      </c>
      <c r="B3791" s="2">
        <v>9.0</v>
      </c>
      <c r="C3791" s="4"/>
      <c r="E3791" s="4" t="str">
        <f t="array" ref="E3791">XLOOKUP(A3791,'Fintech, Regulatory Arbitrage, '!A:A,'Fintech, Regulatory Arbitrage, '!C:C,"")</f>
        <v/>
      </c>
    </row>
    <row r="3792">
      <c r="A3792" s="1" t="s">
        <v>3811</v>
      </c>
      <c r="B3792" s="2">
        <v>9.0</v>
      </c>
      <c r="C3792" s="4"/>
      <c r="E3792" s="4" t="str">
        <f t="array" ref="E3792">XLOOKUP(A3792,'Fintech, Regulatory Arbitrage, '!A:A,'Fintech, Regulatory Arbitrage, '!C:C,"")</f>
        <v/>
      </c>
    </row>
    <row r="3793">
      <c r="A3793" s="1" t="s">
        <v>3812</v>
      </c>
      <c r="B3793" s="2">
        <v>9.0</v>
      </c>
      <c r="C3793" s="4"/>
      <c r="E3793" s="4" t="str">
        <f t="array" ref="E3793">XLOOKUP(A3793,'Fintech, Regulatory Arbitrage, '!A:A,'Fintech, Regulatory Arbitrage, '!C:C,"")</f>
        <v/>
      </c>
    </row>
    <row r="3794">
      <c r="A3794" s="1" t="s">
        <v>3813</v>
      </c>
      <c r="B3794" s="2">
        <v>9.0</v>
      </c>
      <c r="C3794" s="4"/>
      <c r="E3794" s="4" t="str">
        <f t="array" ref="E3794">XLOOKUP(A3794,'Fintech, Regulatory Arbitrage, '!A:A,'Fintech, Regulatory Arbitrage, '!C:C,"")</f>
        <v/>
      </c>
    </row>
    <row r="3795">
      <c r="A3795" s="1" t="s">
        <v>3814</v>
      </c>
      <c r="B3795" s="2">
        <v>9.0</v>
      </c>
      <c r="C3795" s="4"/>
      <c r="E3795" s="4" t="str">
        <f t="array" ref="E3795">XLOOKUP(A3795,'Fintech, Regulatory Arbitrage, '!A:A,'Fintech, Regulatory Arbitrage, '!C:C,"")</f>
        <v/>
      </c>
    </row>
    <row r="3796">
      <c r="A3796" s="1" t="s">
        <v>3815</v>
      </c>
      <c r="B3796" s="2">
        <v>9.0</v>
      </c>
      <c r="C3796" s="4"/>
      <c r="E3796" s="4" t="str">
        <f t="array" ref="E3796">XLOOKUP(A3796,'Fintech, Regulatory Arbitrage, '!A:A,'Fintech, Regulatory Arbitrage, '!C:C,"")</f>
        <v/>
      </c>
    </row>
    <row r="3797">
      <c r="A3797" s="1" t="s">
        <v>3816</v>
      </c>
      <c r="B3797" s="2">
        <v>9.0</v>
      </c>
      <c r="C3797" s="4"/>
      <c r="E3797" s="4" t="str">
        <f t="array" ref="E3797">XLOOKUP(A3797,'Fintech, Regulatory Arbitrage, '!A:A,'Fintech, Regulatory Arbitrage, '!C:C,"")</f>
        <v/>
      </c>
    </row>
    <row r="3798">
      <c r="A3798" s="1" t="s">
        <v>3817</v>
      </c>
      <c r="B3798" s="2">
        <v>9.0</v>
      </c>
      <c r="C3798" s="4"/>
      <c r="E3798" s="4" t="str">
        <f t="array" ref="E3798">XLOOKUP(A3798,'Fintech, Regulatory Arbitrage, '!A:A,'Fintech, Regulatory Arbitrage, '!C:C,"")</f>
        <v/>
      </c>
    </row>
    <row r="3799">
      <c r="A3799" s="1" t="s">
        <v>3818</v>
      </c>
      <c r="B3799" s="2">
        <v>9.0</v>
      </c>
      <c r="C3799" s="4"/>
      <c r="E3799" s="4" t="str">
        <f t="array" ref="E3799">XLOOKUP(A3799,'Fintech, Regulatory Arbitrage, '!A:A,'Fintech, Regulatory Arbitrage, '!C:C,"")</f>
        <v/>
      </c>
    </row>
    <row r="3800">
      <c r="A3800" s="1" t="s">
        <v>3819</v>
      </c>
      <c r="B3800" s="2">
        <v>9.0</v>
      </c>
      <c r="C3800" s="4"/>
      <c r="E3800" s="4" t="str">
        <f t="array" ref="E3800">XLOOKUP(A3800,'Fintech, Regulatory Arbitrage, '!A:A,'Fintech, Regulatory Arbitrage, '!C:C,"")</f>
        <v/>
      </c>
    </row>
    <row r="3801">
      <c r="A3801" s="1" t="s">
        <v>3820</v>
      </c>
      <c r="B3801" s="2">
        <v>9.0</v>
      </c>
      <c r="C3801" s="4"/>
      <c r="E3801" s="4" t="str">
        <f t="array" ref="E3801">XLOOKUP(A3801,'Fintech, Regulatory Arbitrage, '!A:A,'Fintech, Regulatory Arbitrage, '!C:C,"")</f>
        <v/>
      </c>
    </row>
    <row r="3802">
      <c r="A3802" s="1" t="s">
        <v>3821</v>
      </c>
      <c r="B3802" s="2">
        <v>9.0</v>
      </c>
      <c r="C3802" s="4"/>
      <c r="E3802" s="4" t="str">
        <f t="array" ref="E3802">XLOOKUP(A3802,'Fintech, Regulatory Arbitrage, '!A:A,'Fintech, Regulatory Arbitrage, '!C:C,"")</f>
        <v/>
      </c>
    </row>
    <row r="3803">
      <c r="A3803" s="1" t="s">
        <v>3822</v>
      </c>
      <c r="B3803" s="2">
        <v>9.0</v>
      </c>
      <c r="C3803" s="4"/>
      <c r="E3803" s="4" t="str">
        <f t="array" ref="E3803">XLOOKUP(A3803,'Fintech, Regulatory Arbitrage, '!A:A,'Fintech, Regulatory Arbitrage, '!C:C,"")</f>
        <v/>
      </c>
    </row>
    <row r="3804">
      <c r="A3804" s="1" t="s">
        <v>3823</v>
      </c>
      <c r="B3804" s="2">
        <v>9.0</v>
      </c>
      <c r="C3804" s="4"/>
      <c r="E3804" s="4" t="str">
        <f t="array" ref="E3804">XLOOKUP(A3804,'Fintech, Regulatory Arbitrage, '!A:A,'Fintech, Regulatory Arbitrage, '!C:C,"")</f>
        <v/>
      </c>
    </row>
    <row r="3805">
      <c r="A3805" s="1" t="s">
        <v>3824</v>
      </c>
      <c r="B3805" s="2">
        <v>9.0</v>
      </c>
      <c r="C3805" s="4"/>
      <c r="E3805" s="4" t="str">
        <f t="array" ref="E3805">XLOOKUP(A3805,'Fintech, Regulatory Arbitrage, '!A:A,'Fintech, Regulatory Arbitrage, '!C:C,"")</f>
        <v/>
      </c>
    </row>
    <row r="3806">
      <c r="A3806" s="1" t="s">
        <v>3825</v>
      </c>
      <c r="B3806" s="2">
        <v>9.0</v>
      </c>
      <c r="C3806" s="4"/>
      <c r="E3806" s="4" t="str">
        <f t="array" ref="E3806">XLOOKUP(A3806,'Fintech, Regulatory Arbitrage, '!A:A,'Fintech, Regulatory Arbitrage, '!C:C,"")</f>
        <v/>
      </c>
    </row>
    <row r="3807">
      <c r="A3807" s="1" t="s">
        <v>3826</v>
      </c>
      <c r="B3807" s="2">
        <v>9.0</v>
      </c>
      <c r="C3807" s="4"/>
      <c r="E3807" s="4" t="str">
        <f t="array" ref="E3807">XLOOKUP(A3807,'Fintech, Regulatory Arbitrage, '!A:A,'Fintech, Regulatory Arbitrage, '!C:C,"")</f>
        <v/>
      </c>
    </row>
    <row r="3808">
      <c r="A3808" s="1" t="s">
        <v>3827</v>
      </c>
      <c r="B3808" s="2">
        <v>9.0</v>
      </c>
      <c r="C3808" s="4"/>
      <c r="E3808" s="4" t="str">
        <f t="array" ref="E3808">XLOOKUP(A3808,'Fintech, Regulatory Arbitrage, '!A:A,'Fintech, Regulatory Arbitrage, '!C:C,"")</f>
        <v/>
      </c>
    </row>
    <row r="3809">
      <c r="A3809" s="1" t="s">
        <v>3828</v>
      </c>
      <c r="B3809" s="2">
        <v>9.0</v>
      </c>
      <c r="C3809" s="4"/>
      <c r="E3809" s="4" t="str">
        <f t="array" ref="E3809">XLOOKUP(A3809,'Fintech, Regulatory Arbitrage, '!A:A,'Fintech, Regulatory Arbitrage, '!C:C,"")</f>
        <v/>
      </c>
    </row>
    <row r="3810">
      <c r="A3810" s="1" t="s">
        <v>3829</v>
      </c>
      <c r="B3810" s="2">
        <v>9.0</v>
      </c>
      <c r="C3810" s="4"/>
      <c r="E3810" s="4" t="str">
        <f t="array" ref="E3810">XLOOKUP(A3810,'Fintech, Regulatory Arbitrage, '!A:A,'Fintech, Regulatory Arbitrage, '!C:C,"")</f>
        <v/>
      </c>
    </row>
    <row r="3811">
      <c r="A3811" s="1" t="s">
        <v>3830</v>
      </c>
      <c r="B3811" s="2">
        <v>9.0</v>
      </c>
      <c r="C3811" s="4"/>
      <c r="E3811" s="4" t="str">
        <f t="array" ref="E3811">XLOOKUP(A3811,'Fintech, Regulatory Arbitrage, '!A:A,'Fintech, Regulatory Arbitrage, '!C:C,"")</f>
        <v/>
      </c>
    </row>
    <row r="3812">
      <c r="A3812" s="1" t="s">
        <v>3831</v>
      </c>
      <c r="B3812" s="2">
        <v>9.0</v>
      </c>
      <c r="C3812" s="4"/>
      <c r="E3812" s="4" t="str">
        <f t="array" ref="E3812">XLOOKUP(A3812,'Fintech, Regulatory Arbitrage, '!A:A,'Fintech, Regulatory Arbitrage, '!C:C,"")</f>
        <v/>
      </c>
    </row>
    <row r="3813">
      <c r="A3813" s="1" t="s">
        <v>3832</v>
      </c>
      <c r="B3813" s="2">
        <v>9.0</v>
      </c>
      <c r="C3813" s="4"/>
      <c r="E3813" s="4" t="str">
        <f t="array" ref="E3813">XLOOKUP(A3813,'Fintech, Regulatory Arbitrage, '!A:A,'Fintech, Regulatory Arbitrage, '!C:C,"")</f>
        <v/>
      </c>
    </row>
    <row r="3814">
      <c r="A3814" s="1" t="s">
        <v>3833</v>
      </c>
      <c r="B3814" s="2">
        <v>9.0</v>
      </c>
      <c r="C3814" s="4"/>
      <c r="E3814" s="4" t="str">
        <f t="array" ref="E3814">XLOOKUP(A3814,'Fintech, Regulatory Arbitrage, '!A:A,'Fintech, Regulatory Arbitrage, '!C:C,"")</f>
        <v/>
      </c>
    </row>
    <row r="3815">
      <c r="A3815" s="1" t="s">
        <v>3834</v>
      </c>
      <c r="B3815" s="2">
        <v>9.0</v>
      </c>
      <c r="C3815" s="4"/>
      <c r="E3815" s="4" t="str">
        <f t="array" ref="E3815">XLOOKUP(A3815,'Fintech, Regulatory Arbitrage, '!A:A,'Fintech, Regulatory Arbitrage, '!C:C,"")</f>
        <v/>
      </c>
    </row>
    <row r="3816">
      <c r="A3816" s="1" t="s">
        <v>3835</v>
      </c>
      <c r="B3816" s="2">
        <v>9.0</v>
      </c>
      <c r="C3816" s="4"/>
      <c r="E3816" s="4" t="str">
        <f t="array" ref="E3816">XLOOKUP(A3816,'Fintech, Regulatory Arbitrage, '!A:A,'Fintech, Regulatory Arbitrage, '!C:C,"")</f>
        <v/>
      </c>
    </row>
    <row r="3817">
      <c r="A3817" s="1" t="s">
        <v>3836</v>
      </c>
      <c r="B3817" s="2">
        <v>9.0</v>
      </c>
      <c r="C3817" s="4"/>
      <c r="E3817" s="4" t="str">
        <f t="array" ref="E3817">XLOOKUP(A3817,'Fintech, Regulatory Arbitrage, '!A:A,'Fintech, Regulatory Arbitrage, '!C:C,"")</f>
        <v/>
      </c>
    </row>
    <row r="3818">
      <c r="A3818" s="1" t="s">
        <v>3837</v>
      </c>
      <c r="B3818" s="2">
        <v>9.0</v>
      </c>
      <c r="C3818" s="4"/>
      <c r="E3818" s="4" t="str">
        <f t="array" ref="E3818">XLOOKUP(A3818,'Fintech, Regulatory Arbitrage, '!A:A,'Fintech, Regulatory Arbitrage, '!C:C,"")</f>
        <v/>
      </c>
    </row>
    <row r="3819">
      <c r="A3819" s="1" t="s">
        <v>3838</v>
      </c>
      <c r="B3819" s="2">
        <v>9.0</v>
      </c>
      <c r="C3819" s="4"/>
      <c r="E3819" s="4" t="str">
        <f t="array" ref="E3819">XLOOKUP(A3819,'Fintech, Regulatory Arbitrage, '!A:A,'Fintech, Regulatory Arbitrage, '!C:C,"")</f>
        <v/>
      </c>
    </row>
    <row r="3820">
      <c r="A3820" s="1" t="s">
        <v>3839</v>
      </c>
      <c r="B3820" s="2">
        <v>9.0</v>
      </c>
      <c r="C3820" s="4"/>
      <c r="E3820" s="4" t="str">
        <f t="array" ref="E3820">XLOOKUP(A3820,'Fintech, Regulatory Arbitrage, '!A:A,'Fintech, Regulatory Arbitrage, '!C:C,"")</f>
        <v/>
      </c>
    </row>
    <row r="3821">
      <c r="A3821" s="1" t="s">
        <v>3840</v>
      </c>
      <c r="B3821" s="2">
        <v>9.0</v>
      </c>
      <c r="C3821" s="4"/>
      <c r="E3821" s="4" t="str">
        <f t="array" ref="E3821">XLOOKUP(A3821,'Fintech, Regulatory Arbitrage, '!A:A,'Fintech, Regulatory Arbitrage, '!C:C,"")</f>
        <v/>
      </c>
    </row>
    <row r="3822">
      <c r="A3822" s="1" t="s">
        <v>3841</v>
      </c>
      <c r="B3822" s="2">
        <v>9.0</v>
      </c>
      <c r="C3822" s="4"/>
      <c r="E3822" s="4" t="str">
        <f t="array" ref="E3822">XLOOKUP(A3822,'Fintech, Regulatory Arbitrage, '!A:A,'Fintech, Regulatory Arbitrage, '!C:C,"")</f>
        <v/>
      </c>
    </row>
    <row r="3823">
      <c r="A3823" s="1" t="s">
        <v>3842</v>
      </c>
      <c r="B3823" s="2">
        <v>9.0</v>
      </c>
      <c r="C3823" s="4"/>
      <c r="E3823" s="4" t="str">
        <f t="array" ref="E3823">XLOOKUP(A3823,'Fintech, Regulatory Arbitrage, '!A:A,'Fintech, Regulatory Arbitrage, '!C:C,"")</f>
        <v/>
      </c>
    </row>
    <row r="3824">
      <c r="A3824" s="1" t="s">
        <v>3843</v>
      </c>
      <c r="B3824" s="2">
        <v>9.0</v>
      </c>
      <c r="C3824" s="4"/>
      <c r="E3824" s="4" t="str">
        <f t="array" ref="E3824">XLOOKUP(A3824,'Fintech, Regulatory Arbitrage, '!A:A,'Fintech, Regulatory Arbitrage, '!C:C,"")</f>
        <v/>
      </c>
    </row>
    <row r="3825">
      <c r="A3825" s="1" t="s">
        <v>3844</v>
      </c>
      <c r="B3825" s="2">
        <v>9.0</v>
      </c>
      <c r="C3825" s="4"/>
      <c r="E3825" s="4" t="str">
        <f t="array" ref="E3825">XLOOKUP(A3825,'Fintech, Regulatory Arbitrage, '!A:A,'Fintech, Regulatory Arbitrage, '!C:C,"")</f>
        <v/>
      </c>
    </row>
    <row r="3826">
      <c r="A3826" s="1" t="s">
        <v>3845</v>
      </c>
      <c r="B3826" s="2">
        <v>9.0</v>
      </c>
      <c r="C3826" s="4"/>
      <c r="E3826" s="4" t="str">
        <f t="array" ref="E3826">XLOOKUP(A3826,'Fintech, Regulatory Arbitrage, '!A:A,'Fintech, Regulatory Arbitrage, '!C:C,"")</f>
        <v/>
      </c>
    </row>
    <row r="3827">
      <c r="A3827" s="1" t="s">
        <v>3846</v>
      </c>
      <c r="B3827" s="2">
        <v>9.0</v>
      </c>
      <c r="C3827" s="4"/>
      <c r="E3827" s="4" t="str">
        <f t="array" ref="E3827">XLOOKUP(A3827,'Fintech, Regulatory Arbitrage, '!A:A,'Fintech, Regulatory Arbitrage, '!C:C,"")</f>
        <v/>
      </c>
    </row>
    <row r="3828">
      <c r="A3828" s="1" t="s">
        <v>3847</v>
      </c>
      <c r="B3828" s="2">
        <v>9.0</v>
      </c>
      <c r="C3828" s="4"/>
      <c r="E3828" s="4" t="str">
        <f t="array" ref="E3828">XLOOKUP(A3828,'Fintech, Regulatory Arbitrage, '!A:A,'Fintech, Regulatory Arbitrage, '!C:C,"")</f>
        <v/>
      </c>
    </row>
    <row r="3829">
      <c r="A3829" s="1" t="s">
        <v>3848</v>
      </c>
      <c r="B3829" s="2">
        <v>9.0</v>
      </c>
      <c r="C3829" s="4"/>
      <c r="E3829" s="4" t="str">
        <f t="array" ref="E3829">XLOOKUP(A3829,'Fintech, Regulatory Arbitrage, '!A:A,'Fintech, Regulatory Arbitrage, '!C:C,"")</f>
        <v/>
      </c>
    </row>
    <row r="3830">
      <c r="A3830" s="1" t="s">
        <v>3849</v>
      </c>
      <c r="B3830" s="2">
        <v>9.0</v>
      </c>
      <c r="C3830" s="4"/>
      <c r="E3830" s="4" t="str">
        <f t="array" ref="E3830">XLOOKUP(A3830,'Fintech, Regulatory Arbitrage, '!A:A,'Fintech, Regulatory Arbitrage, '!C:C,"")</f>
        <v/>
      </c>
    </row>
    <row r="3831">
      <c r="A3831" s="1" t="s">
        <v>3850</v>
      </c>
      <c r="B3831" s="2">
        <v>9.0</v>
      </c>
      <c r="C3831" s="4"/>
      <c r="E3831" s="4" t="str">
        <f t="array" ref="E3831">XLOOKUP(A3831,'Fintech, Regulatory Arbitrage, '!A:A,'Fintech, Regulatory Arbitrage, '!C:C,"")</f>
        <v/>
      </c>
    </row>
    <row r="3832">
      <c r="A3832" s="1" t="s">
        <v>3851</v>
      </c>
      <c r="B3832" s="2">
        <v>9.0</v>
      </c>
      <c r="C3832" s="4"/>
      <c r="E3832" s="4" t="str">
        <f t="array" ref="E3832">XLOOKUP(A3832,'Fintech, Regulatory Arbitrage, '!A:A,'Fintech, Regulatory Arbitrage, '!C:C,"")</f>
        <v/>
      </c>
    </row>
    <row r="3833">
      <c r="A3833" s="1" t="s">
        <v>3852</v>
      </c>
      <c r="B3833" s="2">
        <v>9.0</v>
      </c>
      <c r="C3833" s="4"/>
      <c r="E3833" s="4" t="str">
        <f t="array" ref="E3833">XLOOKUP(A3833,'Fintech, Regulatory Arbitrage, '!A:A,'Fintech, Regulatory Arbitrage, '!C:C,"")</f>
        <v/>
      </c>
    </row>
    <row r="3834">
      <c r="A3834" s="1" t="s">
        <v>3853</v>
      </c>
      <c r="B3834" s="2">
        <v>9.0</v>
      </c>
      <c r="C3834" s="4"/>
      <c r="E3834" s="4" t="str">
        <f t="array" ref="E3834">XLOOKUP(A3834,'Fintech, Regulatory Arbitrage, '!A:A,'Fintech, Regulatory Arbitrage, '!C:C,"")</f>
        <v/>
      </c>
    </row>
    <row r="3835">
      <c r="A3835" s="1" t="s">
        <v>3854</v>
      </c>
      <c r="B3835" s="2">
        <v>9.0</v>
      </c>
      <c r="C3835" s="4"/>
      <c r="E3835" s="4" t="str">
        <f t="array" ref="E3835">XLOOKUP(A3835,'Fintech, Regulatory Arbitrage, '!A:A,'Fintech, Regulatory Arbitrage, '!C:C,"")</f>
        <v/>
      </c>
    </row>
    <row r="3836">
      <c r="A3836" s="1" t="s">
        <v>3855</v>
      </c>
      <c r="B3836" s="2">
        <v>9.0</v>
      </c>
      <c r="C3836" s="4"/>
      <c r="E3836" s="4" t="str">
        <f t="array" ref="E3836">XLOOKUP(A3836,'Fintech, Regulatory Arbitrage, '!A:A,'Fintech, Regulatory Arbitrage, '!C:C,"")</f>
        <v/>
      </c>
    </row>
    <row r="3837">
      <c r="A3837" s="1" t="s">
        <v>3856</v>
      </c>
      <c r="B3837" s="2">
        <v>9.0</v>
      </c>
      <c r="C3837" s="4"/>
      <c r="E3837" s="4" t="str">
        <f t="array" ref="E3837">XLOOKUP(A3837,'Fintech, Regulatory Arbitrage, '!A:A,'Fintech, Regulatory Arbitrage, '!C:C,"")</f>
        <v/>
      </c>
    </row>
    <row r="3838">
      <c r="A3838" s="1" t="s">
        <v>3857</v>
      </c>
      <c r="B3838" s="2">
        <v>9.0</v>
      </c>
      <c r="C3838" s="4"/>
      <c r="E3838" s="4" t="str">
        <f t="array" ref="E3838">XLOOKUP(A3838,'Fintech, Regulatory Arbitrage, '!A:A,'Fintech, Regulatory Arbitrage, '!C:C,"")</f>
        <v/>
      </c>
    </row>
    <row r="3839">
      <c r="A3839" s="1" t="s">
        <v>3858</v>
      </c>
      <c r="B3839" s="2">
        <v>9.0</v>
      </c>
      <c r="C3839" s="4"/>
      <c r="E3839" s="4" t="str">
        <f t="array" ref="E3839">XLOOKUP(A3839,'Fintech, Regulatory Arbitrage, '!A:A,'Fintech, Regulatory Arbitrage, '!C:C,"")</f>
        <v/>
      </c>
    </row>
    <row r="3840">
      <c r="A3840" s="1" t="s">
        <v>3859</v>
      </c>
      <c r="B3840" s="2">
        <v>9.0</v>
      </c>
      <c r="C3840" s="4"/>
      <c r="E3840" s="4" t="str">
        <f t="array" ref="E3840">XLOOKUP(A3840,'Fintech, Regulatory Arbitrage, '!A:A,'Fintech, Regulatory Arbitrage, '!C:C,"")</f>
        <v/>
      </c>
    </row>
    <row r="3841">
      <c r="A3841" s="1" t="s">
        <v>3860</v>
      </c>
      <c r="B3841" s="2">
        <v>9.0</v>
      </c>
      <c r="C3841" s="4"/>
      <c r="E3841" s="4" t="str">
        <f t="array" ref="E3841">XLOOKUP(A3841,'Fintech, Regulatory Arbitrage, '!A:A,'Fintech, Regulatory Arbitrage, '!C:C,"")</f>
        <v/>
      </c>
    </row>
    <row r="3842">
      <c r="A3842" s="1" t="s">
        <v>3861</v>
      </c>
      <c r="B3842" s="2">
        <v>9.0</v>
      </c>
      <c r="C3842" s="4"/>
      <c r="E3842" s="4" t="str">
        <f t="array" ref="E3842">XLOOKUP(A3842,'Fintech, Regulatory Arbitrage, '!A:A,'Fintech, Regulatory Arbitrage, '!C:C,"")</f>
        <v/>
      </c>
    </row>
    <row r="3843">
      <c r="A3843" s="1" t="s">
        <v>3862</v>
      </c>
      <c r="B3843" s="2">
        <v>9.0</v>
      </c>
      <c r="C3843" s="4"/>
      <c r="E3843" s="4" t="str">
        <f t="array" ref="E3843">XLOOKUP(A3843,'Fintech, Regulatory Arbitrage, '!A:A,'Fintech, Regulatory Arbitrage, '!C:C,"")</f>
        <v/>
      </c>
    </row>
    <row r="3844">
      <c r="A3844" s="1" t="s">
        <v>3863</v>
      </c>
      <c r="B3844" s="2">
        <v>9.0</v>
      </c>
      <c r="C3844" s="4"/>
      <c r="E3844" s="4" t="str">
        <f t="array" ref="E3844">XLOOKUP(A3844,'Fintech, Regulatory Arbitrage, '!A:A,'Fintech, Regulatory Arbitrage, '!C:C,"")</f>
        <v/>
      </c>
    </row>
    <row r="3845">
      <c r="A3845" s="1" t="s">
        <v>3864</v>
      </c>
      <c r="B3845" s="2">
        <v>9.0</v>
      </c>
      <c r="C3845" s="4"/>
      <c r="E3845" s="4" t="str">
        <f t="array" ref="E3845">XLOOKUP(A3845,'Fintech, Regulatory Arbitrage, '!A:A,'Fintech, Regulatory Arbitrage, '!C:C,"")</f>
        <v/>
      </c>
    </row>
    <row r="3846">
      <c r="A3846" s="1" t="s">
        <v>3865</v>
      </c>
      <c r="B3846" s="2">
        <v>9.0</v>
      </c>
      <c r="C3846" s="4"/>
      <c r="E3846" s="4" t="str">
        <f t="array" ref="E3846">XLOOKUP(A3846,'Fintech, Regulatory Arbitrage, '!A:A,'Fintech, Regulatory Arbitrage, '!C:C,"")</f>
        <v/>
      </c>
    </row>
    <row r="3847">
      <c r="A3847" s="1" t="s">
        <v>3866</v>
      </c>
      <c r="B3847" s="2">
        <v>9.0</v>
      </c>
      <c r="C3847" s="4"/>
      <c r="E3847" s="4" t="str">
        <f t="array" ref="E3847">XLOOKUP(A3847,'Fintech, Regulatory Arbitrage, '!A:A,'Fintech, Regulatory Arbitrage, '!C:C,"")</f>
        <v/>
      </c>
    </row>
    <row r="3848">
      <c r="A3848" s="1" t="s">
        <v>3867</v>
      </c>
      <c r="B3848" s="2">
        <v>9.0</v>
      </c>
      <c r="C3848" s="4"/>
      <c r="E3848" s="4" t="str">
        <f t="array" ref="E3848">XLOOKUP(A3848,'Fintech, Regulatory Arbitrage, '!A:A,'Fintech, Regulatory Arbitrage, '!C:C,"")</f>
        <v/>
      </c>
    </row>
    <row r="3849">
      <c r="A3849" s="1" t="s">
        <v>3868</v>
      </c>
      <c r="B3849" s="2">
        <v>9.0</v>
      </c>
      <c r="C3849" s="4"/>
      <c r="E3849" s="4" t="str">
        <f t="array" ref="E3849">XLOOKUP(A3849,'Fintech, Regulatory Arbitrage, '!A:A,'Fintech, Regulatory Arbitrage, '!C:C,"")</f>
        <v/>
      </c>
    </row>
    <row r="3850">
      <c r="A3850" s="1" t="s">
        <v>3869</v>
      </c>
      <c r="B3850" s="2">
        <v>9.0</v>
      </c>
      <c r="C3850" s="4"/>
      <c r="E3850" s="4" t="str">
        <f t="array" ref="E3850">XLOOKUP(A3850,'Fintech, Regulatory Arbitrage, '!A:A,'Fintech, Regulatory Arbitrage, '!C:C,"")</f>
        <v/>
      </c>
    </row>
    <row r="3851">
      <c r="A3851" s="1" t="s">
        <v>3870</v>
      </c>
      <c r="B3851" s="2">
        <v>9.0</v>
      </c>
      <c r="C3851" s="4"/>
      <c r="E3851" s="4" t="str">
        <f t="array" ref="E3851">XLOOKUP(A3851,'Fintech, Regulatory Arbitrage, '!A:A,'Fintech, Regulatory Arbitrage, '!C:C,"")</f>
        <v/>
      </c>
    </row>
    <row r="3852">
      <c r="A3852" s="1" t="s">
        <v>3871</v>
      </c>
      <c r="B3852" s="2">
        <v>9.0</v>
      </c>
      <c r="C3852" s="4"/>
      <c r="E3852" s="4" t="str">
        <f t="array" ref="E3852">XLOOKUP(A3852,'Fintech, Regulatory Arbitrage, '!A:A,'Fintech, Regulatory Arbitrage, '!C:C,"")</f>
        <v/>
      </c>
    </row>
    <row r="3853">
      <c r="A3853" s="1" t="s">
        <v>3872</v>
      </c>
      <c r="B3853" s="2">
        <v>9.0</v>
      </c>
      <c r="C3853" s="4"/>
      <c r="E3853" s="4" t="str">
        <f t="array" ref="E3853">XLOOKUP(A3853,'Fintech, Regulatory Arbitrage, '!A:A,'Fintech, Regulatory Arbitrage, '!C:C,"")</f>
        <v/>
      </c>
    </row>
    <row r="3854">
      <c r="A3854" s="1" t="s">
        <v>3873</v>
      </c>
      <c r="B3854" s="2">
        <v>9.0</v>
      </c>
      <c r="C3854" s="4"/>
      <c r="E3854" s="4" t="str">
        <f t="array" ref="E3854">XLOOKUP(A3854,'Fintech, Regulatory Arbitrage, '!A:A,'Fintech, Regulatory Arbitrage, '!C:C,"")</f>
        <v/>
      </c>
    </row>
    <row r="3855">
      <c r="A3855" s="1" t="s">
        <v>3874</v>
      </c>
      <c r="B3855" s="2">
        <v>9.0</v>
      </c>
      <c r="C3855" s="4"/>
      <c r="E3855" s="4" t="str">
        <f t="array" ref="E3855">XLOOKUP(A3855,'Fintech, Regulatory Arbitrage, '!A:A,'Fintech, Regulatory Arbitrage, '!C:C,"")</f>
        <v/>
      </c>
    </row>
    <row r="3856">
      <c r="A3856" s="1" t="s">
        <v>3875</v>
      </c>
      <c r="B3856" s="2">
        <v>9.0</v>
      </c>
      <c r="C3856" s="4"/>
      <c r="E3856" s="4" t="str">
        <f t="array" ref="E3856">XLOOKUP(A3856,'Fintech, Regulatory Arbitrage, '!A:A,'Fintech, Regulatory Arbitrage, '!C:C,"")</f>
        <v/>
      </c>
    </row>
    <row r="3857">
      <c r="A3857" s="1" t="s">
        <v>3876</v>
      </c>
      <c r="B3857" s="2">
        <v>9.0</v>
      </c>
      <c r="C3857" s="4"/>
      <c r="E3857" s="4" t="str">
        <f t="array" ref="E3857">XLOOKUP(A3857,'Fintech, Regulatory Arbitrage, '!A:A,'Fintech, Regulatory Arbitrage, '!C:C,"")</f>
        <v/>
      </c>
    </row>
    <row r="3858">
      <c r="A3858" s="1" t="s">
        <v>3877</v>
      </c>
      <c r="B3858" s="2">
        <v>9.0</v>
      </c>
      <c r="C3858" s="4"/>
      <c r="E3858" s="4" t="str">
        <f t="array" ref="E3858">XLOOKUP(A3858,'Fintech, Regulatory Arbitrage, '!A:A,'Fintech, Regulatory Arbitrage, '!C:C,"")</f>
        <v/>
      </c>
    </row>
    <row r="3859">
      <c r="A3859" s="1" t="s">
        <v>3878</v>
      </c>
      <c r="B3859" s="2">
        <v>9.0</v>
      </c>
      <c r="C3859" s="4"/>
      <c r="E3859" s="4" t="str">
        <f t="array" ref="E3859">XLOOKUP(A3859,'Fintech, Regulatory Arbitrage, '!A:A,'Fintech, Regulatory Arbitrage, '!C:C,"")</f>
        <v/>
      </c>
    </row>
    <row r="3860">
      <c r="A3860" s="1" t="s">
        <v>3879</v>
      </c>
      <c r="B3860" s="2">
        <v>9.0</v>
      </c>
      <c r="C3860" s="4"/>
      <c r="E3860" s="4" t="str">
        <f t="array" ref="E3860">XLOOKUP(A3860,'Fintech, Regulatory Arbitrage, '!A:A,'Fintech, Regulatory Arbitrage, '!C:C,"")</f>
        <v/>
      </c>
    </row>
    <row r="3861">
      <c r="A3861" s="1" t="s">
        <v>3880</v>
      </c>
      <c r="B3861" s="2">
        <v>9.0</v>
      </c>
      <c r="C3861" s="4"/>
      <c r="E3861" s="4" t="str">
        <f t="array" ref="E3861">XLOOKUP(A3861,'Fintech, Regulatory Arbitrage, '!A:A,'Fintech, Regulatory Arbitrage, '!C:C,"")</f>
        <v/>
      </c>
    </row>
    <row r="3862">
      <c r="A3862" s="1" t="s">
        <v>3881</v>
      </c>
      <c r="B3862" s="2">
        <v>9.0</v>
      </c>
      <c r="C3862" s="4"/>
      <c r="E3862" s="4" t="str">
        <f t="array" ref="E3862">XLOOKUP(A3862,'Fintech, Regulatory Arbitrage, '!A:A,'Fintech, Regulatory Arbitrage, '!C:C,"")</f>
        <v/>
      </c>
    </row>
    <row r="3863">
      <c r="A3863" s="1" t="s">
        <v>3882</v>
      </c>
      <c r="B3863" s="2">
        <v>9.0</v>
      </c>
      <c r="C3863" s="4"/>
      <c r="E3863" s="4" t="str">
        <f t="array" ref="E3863">XLOOKUP(A3863,'Fintech, Regulatory Arbitrage, '!A:A,'Fintech, Regulatory Arbitrage, '!C:C,"")</f>
        <v/>
      </c>
    </row>
    <row r="3864">
      <c r="A3864" s="1" t="s">
        <v>3883</v>
      </c>
      <c r="B3864" s="2">
        <v>9.0</v>
      </c>
      <c r="C3864" s="4"/>
      <c r="E3864" s="4" t="str">
        <f t="array" ref="E3864">XLOOKUP(A3864,'Fintech, Regulatory Arbitrage, '!A:A,'Fintech, Regulatory Arbitrage, '!C:C,"")</f>
        <v/>
      </c>
    </row>
    <row r="3865">
      <c r="A3865" s="1" t="s">
        <v>3884</v>
      </c>
      <c r="B3865" s="2">
        <v>9.0</v>
      </c>
      <c r="C3865" s="4"/>
      <c r="E3865" s="4" t="str">
        <f t="array" ref="E3865">XLOOKUP(A3865,'Fintech, Regulatory Arbitrage, '!A:A,'Fintech, Regulatory Arbitrage, '!C:C,"")</f>
        <v/>
      </c>
    </row>
    <row r="3866">
      <c r="A3866" s="1" t="s">
        <v>3885</v>
      </c>
      <c r="B3866" s="2">
        <v>9.0</v>
      </c>
      <c r="C3866" s="4"/>
      <c r="E3866" s="4" t="str">
        <f t="array" ref="E3866">XLOOKUP(A3866,'Fintech, Regulatory Arbitrage, '!A:A,'Fintech, Regulatory Arbitrage, '!C:C,"")</f>
        <v/>
      </c>
    </row>
    <row r="3867">
      <c r="A3867" s="1" t="s">
        <v>3886</v>
      </c>
      <c r="B3867" s="2">
        <v>9.0</v>
      </c>
      <c r="C3867" s="4"/>
      <c r="E3867" s="4" t="str">
        <f t="array" ref="E3867">XLOOKUP(A3867,'Fintech, Regulatory Arbitrage, '!A:A,'Fintech, Regulatory Arbitrage, '!C:C,"")</f>
        <v/>
      </c>
    </row>
    <row r="3868">
      <c r="A3868" s="1" t="s">
        <v>3887</v>
      </c>
      <c r="B3868" s="2">
        <v>9.0</v>
      </c>
      <c r="C3868" s="4"/>
      <c r="E3868" s="4" t="str">
        <f t="array" ref="E3868">XLOOKUP(A3868,'Fintech, Regulatory Arbitrage, '!A:A,'Fintech, Regulatory Arbitrage, '!C:C,"")</f>
        <v/>
      </c>
    </row>
    <row r="3869">
      <c r="A3869" s="1" t="s">
        <v>3888</v>
      </c>
      <c r="B3869" s="2">
        <v>9.0</v>
      </c>
      <c r="C3869" s="4"/>
      <c r="E3869" s="4" t="str">
        <f t="array" ref="E3869">XLOOKUP(A3869,'Fintech, Regulatory Arbitrage, '!A:A,'Fintech, Regulatory Arbitrage, '!C:C,"")</f>
        <v/>
      </c>
    </row>
    <row r="3870">
      <c r="A3870" s="1" t="s">
        <v>3889</v>
      </c>
      <c r="B3870" s="2">
        <v>9.0</v>
      </c>
      <c r="C3870" s="4"/>
      <c r="E3870" s="4" t="str">
        <f t="array" ref="E3870">XLOOKUP(A3870,'Fintech, Regulatory Arbitrage, '!A:A,'Fintech, Regulatory Arbitrage, '!C:C,"")</f>
        <v/>
      </c>
    </row>
    <row r="3871">
      <c r="A3871" s="1" t="s">
        <v>3890</v>
      </c>
      <c r="B3871" s="2">
        <v>9.0</v>
      </c>
      <c r="C3871" s="4"/>
      <c r="E3871" s="4" t="str">
        <f t="array" ref="E3871">XLOOKUP(A3871,'Fintech, Regulatory Arbitrage, '!A:A,'Fintech, Regulatory Arbitrage, '!C:C,"")</f>
        <v/>
      </c>
    </row>
    <row r="3872">
      <c r="A3872" s="1" t="s">
        <v>3891</v>
      </c>
      <c r="B3872" s="2">
        <v>9.0</v>
      </c>
      <c r="C3872" s="4"/>
      <c r="E3872" s="4" t="str">
        <f t="array" ref="E3872">XLOOKUP(A3872,'Fintech, Regulatory Arbitrage, '!A:A,'Fintech, Regulatory Arbitrage, '!C:C,"")</f>
        <v/>
      </c>
    </row>
    <row r="3873">
      <c r="A3873" s="1" t="s">
        <v>3892</v>
      </c>
      <c r="B3873" s="2">
        <v>9.0</v>
      </c>
      <c r="C3873" s="4"/>
      <c r="E3873" s="4" t="str">
        <f t="array" ref="E3873">XLOOKUP(A3873,'Fintech, Regulatory Arbitrage, '!A:A,'Fintech, Regulatory Arbitrage, '!C:C,"")</f>
        <v/>
      </c>
    </row>
    <row r="3874">
      <c r="A3874" s="1" t="s">
        <v>3893</v>
      </c>
      <c r="B3874" s="2">
        <v>9.0</v>
      </c>
      <c r="C3874" s="4"/>
      <c r="E3874" s="4" t="str">
        <f t="array" ref="E3874">XLOOKUP(A3874,'Fintech, Regulatory Arbitrage, '!A:A,'Fintech, Regulatory Arbitrage, '!C:C,"")</f>
        <v/>
      </c>
    </row>
    <row r="3875">
      <c r="A3875" s="1" t="s">
        <v>3894</v>
      </c>
      <c r="B3875" s="2">
        <v>9.0</v>
      </c>
      <c r="C3875" s="4"/>
      <c r="E3875" s="4" t="str">
        <f t="array" ref="E3875">XLOOKUP(A3875,'Fintech, Regulatory Arbitrage, '!A:A,'Fintech, Regulatory Arbitrage, '!C:C,"")</f>
        <v/>
      </c>
    </row>
    <row r="3876">
      <c r="A3876" s="1" t="s">
        <v>3895</v>
      </c>
      <c r="B3876" s="2">
        <v>9.0</v>
      </c>
      <c r="C3876" s="4"/>
      <c r="E3876" s="4" t="str">
        <f t="array" ref="E3876">XLOOKUP(A3876,'Fintech, Regulatory Arbitrage, '!A:A,'Fintech, Regulatory Arbitrage, '!C:C,"")</f>
        <v/>
      </c>
    </row>
    <row r="3877">
      <c r="A3877" s="1" t="s">
        <v>3896</v>
      </c>
      <c r="B3877" s="2">
        <v>9.0</v>
      </c>
      <c r="C3877" s="4"/>
      <c r="E3877" s="4" t="str">
        <f t="array" ref="E3877">XLOOKUP(A3877,'Fintech, Regulatory Arbitrage, '!A:A,'Fintech, Regulatory Arbitrage, '!C:C,"")</f>
        <v/>
      </c>
    </row>
    <row r="3878">
      <c r="A3878" s="1" t="s">
        <v>3897</v>
      </c>
      <c r="B3878" s="2">
        <v>9.0</v>
      </c>
      <c r="C3878" s="4"/>
      <c r="E3878" s="4" t="str">
        <f t="array" ref="E3878">XLOOKUP(A3878,'Fintech, Regulatory Arbitrage, '!A:A,'Fintech, Regulatory Arbitrage, '!C:C,"")</f>
        <v/>
      </c>
    </row>
    <row r="3879">
      <c r="A3879" s="1" t="s">
        <v>3898</v>
      </c>
      <c r="B3879" s="2">
        <v>9.0</v>
      </c>
      <c r="C3879" s="4"/>
      <c r="E3879" s="4" t="str">
        <f t="array" ref="E3879">XLOOKUP(A3879,'Fintech, Regulatory Arbitrage, '!A:A,'Fintech, Regulatory Arbitrage, '!C:C,"")</f>
        <v/>
      </c>
    </row>
    <row r="3880">
      <c r="A3880" s="1" t="s">
        <v>3899</v>
      </c>
      <c r="B3880" s="2">
        <v>9.0</v>
      </c>
      <c r="C3880" s="4"/>
      <c r="E3880" s="4" t="str">
        <f t="array" ref="E3880">XLOOKUP(A3880,'Fintech, Regulatory Arbitrage, '!A:A,'Fintech, Regulatory Arbitrage, '!C:C,"")</f>
        <v/>
      </c>
    </row>
    <row r="3881">
      <c r="A3881" s="1" t="s">
        <v>3900</v>
      </c>
      <c r="B3881" s="2">
        <v>9.0</v>
      </c>
      <c r="C3881" s="4"/>
      <c r="E3881" s="4" t="str">
        <f t="array" ref="E3881">XLOOKUP(A3881,'Fintech, Regulatory Arbitrage, '!A:A,'Fintech, Regulatory Arbitrage, '!C:C,"")</f>
        <v/>
      </c>
    </row>
    <row r="3882">
      <c r="A3882" s="1" t="s">
        <v>3901</v>
      </c>
      <c r="B3882" s="2">
        <v>9.0</v>
      </c>
      <c r="C3882" s="4"/>
      <c r="E3882" s="4" t="str">
        <f t="array" ref="E3882">XLOOKUP(A3882,'Fintech, Regulatory Arbitrage, '!A:A,'Fintech, Regulatory Arbitrage, '!C:C,"")</f>
        <v/>
      </c>
    </row>
    <row r="3883">
      <c r="A3883" s="1" t="s">
        <v>3902</v>
      </c>
      <c r="B3883" s="2">
        <v>9.0</v>
      </c>
      <c r="C3883" s="4"/>
      <c r="E3883" s="4" t="str">
        <f t="array" ref="E3883">XLOOKUP(A3883,'Fintech, Regulatory Arbitrage, '!A:A,'Fintech, Regulatory Arbitrage, '!C:C,"")</f>
        <v/>
      </c>
    </row>
    <row r="3884">
      <c r="A3884" s="1" t="s">
        <v>3903</v>
      </c>
      <c r="B3884" s="2">
        <v>9.0</v>
      </c>
      <c r="C3884" s="4"/>
      <c r="E3884" s="4" t="str">
        <f t="array" ref="E3884">XLOOKUP(A3884,'Fintech, Regulatory Arbitrage, '!A:A,'Fintech, Regulatory Arbitrage, '!C:C,"")</f>
        <v/>
      </c>
    </row>
    <row r="3885">
      <c r="A3885" s="1" t="s">
        <v>3904</v>
      </c>
      <c r="B3885" s="2">
        <v>9.0</v>
      </c>
      <c r="C3885" s="4"/>
      <c r="E3885" s="4" t="str">
        <f t="array" ref="E3885">XLOOKUP(A3885,'Fintech, Regulatory Arbitrage, '!A:A,'Fintech, Regulatory Arbitrage, '!C:C,"")</f>
        <v/>
      </c>
    </row>
    <row r="3886">
      <c r="A3886" s="1" t="s">
        <v>3905</v>
      </c>
      <c r="B3886" s="2">
        <v>9.0</v>
      </c>
      <c r="C3886" s="4"/>
      <c r="E3886" s="4" t="str">
        <f t="array" ref="E3886">XLOOKUP(A3886,'Fintech, Regulatory Arbitrage, '!A:A,'Fintech, Regulatory Arbitrage, '!C:C,"")</f>
        <v/>
      </c>
    </row>
    <row r="3887">
      <c r="A3887" s="1" t="s">
        <v>3906</v>
      </c>
      <c r="B3887" s="2">
        <v>9.0</v>
      </c>
      <c r="C3887" s="4"/>
      <c r="E3887" s="4" t="str">
        <f t="array" ref="E3887">XLOOKUP(A3887,'Fintech, Regulatory Arbitrage, '!A:A,'Fintech, Regulatory Arbitrage, '!C:C,"")</f>
        <v/>
      </c>
    </row>
    <row r="3888">
      <c r="A3888" s="1" t="s">
        <v>3907</v>
      </c>
      <c r="B3888" s="2">
        <v>9.0</v>
      </c>
      <c r="C3888" s="4"/>
      <c r="E3888" s="4" t="str">
        <f t="array" ref="E3888">XLOOKUP(A3888,'Fintech, Regulatory Arbitrage, '!A:A,'Fintech, Regulatory Arbitrage, '!C:C,"")</f>
        <v/>
      </c>
    </row>
    <row r="3889">
      <c r="A3889" s="1" t="s">
        <v>3908</v>
      </c>
      <c r="B3889" s="2">
        <v>9.0</v>
      </c>
      <c r="C3889" s="4"/>
      <c r="E3889" s="4" t="str">
        <f t="array" ref="E3889">XLOOKUP(A3889,'Fintech, Regulatory Arbitrage, '!A:A,'Fintech, Regulatory Arbitrage, '!C:C,"")</f>
        <v/>
      </c>
    </row>
    <row r="3890">
      <c r="A3890" s="1" t="s">
        <v>3909</v>
      </c>
      <c r="B3890" s="2">
        <v>8.0</v>
      </c>
      <c r="C3890" s="4"/>
      <c r="E3890" s="4" t="str">
        <f t="array" ref="E3890">XLOOKUP(A3890,'Fintech, Regulatory Arbitrage, '!A:A,'Fintech, Regulatory Arbitrage, '!C:C,"")</f>
        <v/>
      </c>
    </row>
    <row r="3891">
      <c r="A3891" s="1" t="s">
        <v>3910</v>
      </c>
      <c r="B3891" s="2">
        <v>8.0</v>
      </c>
      <c r="C3891" s="4"/>
      <c r="E3891" s="4" t="str">
        <f t="array" ref="E3891">XLOOKUP(A3891,'Fintech, Regulatory Arbitrage, '!A:A,'Fintech, Regulatory Arbitrage, '!C:C,"")</f>
        <v/>
      </c>
    </row>
    <row r="3892">
      <c r="A3892" s="1" t="s">
        <v>3911</v>
      </c>
      <c r="B3892" s="2">
        <v>8.0</v>
      </c>
      <c r="C3892" s="4"/>
      <c r="E3892" s="4" t="str">
        <f t="array" ref="E3892">XLOOKUP(A3892,'Fintech, Regulatory Arbitrage, '!A:A,'Fintech, Regulatory Arbitrage, '!C:C,"")</f>
        <v/>
      </c>
    </row>
    <row r="3893">
      <c r="A3893" s="1" t="s">
        <v>3912</v>
      </c>
      <c r="B3893" s="2">
        <v>8.0</v>
      </c>
      <c r="C3893" s="4"/>
      <c r="E3893" s="4" t="str">
        <f t="array" ref="E3893">XLOOKUP(A3893,'Fintech, Regulatory Arbitrage, '!A:A,'Fintech, Regulatory Arbitrage, '!C:C,"")</f>
        <v/>
      </c>
    </row>
    <row r="3894">
      <c r="A3894" s="1" t="s">
        <v>3913</v>
      </c>
      <c r="B3894" s="2">
        <v>8.0</v>
      </c>
      <c r="C3894" s="4"/>
      <c r="E3894" s="4" t="str">
        <f t="array" ref="E3894">XLOOKUP(A3894,'Fintech, Regulatory Arbitrage, '!A:A,'Fintech, Regulatory Arbitrage, '!C:C,"")</f>
        <v/>
      </c>
    </row>
    <row r="3895">
      <c r="A3895" s="1" t="s">
        <v>3914</v>
      </c>
      <c r="B3895" s="2">
        <v>8.0</v>
      </c>
      <c r="C3895" s="4"/>
      <c r="E3895" s="4" t="str">
        <f t="array" ref="E3895">XLOOKUP(A3895,'Fintech, Regulatory Arbitrage, '!A:A,'Fintech, Regulatory Arbitrage, '!C:C,"")</f>
        <v/>
      </c>
    </row>
    <row r="3896">
      <c r="A3896" s="1" t="s">
        <v>3915</v>
      </c>
      <c r="B3896" s="2">
        <v>8.0</v>
      </c>
      <c r="C3896" s="4"/>
      <c r="E3896" s="4" t="str">
        <f t="array" ref="E3896">XLOOKUP(A3896,'Fintech, Regulatory Arbitrage, '!A:A,'Fintech, Regulatory Arbitrage, '!C:C,"")</f>
        <v/>
      </c>
    </row>
    <row r="3897">
      <c r="A3897" s="1" t="s">
        <v>3916</v>
      </c>
      <c r="B3897" s="2">
        <v>8.0</v>
      </c>
      <c r="C3897" s="4"/>
      <c r="E3897" s="4" t="str">
        <f t="array" ref="E3897">XLOOKUP(A3897,'Fintech, Regulatory Arbitrage, '!A:A,'Fintech, Regulatory Arbitrage, '!C:C,"")</f>
        <v/>
      </c>
    </row>
    <row r="3898">
      <c r="A3898" s="1" t="s">
        <v>3917</v>
      </c>
      <c r="B3898" s="2">
        <v>8.0</v>
      </c>
      <c r="C3898" s="4"/>
      <c r="E3898" s="4" t="str">
        <f t="array" ref="E3898">XLOOKUP(A3898,'Fintech, Regulatory Arbitrage, '!A:A,'Fintech, Regulatory Arbitrage, '!C:C,"")</f>
        <v/>
      </c>
    </row>
    <row r="3899">
      <c r="A3899" s="1" t="s">
        <v>3918</v>
      </c>
      <c r="B3899" s="2">
        <v>8.0</v>
      </c>
      <c r="C3899" s="4"/>
      <c r="E3899" s="4" t="str">
        <f t="array" ref="E3899">XLOOKUP(A3899,'Fintech, Regulatory Arbitrage, '!A:A,'Fintech, Regulatory Arbitrage, '!C:C,"")</f>
        <v/>
      </c>
    </row>
    <row r="3900">
      <c r="A3900" s="1" t="s">
        <v>3919</v>
      </c>
      <c r="B3900" s="2">
        <v>8.0</v>
      </c>
      <c r="C3900" s="4"/>
      <c r="E3900" s="4" t="str">
        <f t="array" ref="E3900">XLOOKUP(A3900,'Fintech, Regulatory Arbitrage, '!A:A,'Fintech, Regulatory Arbitrage, '!C:C,"")</f>
        <v/>
      </c>
    </row>
    <row r="3901">
      <c r="A3901" s="1" t="s">
        <v>3920</v>
      </c>
      <c r="B3901" s="2">
        <v>8.0</v>
      </c>
      <c r="C3901" s="4"/>
      <c r="E3901" s="4" t="str">
        <f t="array" ref="E3901">XLOOKUP(A3901,'Fintech, Regulatory Arbitrage, '!A:A,'Fintech, Regulatory Arbitrage, '!C:C,"")</f>
        <v/>
      </c>
    </row>
    <row r="3902">
      <c r="A3902" s="1" t="s">
        <v>3921</v>
      </c>
      <c r="B3902" s="2">
        <v>8.0</v>
      </c>
      <c r="C3902" s="4"/>
      <c r="E3902" s="4" t="str">
        <f t="array" ref="E3902">XLOOKUP(A3902,'Fintech, Regulatory Arbitrage, '!A:A,'Fintech, Regulatory Arbitrage, '!C:C,"")</f>
        <v/>
      </c>
    </row>
    <row r="3903">
      <c r="A3903" s="1" t="s">
        <v>3922</v>
      </c>
      <c r="B3903" s="2">
        <v>8.0</v>
      </c>
      <c r="C3903" s="4"/>
      <c r="E3903" s="4" t="str">
        <f t="array" ref="E3903">XLOOKUP(A3903,'Fintech, Regulatory Arbitrage, '!A:A,'Fintech, Regulatory Arbitrage, '!C:C,"")</f>
        <v/>
      </c>
    </row>
    <row r="3904">
      <c r="A3904" s="1" t="s">
        <v>3923</v>
      </c>
      <c r="B3904" s="2">
        <v>8.0</v>
      </c>
      <c r="C3904" s="4"/>
      <c r="E3904" s="4" t="str">
        <f t="array" ref="E3904">XLOOKUP(A3904,'Fintech, Regulatory Arbitrage, '!A:A,'Fintech, Regulatory Arbitrage, '!C:C,"")</f>
        <v/>
      </c>
    </row>
    <row r="3905">
      <c r="A3905" s="1" t="s">
        <v>3924</v>
      </c>
      <c r="B3905" s="2">
        <v>8.0</v>
      </c>
      <c r="C3905" s="4"/>
      <c r="E3905" s="4" t="str">
        <f t="array" ref="E3905">XLOOKUP(A3905,'Fintech, Regulatory Arbitrage, '!A:A,'Fintech, Regulatory Arbitrage, '!C:C,"")</f>
        <v/>
      </c>
    </row>
    <row r="3906">
      <c r="A3906" s="1" t="s">
        <v>3925</v>
      </c>
      <c r="B3906" s="2">
        <v>8.0</v>
      </c>
      <c r="C3906" s="4"/>
      <c r="E3906" s="4" t="str">
        <f t="array" ref="E3906">XLOOKUP(A3906,'Fintech, Regulatory Arbitrage, '!A:A,'Fintech, Regulatory Arbitrage, '!C:C,"")</f>
        <v/>
      </c>
    </row>
    <row r="3907">
      <c r="A3907" s="1" t="s">
        <v>3926</v>
      </c>
      <c r="B3907" s="2">
        <v>8.0</v>
      </c>
      <c r="C3907" s="4"/>
      <c r="E3907" s="4" t="str">
        <f t="array" ref="E3907">XLOOKUP(A3907,'Fintech, Regulatory Arbitrage, '!A:A,'Fintech, Regulatory Arbitrage, '!C:C,"")</f>
        <v/>
      </c>
    </row>
    <row r="3908">
      <c r="A3908" s="1" t="s">
        <v>3927</v>
      </c>
      <c r="B3908" s="2">
        <v>8.0</v>
      </c>
      <c r="C3908" s="4"/>
      <c r="E3908" s="4" t="str">
        <f t="array" ref="E3908">XLOOKUP(A3908,'Fintech, Regulatory Arbitrage, '!A:A,'Fintech, Regulatory Arbitrage, '!C:C,"")</f>
        <v/>
      </c>
    </row>
    <row r="3909">
      <c r="A3909" s="1" t="s">
        <v>3928</v>
      </c>
      <c r="B3909" s="2">
        <v>8.0</v>
      </c>
      <c r="C3909" s="4"/>
      <c r="E3909" s="4" t="str">
        <f t="array" ref="E3909">XLOOKUP(A3909,'Fintech, Regulatory Arbitrage, '!A:A,'Fintech, Regulatory Arbitrage, '!C:C,"")</f>
        <v/>
      </c>
    </row>
    <row r="3910">
      <c r="A3910" s="1" t="s">
        <v>3929</v>
      </c>
      <c r="B3910" s="2">
        <v>8.0</v>
      </c>
      <c r="C3910" s="4"/>
      <c r="E3910" s="4" t="str">
        <f t="array" ref="E3910">XLOOKUP(A3910,'Fintech, Regulatory Arbitrage, '!A:A,'Fintech, Regulatory Arbitrage, '!C:C,"")</f>
        <v/>
      </c>
    </row>
    <row r="3911">
      <c r="A3911" s="1" t="s">
        <v>3930</v>
      </c>
      <c r="B3911" s="2">
        <v>8.0</v>
      </c>
      <c r="C3911" s="4"/>
      <c r="E3911" s="4" t="str">
        <f t="array" ref="E3911">XLOOKUP(A3911,'Fintech, Regulatory Arbitrage, '!A:A,'Fintech, Regulatory Arbitrage, '!C:C,"")</f>
        <v/>
      </c>
    </row>
    <row r="3912">
      <c r="A3912" s="1" t="s">
        <v>3931</v>
      </c>
      <c r="B3912" s="2">
        <v>8.0</v>
      </c>
      <c r="C3912" s="4"/>
      <c r="E3912" s="4" t="str">
        <f t="array" ref="E3912">XLOOKUP(A3912,'Fintech, Regulatory Arbitrage, '!A:A,'Fintech, Regulatory Arbitrage, '!C:C,"")</f>
        <v/>
      </c>
    </row>
    <row r="3913">
      <c r="A3913" s="1" t="s">
        <v>3932</v>
      </c>
      <c r="B3913" s="2">
        <v>8.0</v>
      </c>
      <c r="C3913" s="4"/>
      <c r="E3913" s="4" t="str">
        <f t="array" ref="E3913">XLOOKUP(A3913,'Fintech, Regulatory Arbitrage, '!A:A,'Fintech, Regulatory Arbitrage, '!C:C,"")</f>
        <v/>
      </c>
    </row>
    <row r="3914">
      <c r="A3914" s="1" t="s">
        <v>3933</v>
      </c>
      <c r="B3914" s="2">
        <v>8.0</v>
      </c>
      <c r="C3914" s="4"/>
      <c r="E3914" s="4" t="str">
        <f t="array" ref="E3914">XLOOKUP(A3914,'Fintech, Regulatory Arbitrage, '!A:A,'Fintech, Regulatory Arbitrage, '!C:C,"")</f>
        <v/>
      </c>
    </row>
    <row r="3915">
      <c r="A3915" s="1" t="s">
        <v>3934</v>
      </c>
      <c r="B3915" s="2">
        <v>8.0</v>
      </c>
      <c r="C3915" s="4"/>
      <c r="E3915" s="4" t="str">
        <f t="array" ref="E3915">XLOOKUP(A3915,'Fintech, Regulatory Arbitrage, '!A:A,'Fintech, Regulatory Arbitrage, '!C:C,"")</f>
        <v/>
      </c>
    </row>
    <row r="3916">
      <c r="A3916" s="1" t="s">
        <v>3935</v>
      </c>
      <c r="B3916" s="2">
        <v>8.0</v>
      </c>
      <c r="C3916" s="4"/>
      <c r="E3916" s="4" t="str">
        <f t="array" ref="E3916">XLOOKUP(A3916,'Fintech, Regulatory Arbitrage, '!A:A,'Fintech, Regulatory Arbitrage, '!C:C,"")</f>
        <v/>
      </c>
    </row>
    <row r="3917">
      <c r="A3917" s="1" t="s">
        <v>3936</v>
      </c>
      <c r="B3917" s="2">
        <v>8.0</v>
      </c>
      <c r="C3917" s="4"/>
      <c r="E3917" s="4" t="str">
        <f t="array" ref="E3917">XLOOKUP(A3917,'Fintech, Regulatory Arbitrage, '!A:A,'Fintech, Regulatory Arbitrage, '!C:C,"")</f>
        <v/>
      </c>
    </row>
    <row r="3918">
      <c r="A3918" s="1" t="s">
        <v>3937</v>
      </c>
      <c r="B3918" s="2">
        <v>8.0</v>
      </c>
      <c r="C3918" s="4"/>
      <c r="E3918" s="4" t="str">
        <f t="array" ref="E3918">XLOOKUP(A3918,'Fintech, Regulatory Arbitrage, '!A:A,'Fintech, Regulatory Arbitrage, '!C:C,"")</f>
        <v/>
      </c>
    </row>
    <row r="3919">
      <c r="A3919" s="1" t="s">
        <v>3938</v>
      </c>
      <c r="B3919" s="2">
        <v>8.0</v>
      </c>
      <c r="C3919" s="4"/>
      <c r="E3919" s="4" t="str">
        <f t="array" ref="E3919">XLOOKUP(A3919,'Fintech, Regulatory Arbitrage, '!A:A,'Fintech, Regulatory Arbitrage, '!C:C,"")</f>
        <v/>
      </c>
    </row>
    <row r="3920">
      <c r="A3920" s="1" t="s">
        <v>3939</v>
      </c>
      <c r="B3920" s="2">
        <v>8.0</v>
      </c>
      <c r="C3920" s="4"/>
      <c r="E3920" s="4" t="str">
        <f t="array" ref="E3920">XLOOKUP(A3920,'Fintech, Regulatory Arbitrage, '!A:A,'Fintech, Regulatory Arbitrage, '!C:C,"")</f>
        <v/>
      </c>
    </row>
    <row r="3921">
      <c r="A3921" s="1" t="s">
        <v>3940</v>
      </c>
      <c r="B3921" s="2">
        <v>8.0</v>
      </c>
      <c r="C3921" s="4"/>
      <c r="E3921" s="4" t="str">
        <f t="array" ref="E3921">XLOOKUP(A3921,'Fintech, Regulatory Arbitrage, '!A:A,'Fintech, Regulatory Arbitrage, '!C:C,"")</f>
        <v/>
      </c>
    </row>
    <row r="3922">
      <c r="A3922" s="1" t="s">
        <v>3941</v>
      </c>
      <c r="B3922" s="2">
        <v>8.0</v>
      </c>
      <c r="C3922" s="4"/>
      <c r="E3922" s="4" t="str">
        <f t="array" ref="E3922">XLOOKUP(A3922,'Fintech, Regulatory Arbitrage, '!A:A,'Fintech, Regulatory Arbitrage, '!C:C,"")</f>
        <v/>
      </c>
    </row>
    <row r="3923">
      <c r="A3923" s="1" t="s">
        <v>3942</v>
      </c>
      <c r="B3923" s="2">
        <v>8.0</v>
      </c>
      <c r="C3923" s="4"/>
      <c r="E3923" s="4" t="str">
        <f t="array" ref="E3923">XLOOKUP(A3923,'Fintech, Regulatory Arbitrage, '!A:A,'Fintech, Regulatory Arbitrage, '!C:C,"")</f>
        <v/>
      </c>
    </row>
    <row r="3924">
      <c r="A3924" s="1" t="s">
        <v>3943</v>
      </c>
      <c r="B3924" s="2">
        <v>8.0</v>
      </c>
      <c r="C3924" s="4"/>
      <c r="E3924" s="4" t="str">
        <f t="array" ref="E3924">XLOOKUP(A3924,'Fintech, Regulatory Arbitrage, '!A:A,'Fintech, Regulatory Arbitrage, '!C:C,"")</f>
        <v/>
      </c>
    </row>
    <row r="3925">
      <c r="A3925" s="1" t="s">
        <v>3944</v>
      </c>
      <c r="B3925" s="2">
        <v>8.0</v>
      </c>
      <c r="C3925" s="4"/>
      <c r="E3925" s="4" t="str">
        <f t="array" ref="E3925">XLOOKUP(A3925,'Fintech, Regulatory Arbitrage, '!A:A,'Fintech, Regulatory Arbitrage, '!C:C,"")</f>
        <v/>
      </c>
    </row>
    <row r="3926">
      <c r="A3926" s="1" t="s">
        <v>3945</v>
      </c>
      <c r="B3926" s="2">
        <v>8.0</v>
      </c>
      <c r="C3926" s="4"/>
      <c r="E3926" s="4" t="str">
        <f t="array" ref="E3926">XLOOKUP(A3926,'Fintech, Regulatory Arbitrage, '!A:A,'Fintech, Regulatory Arbitrage, '!C:C,"")</f>
        <v/>
      </c>
    </row>
    <row r="3927">
      <c r="A3927" s="1" t="s">
        <v>3946</v>
      </c>
      <c r="B3927" s="2">
        <v>8.0</v>
      </c>
      <c r="C3927" s="4"/>
      <c r="E3927" s="4" t="str">
        <f t="array" ref="E3927">XLOOKUP(A3927,'Fintech, Regulatory Arbitrage, '!A:A,'Fintech, Regulatory Arbitrage, '!C:C,"")</f>
        <v/>
      </c>
    </row>
    <row r="3928">
      <c r="A3928" s="1" t="s">
        <v>3947</v>
      </c>
      <c r="B3928" s="2">
        <v>8.0</v>
      </c>
      <c r="C3928" s="4"/>
      <c r="E3928" s="4" t="str">
        <f t="array" ref="E3928">XLOOKUP(A3928,'Fintech, Regulatory Arbitrage, '!A:A,'Fintech, Regulatory Arbitrage, '!C:C,"")</f>
        <v/>
      </c>
    </row>
    <row r="3929">
      <c r="A3929" s="1" t="s">
        <v>3948</v>
      </c>
      <c r="B3929" s="2">
        <v>8.0</v>
      </c>
      <c r="C3929" s="4"/>
      <c r="E3929" s="4" t="str">
        <f t="array" ref="E3929">XLOOKUP(A3929,'Fintech, Regulatory Arbitrage, '!A:A,'Fintech, Regulatory Arbitrage, '!C:C,"")</f>
        <v/>
      </c>
    </row>
    <row r="3930">
      <c r="A3930" s="1" t="s">
        <v>3949</v>
      </c>
      <c r="B3930" s="2">
        <v>8.0</v>
      </c>
      <c r="C3930" s="4"/>
      <c r="E3930" s="4" t="str">
        <f t="array" ref="E3930">XLOOKUP(A3930,'Fintech, Regulatory Arbitrage, '!A:A,'Fintech, Regulatory Arbitrage, '!C:C,"")</f>
        <v/>
      </c>
    </row>
    <row r="3931">
      <c r="A3931" s="1" t="s">
        <v>3950</v>
      </c>
      <c r="B3931" s="2">
        <v>8.0</v>
      </c>
      <c r="C3931" s="4"/>
      <c r="E3931" s="4" t="str">
        <f t="array" ref="E3931">XLOOKUP(A3931,'Fintech, Regulatory Arbitrage, '!A:A,'Fintech, Regulatory Arbitrage, '!C:C,"")</f>
        <v/>
      </c>
    </row>
    <row r="3932">
      <c r="A3932" s="1" t="s">
        <v>3951</v>
      </c>
      <c r="B3932" s="2">
        <v>8.0</v>
      </c>
      <c r="C3932" s="4"/>
      <c r="E3932" s="4" t="str">
        <f t="array" ref="E3932">XLOOKUP(A3932,'Fintech, Regulatory Arbitrage, '!A:A,'Fintech, Regulatory Arbitrage, '!C:C,"")</f>
        <v/>
      </c>
    </row>
    <row r="3933">
      <c r="A3933" s="1" t="s">
        <v>3952</v>
      </c>
      <c r="B3933" s="2">
        <v>8.0</v>
      </c>
      <c r="C3933" s="4"/>
      <c r="E3933" s="4" t="str">
        <f t="array" ref="E3933">XLOOKUP(A3933,'Fintech, Regulatory Arbitrage, '!A:A,'Fintech, Regulatory Arbitrage, '!C:C,"")</f>
        <v/>
      </c>
    </row>
    <row r="3934">
      <c r="A3934" s="1" t="s">
        <v>3953</v>
      </c>
      <c r="B3934" s="2">
        <v>8.0</v>
      </c>
      <c r="C3934" s="4"/>
      <c r="E3934" s="4" t="str">
        <f t="array" ref="E3934">XLOOKUP(A3934,'Fintech, Regulatory Arbitrage, '!A:A,'Fintech, Regulatory Arbitrage, '!C:C,"")</f>
        <v/>
      </c>
    </row>
    <row r="3935">
      <c r="A3935" s="1" t="s">
        <v>3954</v>
      </c>
      <c r="B3935" s="2">
        <v>8.0</v>
      </c>
      <c r="C3935" s="4"/>
      <c r="E3935" s="4" t="str">
        <f t="array" ref="E3935">XLOOKUP(A3935,'Fintech, Regulatory Arbitrage, '!A:A,'Fintech, Regulatory Arbitrage, '!C:C,"")</f>
        <v/>
      </c>
    </row>
    <row r="3936">
      <c r="A3936" s="1" t="s">
        <v>3955</v>
      </c>
      <c r="B3936" s="2">
        <v>8.0</v>
      </c>
      <c r="C3936" s="4"/>
      <c r="E3936" s="4" t="str">
        <f t="array" ref="E3936">XLOOKUP(A3936,'Fintech, Regulatory Arbitrage, '!A:A,'Fintech, Regulatory Arbitrage, '!C:C,"")</f>
        <v/>
      </c>
    </row>
    <row r="3937">
      <c r="A3937" s="1" t="s">
        <v>3956</v>
      </c>
      <c r="B3937" s="2">
        <v>8.0</v>
      </c>
      <c r="C3937" s="4"/>
      <c r="E3937" s="4" t="str">
        <f t="array" ref="E3937">XLOOKUP(A3937,'Fintech, Regulatory Arbitrage, '!A:A,'Fintech, Regulatory Arbitrage, '!C:C,"")</f>
        <v/>
      </c>
    </row>
    <row r="3938">
      <c r="A3938" s="1" t="s">
        <v>3957</v>
      </c>
      <c r="B3938" s="2">
        <v>8.0</v>
      </c>
      <c r="C3938" s="4"/>
      <c r="E3938" s="4" t="str">
        <f t="array" ref="E3938">XLOOKUP(A3938,'Fintech, Regulatory Arbitrage, '!A:A,'Fintech, Regulatory Arbitrage, '!C:C,"")</f>
        <v/>
      </c>
    </row>
    <row r="3939">
      <c r="A3939" s="1" t="s">
        <v>3958</v>
      </c>
      <c r="B3939" s="2">
        <v>8.0</v>
      </c>
      <c r="C3939" s="4"/>
      <c r="E3939" s="4" t="str">
        <f t="array" ref="E3939">XLOOKUP(A3939,'Fintech, Regulatory Arbitrage, '!A:A,'Fintech, Regulatory Arbitrage, '!C:C,"")</f>
        <v/>
      </c>
    </row>
    <row r="3940">
      <c r="A3940" s="1" t="s">
        <v>3959</v>
      </c>
      <c r="B3940" s="2">
        <v>8.0</v>
      </c>
      <c r="C3940" s="4"/>
      <c r="E3940" s="4" t="str">
        <f t="array" ref="E3940">XLOOKUP(A3940,'Fintech, Regulatory Arbitrage, '!A:A,'Fintech, Regulatory Arbitrage, '!C:C,"")</f>
        <v/>
      </c>
    </row>
    <row r="3941">
      <c r="A3941" s="1" t="s">
        <v>3960</v>
      </c>
      <c r="B3941" s="2">
        <v>8.0</v>
      </c>
      <c r="C3941" s="4"/>
      <c r="E3941" s="4" t="str">
        <f t="array" ref="E3941">XLOOKUP(A3941,'Fintech, Regulatory Arbitrage, '!A:A,'Fintech, Regulatory Arbitrage, '!C:C,"")</f>
        <v/>
      </c>
    </row>
    <row r="3942">
      <c r="A3942" s="1" t="s">
        <v>3961</v>
      </c>
      <c r="B3942" s="2">
        <v>8.0</v>
      </c>
      <c r="C3942" s="4"/>
      <c r="E3942" s="4" t="str">
        <f t="array" ref="E3942">XLOOKUP(A3942,'Fintech, Regulatory Arbitrage, '!A:A,'Fintech, Regulatory Arbitrage, '!C:C,"")</f>
        <v/>
      </c>
    </row>
    <row r="3943">
      <c r="A3943" s="1" t="s">
        <v>3962</v>
      </c>
      <c r="B3943" s="2">
        <v>8.0</v>
      </c>
      <c r="C3943" s="4"/>
      <c r="E3943" s="4" t="str">
        <f t="array" ref="E3943">XLOOKUP(A3943,'Fintech, Regulatory Arbitrage, '!A:A,'Fintech, Regulatory Arbitrage, '!C:C,"")</f>
        <v/>
      </c>
    </row>
    <row r="3944">
      <c r="A3944" s="1" t="s">
        <v>3963</v>
      </c>
      <c r="B3944" s="2">
        <v>8.0</v>
      </c>
      <c r="C3944" s="4"/>
      <c r="E3944" s="4" t="str">
        <f t="array" ref="E3944">XLOOKUP(A3944,'Fintech, Regulatory Arbitrage, '!A:A,'Fintech, Regulatory Arbitrage, '!C:C,"")</f>
        <v/>
      </c>
    </row>
    <row r="3945">
      <c r="A3945" s="1" t="s">
        <v>3964</v>
      </c>
      <c r="B3945" s="2">
        <v>8.0</v>
      </c>
      <c r="C3945" s="4"/>
      <c r="E3945" s="4" t="str">
        <f t="array" ref="E3945">XLOOKUP(A3945,'Fintech, Regulatory Arbitrage, '!A:A,'Fintech, Regulatory Arbitrage, '!C:C,"")</f>
        <v/>
      </c>
    </row>
    <row r="3946">
      <c r="A3946" s="1" t="s">
        <v>3965</v>
      </c>
      <c r="B3946" s="2">
        <v>8.0</v>
      </c>
      <c r="C3946" s="4"/>
      <c r="E3946" s="4" t="str">
        <f t="array" ref="E3946">XLOOKUP(A3946,'Fintech, Regulatory Arbitrage, '!A:A,'Fintech, Regulatory Arbitrage, '!C:C,"")</f>
        <v/>
      </c>
    </row>
    <row r="3947">
      <c r="A3947" s="1" t="s">
        <v>3966</v>
      </c>
      <c r="B3947" s="2">
        <v>8.0</v>
      </c>
      <c r="C3947" s="4"/>
      <c r="E3947" s="4" t="str">
        <f t="array" ref="E3947">XLOOKUP(A3947,'Fintech, Regulatory Arbitrage, '!A:A,'Fintech, Regulatory Arbitrage, '!C:C,"")</f>
        <v/>
      </c>
    </row>
    <row r="3948">
      <c r="A3948" s="1" t="s">
        <v>3967</v>
      </c>
      <c r="B3948" s="2">
        <v>8.0</v>
      </c>
      <c r="C3948" s="4"/>
      <c r="E3948" s="4" t="str">
        <f t="array" ref="E3948">XLOOKUP(A3948,'Fintech, Regulatory Arbitrage, '!A:A,'Fintech, Regulatory Arbitrage, '!C:C,"")</f>
        <v/>
      </c>
    </row>
    <row r="3949">
      <c r="A3949" s="1" t="s">
        <v>3968</v>
      </c>
      <c r="B3949" s="2">
        <v>8.0</v>
      </c>
      <c r="C3949" s="4"/>
      <c r="E3949" s="4" t="str">
        <f t="array" ref="E3949">XLOOKUP(A3949,'Fintech, Regulatory Arbitrage, '!A:A,'Fintech, Regulatory Arbitrage, '!C:C,"")</f>
        <v/>
      </c>
    </row>
    <row r="3950">
      <c r="A3950" s="1" t="s">
        <v>3969</v>
      </c>
      <c r="B3950" s="2">
        <v>8.0</v>
      </c>
      <c r="C3950" s="4"/>
      <c r="E3950" s="4" t="str">
        <f t="array" ref="E3950">XLOOKUP(A3950,'Fintech, Regulatory Arbitrage, '!A:A,'Fintech, Regulatory Arbitrage, '!C:C,"")</f>
        <v/>
      </c>
    </row>
    <row r="3951">
      <c r="A3951" s="1" t="s">
        <v>3970</v>
      </c>
      <c r="B3951" s="2">
        <v>8.0</v>
      </c>
      <c r="C3951" s="4"/>
      <c r="E3951" s="4" t="str">
        <f t="array" ref="E3951">XLOOKUP(A3951,'Fintech, Regulatory Arbitrage, '!A:A,'Fintech, Regulatory Arbitrage, '!C:C,"")</f>
        <v/>
      </c>
    </row>
    <row r="3952">
      <c r="A3952" s="1" t="s">
        <v>3971</v>
      </c>
      <c r="B3952" s="2">
        <v>8.0</v>
      </c>
      <c r="C3952" s="4"/>
      <c r="E3952" s="4" t="str">
        <f t="array" ref="E3952">XLOOKUP(A3952,'Fintech, Regulatory Arbitrage, '!A:A,'Fintech, Regulatory Arbitrage, '!C:C,"")</f>
        <v/>
      </c>
    </row>
    <row r="3953">
      <c r="A3953" s="1" t="s">
        <v>3972</v>
      </c>
      <c r="B3953" s="2">
        <v>8.0</v>
      </c>
      <c r="C3953" s="4"/>
      <c r="E3953" s="4" t="str">
        <f t="array" ref="E3953">XLOOKUP(A3953,'Fintech, Regulatory Arbitrage, '!A:A,'Fintech, Regulatory Arbitrage, '!C:C,"")</f>
        <v/>
      </c>
    </row>
    <row r="3954">
      <c r="A3954" s="1" t="s">
        <v>3973</v>
      </c>
      <c r="B3954" s="2">
        <v>8.0</v>
      </c>
      <c r="C3954" s="4"/>
      <c r="E3954" s="4" t="str">
        <f t="array" ref="E3954">XLOOKUP(A3954,'Fintech, Regulatory Arbitrage, '!A:A,'Fintech, Regulatory Arbitrage, '!C:C,"")</f>
        <v/>
      </c>
    </row>
    <row r="3955">
      <c r="A3955" s="1" t="s">
        <v>3974</v>
      </c>
      <c r="B3955" s="2">
        <v>8.0</v>
      </c>
      <c r="C3955" s="4"/>
      <c r="E3955" s="4" t="str">
        <f t="array" ref="E3955">XLOOKUP(A3955,'Fintech, Regulatory Arbitrage, '!A:A,'Fintech, Regulatory Arbitrage, '!C:C,"")</f>
        <v/>
      </c>
    </row>
    <row r="3956">
      <c r="A3956" s="1" t="s">
        <v>3975</v>
      </c>
      <c r="B3956" s="2">
        <v>8.0</v>
      </c>
      <c r="C3956" s="4"/>
      <c r="E3956" s="4" t="str">
        <f t="array" ref="E3956">XLOOKUP(A3956,'Fintech, Regulatory Arbitrage, '!A:A,'Fintech, Regulatory Arbitrage, '!C:C,"")</f>
        <v/>
      </c>
    </row>
    <row r="3957">
      <c r="A3957" s="1" t="s">
        <v>3976</v>
      </c>
      <c r="B3957" s="2">
        <v>8.0</v>
      </c>
      <c r="C3957" s="4"/>
      <c r="E3957" s="4" t="str">
        <f t="array" ref="E3957">XLOOKUP(A3957,'Fintech, Regulatory Arbitrage, '!A:A,'Fintech, Regulatory Arbitrage, '!C:C,"")</f>
        <v/>
      </c>
    </row>
    <row r="3958">
      <c r="A3958" s="1" t="s">
        <v>3977</v>
      </c>
      <c r="B3958" s="2">
        <v>8.0</v>
      </c>
      <c r="C3958" s="4"/>
      <c r="E3958" s="4" t="str">
        <f t="array" ref="E3958">XLOOKUP(A3958,'Fintech, Regulatory Arbitrage, '!A:A,'Fintech, Regulatory Arbitrage, '!C:C,"")</f>
        <v/>
      </c>
    </row>
    <row r="3959">
      <c r="A3959" s="1" t="s">
        <v>3978</v>
      </c>
      <c r="B3959" s="2">
        <v>8.0</v>
      </c>
      <c r="C3959" s="4"/>
      <c r="E3959" s="4" t="str">
        <f t="array" ref="E3959">XLOOKUP(A3959,'Fintech, Regulatory Arbitrage, '!A:A,'Fintech, Regulatory Arbitrage, '!C:C,"")</f>
        <v/>
      </c>
    </row>
    <row r="3960">
      <c r="A3960" s="1" t="s">
        <v>3979</v>
      </c>
      <c r="B3960" s="2">
        <v>8.0</v>
      </c>
      <c r="C3960" s="4"/>
      <c r="E3960" s="4" t="str">
        <f t="array" ref="E3960">XLOOKUP(A3960,'Fintech, Regulatory Arbitrage, '!A:A,'Fintech, Regulatory Arbitrage, '!C:C,"")</f>
        <v/>
      </c>
    </row>
    <row r="3961">
      <c r="A3961" s="1" t="s">
        <v>3980</v>
      </c>
      <c r="B3961" s="2">
        <v>8.0</v>
      </c>
      <c r="C3961" s="4"/>
      <c r="E3961" s="4" t="str">
        <f t="array" ref="E3961">XLOOKUP(A3961,'Fintech, Regulatory Arbitrage, '!A:A,'Fintech, Regulatory Arbitrage, '!C:C,"")</f>
        <v/>
      </c>
    </row>
    <row r="3962">
      <c r="A3962" s="1" t="s">
        <v>3981</v>
      </c>
      <c r="B3962" s="2">
        <v>8.0</v>
      </c>
      <c r="C3962" s="4"/>
      <c r="E3962" s="4" t="str">
        <f t="array" ref="E3962">XLOOKUP(A3962,'Fintech, Regulatory Arbitrage, '!A:A,'Fintech, Regulatory Arbitrage, '!C:C,"")</f>
        <v/>
      </c>
    </row>
    <row r="3963">
      <c r="A3963" s="1" t="s">
        <v>3982</v>
      </c>
      <c r="B3963" s="2">
        <v>8.0</v>
      </c>
      <c r="C3963" s="4"/>
      <c r="E3963" s="4" t="str">
        <f t="array" ref="E3963">XLOOKUP(A3963,'Fintech, Regulatory Arbitrage, '!A:A,'Fintech, Regulatory Arbitrage, '!C:C,"")</f>
        <v/>
      </c>
    </row>
    <row r="3964">
      <c r="A3964" s="1" t="s">
        <v>3983</v>
      </c>
      <c r="B3964" s="2">
        <v>8.0</v>
      </c>
      <c r="C3964" s="4"/>
      <c r="E3964" s="4" t="str">
        <f t="array" ref="E3964">XLOOKUP(A3964,'Fintech, Regulatory Arbitrage, '!A:A,'Fintech, Regulatory Arbitrage, '!C:C,"")</f>
        <v/>
      </c>
    </row>
    <row r="3965">
      <c r="A3965" s="1" t="s">
        <v>3984</v>
      </c>
      <c r="B3965" s="2">
        <v>8.0</v>
      </c>
      <c r="C3965" s="4"/>
      <c r="E3965" s="4" t="str">
        <f t="array" ref="E3965">XLOOKUP(A3965,'Fintech, Regulatory Arbitrage, '!A:A,'Fintech, Regulatory Arbitrage, '!C:C,"")</f>
        <v/>
      </c>
    </row>
    <row r="3966">
      <c r="A3966" s="1" t="s">
        <v>3985</v>
      </c>
      <c r="B3966" s="2">
        <v>8.0</v>
      </c>
      <c r="C3966" s="4"/>
      <c r="E3966" s="4" t="str">
        <f t="array" ref="E3966">XLOOKUP(A3966,'Fintech, Regulatory Arbitrage, '!A:A,'Fintech, Regulatory Arbitrage, '!C:C,"")</f>
        <v/>
      </c>
    </row>
    <row r="3967">
      <c r="A3967" s="1" t="s">
        <v>3986</v>
      </c>
      <c r="B3967" s="2">
        <v>8.0</v>
      </c>
      <c r="C3967" s="4"/>
      <c r="E3967" s="4" t="str">
        <f t="array" ref="E3967">XLOOKUP(A3967,'Fintech, Regulatory Arbitrage, '!A:A,'Fintech, Regulatory Arbitrage, '!C:C,"")</f>
        <v/>
      </c>
    </row>
    <row r="3968">
      <c r="A3968" s="1" t="s">
        <v>3987</v>
      </c>
      <c r="B3968" s="2">
        <v>8.0</v>
      </c>
      <c r="C3968" s="4"/>
      <c r="E3968" s="4" t="str">
        <f t="array" ref="E3968">XLOOKUP(A3968,'Fintech, Regulatory Arbitrage, '!A:A,'Fintech, Regulatory Arbitrage, '!C:C,"")</f>
        <v/>
      </c>
    </row>
    <row r="3969">
      <c r="A3969" s="1" t="s">
        <v>3988</v>
      </c>
      <c r="B3969" s="2">
        <v>8.0</v>
      </c>
      <c r="C3969" s="4"/>
      <c r="E3969" s="4" t="str">
        <f t="array" ref="E3969">XLOOKUP(A3969,'Fintech, Regulatory Arbitrage, '!A:A,'Fintech, Regulatory Arbitrage, '!C:C,"")</f>
        <v/>
      </c>
    </row>
    <row r="3970">
      <c r="A3970" s="1" t="s">
        <v>3989</v>
      </c>
      <c r="B3970" s="2">
        <v>8.0</v>
      </c>
      <c r="C3970" s="4"/>
      <c r="E3970" s="4" t="str">
        <f t="array" ref="E3970">XLOOKUP(A3970,'Fintech, Regulatory Arbitrage, '!A:A,'Fintech, Regulatory Arbitrage, '!C:C,"")</f>
        <v/>
      </c>
    </row>
    <row r="3971">
      <c r="A3971" s="1" t="s">
        <v>3990</v>
      </c>
      <c r="B3971" s="2">
        <v>8.0</v>
      </c>
      <c r="C3971" s="4"/>
      <c r="E3971" s="4" t="str">
        <f t="array" ref="E3971">XLOOKUP(A3971,'Fintech, Regulatory Arbitrage, '!A:A,'Fintech, Regulatory Arbitrage, '!C:C,"")</f>
        <v/>
      </c>
    </row>
    <row r="3972">
      <c r="A3972" s="1" t="s">
        <v>3991</v>
      </c>
      <c r="B3972" s="2">
        <v>8.0</v>
      </c>
      <c r="C3972" s="4"/>
      <c r="E3972" s="4" t="str">
        <f t="array" ref="E3972">XLOOKUP(A3972,'Fintech, Regulatory Arbitrage, '!A:A,'Fintech, Regulatory Arbitrage, '!C:C,"")</f>
        <v/>
      </c>
    </row>
    <row r="3973">
      <c r="A3973" s="1" t="s">
        <v>3992</v>
      </c>
      <c r="B3973" s="2">
        <v>8.0</v>
      </c>
      <c r="C3973" s="4"/>
      <c r="E3973" s="4" t="str">
        <f t="array" ref="E3973">XLOOKUP(A3973,'Fintech, Regulatory Arbitrage, '!A:A,'Fintech, Regulatory Arbitrage, '!C:C,"")</f>
        <v/>
      </c>
    </row>
    <row r="3974">
      <c r="A3974" s="1" t="s">
        <v>3993</v>
      </c>
      <c r="B3974" s="2">
        <v>8.0</v>
      </c>
      <c r="C3974" s="4"/>
      <c r="E3974" s="4" t="str">
        <f t="array" ref="E3974">XLOOKUP(A3974,'Fintech, Regulatory Arbitrage, '!A:A,'Fintech, Regulatory Arbitrage, '!C:C,"")</f>
        <v/>
      </c>
    </row>
    <row r="3975">
      <c r="A3975" s="1" t="s">
        <v>3994</v>
      </c>
      <c r="B3975" s="2">
        <v>8.0</v>
      </c>
      <c r="C3975" s="4"/>
      <c r="E3975" s="4" t="str">
        <f t="array" ref="E3975">XLOOKUP(A3975,'Fintech, Regulatory Arbitrage, '!A:A,'Fintech, Regulatory Arbitrage, '!C:C,"")</f>
        <v/>
      </c>
    </row>
    <row r="3976">
      <c r="A3976" s="1" t="s">
        <v>3995</v>
      </c>
      <c r="B3976" s="2">
        <v>8.0</v>
      </c>
      <c r="C3976" s="4"/>
      <c r="E3976" s="4" t="str">
        <f t="array" ref="E3976">XLOOKUP(A3976,'Fintech, Regulatory Arbitrage, '!A:A,'Fintech, Regulatory Arbitrage, '!C:C,"")</f>
        <v/>
      </c>
    </row>
    <row r="3977">
      <c r="A3977" s="1" t="s">
        <v>3996</v>
      </c>
      <c r="B3977" s="2">
        <v>8.0</v>
      </c>
      <c r="C3977" s="4"/>
      <c r="E3977" s="4" t="str">
        <f t="array" ref="E3977">XLOOKUP(A3977,'Fintech, Regulatory Arbitrage, '!A:A,'Fintech, Regulatory Arbitrage, '!C:C,"")</f>
        <v/>
      </c>
    </row>
    <row r="3978">
      <c r="A3978" s="1" t="s">
        <v>3997</v>
      </c>
      <c r="B3978" s="2">
        <v>8.0</v>
      </c>
      <c r="C3978" s="4"/>
      <c r="E3978" s="4" t="str">
        <f t="array" ref="E3978">XLOOKUP(A3978,'Fintech, Regulatory Arbitrage, '!A:A,'Fintech, Regulatory Arbitrage, '!C:C,"")</f>
        <v/>
      </c>
    </row>
    <row r="3979">
      <c r="A3979" s="1" t="s">
        <v>3998</v>
      </c>
      <c r="B3979" s="2">
        <v>8.0</v>
      </c>
      <c r="C3979" s="4"/>
      <c r="E3979" s="4" t="str">
        <f t="array" ref="E3979">XLOOKUP(A3979,'Fintech, Regulatory Arbitrage, '!A:A,'Fintech, Regulatory Arbitrage, '!C:C,"")</f>
        <v/>
      </c>
    </row>
    <row r="3980">
      <c r="A3980" s="1" t="s">
        <v>3999</v>
      </c>
      <c r="B3980" s="2">
        <v>8.0</v>
      </c>
      <c r="C3980" s="4"/>
      <c r="E3980" s="4" t="str">
        <f t="array" ref="E3980">XLOOKUP(A3980,'Fintech, Regulatory Arbitrage, '!A:A,'Fintech, Regulatory Arbitrage, '!C:C,"")</f>
        <v/>
      </c>
    </row>
    <row r="3981">
      <c r="A3981" s="1" t="s">
        <v>4000</v>
      </c>
      <c r="B3981" s="2">
        <v>8.0</v>
      </c>
      <c r="C3981" s="4"/>
      <c r="E3981" s="4" t="str">
        <f t="array" ref="E3981">XLOOKUP(A3981,'Fintech, Regulatory Arbitrage, '!A:A,'Fintech, Regulatory Arbitrage, '!C:C,"")</f>
        <v/>
      </c>
    </row>
    <row r="3982">
      <c r="A3982" s="1" t="s">
        <v>4001</v>
      </c>
      <c r="B3982" s="2">
        <v>8.0</v>
      </c>
      <c r="C3982" s="4"/>
      <c r="E3982" s="4" t="str">
        <f t="array" ref="E3982">XLOOKUP(A3982,'Fintech, Regulatory Arbitrage, '!A:A,'Fintech, Regulatory Arbitrage, '!C:C,"")</f>
        <v/>
      </c>
    </row>
    <row r="3983">
      <c r="A3983" s="1" t="s">
        <v>4002</v>
      </c>
      <c r="B3983" s="2">
        <v>8.0</v>
      </c>
      <c r="C3983" s="4"/>
      <c r="E3983" s="4" t="str">
        <f t="array" ref="E3983">XLOOKUP(A3983,'Fintech, Regulatory Arbitrage, '!A:A,'Fintech, Regulatory Arbitrage, '!C:C,"")</f>
        <v/>
      </c>
    </row>
    <row r="3984">
      <c r="A3984" s="1" t="s">
        <v>4003</v>
      </c>
      <c r="B3984" s="2">
        <v>8.0</v>
      </c>
      <c r="C3984" s="4"/>
      <c r="E3984" s="4" t="str">
        <f t="array" ref="E3984">XLOOKUP(A3984,'Fintech, Regulatory Arbitrage, '!A:A,'Fintech, Regulatory Arbitrage, '!C:C,"")</f>
        <v/>
      </c>
    </row>
    <row r="3985">
      <c r="A3985" s="1" t="s">
        <v>4004</v>
      </c>
      <c r="B3985" s="2">
        <v>8.0</v>
      </c>
      <c r="C3985" s="4"/>
      <c r="E3985" s="4" t="str">
        <f t="array" ref="E3985">XLOOKUP(A3985,'Fintech, Regulatory Arbitrage, '!A:A,'Fintech, Regulatory Arbitrage, '!C:C,"")</f>
        <v/>
      </c>
    </row>
    <row r="3986">
      <c r="A3986" s="1" t="s">
        <v>4005</v>
      </c>
      <c r="B3986" s="2">
        <v>8.0</v>
      </c>
      <c r="C3986" s="4"/>
      <c r="E3986" s="4" t="str">
        <f t="array" ref="E3986">XLOOKUP(A3986,'Fintech, Regulatory Arbitrage, '!A:A,'Fintech, Regulatory Arbitrage, '!C:C,"")</f>
        <v/>
      </c>
    </row>
    <row r="3987">
      <c r="A3987" s="1" t="s">
        <v>4006</v>
      </c>
      <c r="B3987" s="2">
        <v>8.0</v>
      </c>
      <c r="C3987" s="4"/>
      <c r="E3987" s="4" t="str">
        <f t="array" ref="E3987">XLOOKUP(A3987,'Fintech, Regulatory Arbitrage, '!A:A,'Fintech, Regulatory Arbitrage, '!C:C,"")</f>
        <v/>
      </c>
    </row>
    <row r="3988">
      <c r="A3988" s="1" t="s">
        <v>4007</v>
      </c>
      <c r="B3988" s="2">
        <v>8.0</v>
      </c>
      <c r="C3988" s="4"/>
      <c r="E3988" s="4" t="str">
        <f t="array" ref="E3988">XLOOKUP(A3988,'Fintech, Regulatory Arbitrage, '!A:A,'Fintech, Regulatory Arbitrage, '!C:C,"")</f>
        <v/>
      </c>
    </row>
    <row r="3989">
      <c r="A3989" s="1" t="s">
        <v>4008</v>
      </c>
      <c r="B3989" s="2">
        <v>8.0</v>
      </c>
      <c r="C3989" s="4"/>
      <c r="E3989" s="4" t="str">
        <f t="array" ref="E3989">XLOOKUP(A3989,'Fintech, Regulatory Arbitrage, '!A:A,'Fintech, Regulatory Arbitrage, '!C:C,"")</f>
        <v/>
      </c>
    </row>
    <row r="3990">
      <c r="A3990" s="1" t="s">
        <v>4009</v>
      </c>
      <c r="B3990" s="2">
        <v>8.0</v>
      </c>
      <c r="C3990" s="4"/>
      <c r="E3990" s="4" t="str">
        <f t="array" ref="E3990">XLOOKUP(A3990,'Fintech, Regulatory Arbitrage, '!A:A,'Fintech, Regulatory Arbitrage, '!C:C,"")</f>
        <v/>
      </c>
    </row>
    <row r="3991">
      <c r="A3991" s="1" t="s">
        <v>4010</v>
      </c>
      <c r="B3991" s="2">
        <v>8.0</v>
      </c>
      <c r="C3991" s="4"/>
      <c r="E3991" s="4" t="str">
        <f t="array" ref="E3991">XLOOKUP(A3991,'Fintech, Regulatory Arbitrage, '!A:A,'Fintech, Regulatory Arbitrage, '!C:C,"")</f>
        <v/>
      </c>
    </row>
    <row r="3992">
      <c r="A3992" s="1" t="s">
        <v>4011</v>
      </c>
      <c r="B3992" s="2">
        <v>8.0</v>
      </c>
      <c r="C3992" s="4"/>
      <c r="E3992" s="4" t="str">
        <f t="array" ref="E3992">XLOOKUP(A3992,'Fintech, Regulatory Arbitrage, '!A:A,'Fintech, Regulatory Arbitrage, '!C:C,"")</f>
        <v/>
      </c>
    </row>
    <row r="3993">
      <c r="A3993" s="1" t="s">
        <v>4012</v>
      </c>
      <c r="B3993" s="2">
        <v>8.0</v>
      </c>
      <c r="C3993" s="4"/>
      <c r="E3993" s="4" t="str">
        <f t="array" ref="E3993">XLOOKUP(A3993,'Fintech, Regulatory Arbitrage, '!A:A,'Fintech, Regulatory Arbitrage, '!C:C,"")</f>
        <v/>
      </c>
    </row>
    <row r="3994">
      <c r="A3994" s="1" t="s">
        <v>4013</v>
      </c>
      <c r="B3994" s="2">
        <v>8.0</v>
      </c>
      <c r="C3994" s="4"/>
      <c r="E3994" s="4" t="str">
        <f t="array" ref="E3994">XLOOKUP(A3994,'Fintech, Regulatory Arbitrage, '!A:A,'Fintech, Regulatory Arbitrage, '!C:C,"")</f>
        <v/>
      </c>
    </row>
    <row r="3995">
      <c r="A3995" s="1" t="s">
        <v>4014</v>
      </c>
      <c r="B3995" s="2">
        <v>8.0</v>
      </c>
      <c r="C3995" s="4"/>
      <c r="E3995" s="4" t="str">
        <f t="array" ref="E3995">XLOOKUP(A3995,'Fintech, Regulatory Arbitrage, '!A:A,'Fintech, Regulatory Arbitrage, '!C:C,"")</f>
        <v/>
      </c>
    </row>
    <row r="3996">
      <c r="A3996" s="1" t="s">
        <v>4015</v>
      </c>
      <c r="B3996" s="2">
        <v>8.0</v>
      </c>
      <c r="C3996" s="4"/>
      <c r="E3996" s="4" t="str">
        <f t="array" ref="E3996">XLOOKUP(A3996,'Fintech, Regulatory Arbitrage, '!A:A,'Fintech, Regulatory Arbitrage, '!C:C,"")</f>
        <v/>
      </c>
    </row>
    <row r="3997">
      <c r="A3997" s="1" t="s">
        <v>4016</v>
      </c>
      <c r="B3997" s="2">
        <v>8.0</v>
      </c>
      <c r="C3997" s="4"/>
      <c r="E3997" s="4" t="str">
        <f t="array" ref="E3997">XLOOKUP(A3997,'Fintech, Regulatory Arbitrage, '!A:A,'Fintech, Regulatory Arbitrage, '!C:C,"")</f>
        <v/>
      </c>
    </row>
    <row r="3998">
      <c r="A3998" s="1" t="s">
        <v>4017</v>
      </c>
      <c r="B3998" s="2">
        <v>8.0</v>
      </c>
      <c r="C3998" s="4"/>
      <c r="E3998" s="4" t="str">
        <f t="array" ref="E3998">XLOOKUP(A3998,'Fintech, Regulatory Arbitrage, '!A:A,'Fintech, Regulatory Arbitrage, '!C:C,"")</f>
        <v/>
      </c>
    </row>
    <row r="3999">
      <c r="A3999" s="1" t="s">
        <v>4018</v>
      </c>
      <c r="B3999" s="2">
        <v>8.0</v>
      </c>
      <c r="C3999" s="4"/>
      <c r="E3999" s="4" t="str">
        <f t="array" ref="E3999">XLOOKUP(A3999,'Fintech, Regulatory Arbitrage, '!A:A,'Fintech, Regulatory Arbitrage, '!C:C,"")</f>
        <v/>
      </c>
    </row>
    <row r="4000">
      <c r="A4000" s="1" t="s">
        <v>4019</v>
      </c>
      <c r="B4000" s="2">
        <v>8.0</v>
      </c>
      <c r="C4000" s="4"/>
      <c r="E4000" s="4" t="str">
        <f t="array" ref="E4000">XLOOKUP(A4000,'Fintech, Regulatory Arbitrage, '!A:A,'Fintech, Regulatory Arbitrage, '!C:C,"")</f>
        <v/>
      </c>
    </row>
    <row r="4001">
      <c r="A4001" s="1" t="s">
        <v>4020</v>
      </c>
      <c r="B4001" s="2">
        <v>8.0</v>
      </c>
      <c r="C4001" s="4"/>
      <c r="E4001" s="4" t="str">
        <f t="array" ref="E4001">XLOOKUP(A4001,'Fintech, Regulatory Arbitrage, '!A:A,'Fintech, Regulatory Arbitrage, '!C:C,"")</f>
        <v/>
      </c>
    </row>
    <row r="4002">
      <c r="A4002" s="1" t="s">
        <v>4021</v>
      </c>
      <c r="B4002" s="2">
        <v>8.0</v>
      </c>
      <c r="C4002" s="4"/>
      <c r="E4002" s="4" t="str">
        <f t="array" ref="E4002">XLOOKUP(A4002,'Fintech, Regulatory Arbitrage, '!A:A,'Fintech, Regulatory Arbitrage, '!C:C,"")</f>
        <v/>
      </c>
    </row>
    <row r="4003">
      <c r="A4003" s="1" t="s">
        <v>4022</v>
      </c>
      <c r="B4003" s="2">
        <v>8.0</v>
      </c>
      <c r="C4003" s="4"/>
      <c r="E4003" s="4" t="str">
        <f t="array" ref="E4003">XLOOKUP(A4003,'Fintech, Regulatory Arbitrage, '!A:A,'Fintech, Regulatory Arbitrage, '!C:C,"")</f>
        <v/>
      </c>
    </row>
    <row r="4004">
      <c r="A4004" s="1" t="s">
        <v>4023</v>
      </c>
      <c r="B4004" s="2">
        <v>8.0</v>
      </c>
      <c r="C4004" s="4"/>
      <c r="E4004" s="4" t="str">
        <f t="array" ref="E4004">XLOOKUP(A4004,'Fintech, Regulatory Arbitrage, '!A:A,'Fintech, Regulatory Arbitrage, '!C:C,"")</f>
        <v/>
      </c>
    </row>
    <row r="4005">
      <c r="A4005" s="1" t="s">
        <v>4024</v>
      </c>
      <c r="B4005" s="2">
        <v>8.0</v>
      </c>
      <c r="C4005" s="4"/>
      <c r="E4005" s="4" t="str">
        <f t="array" ref="E4005">XLOOKUP(A4005,'Fintech, Regulatory Arbitrage, '!A:A,'Fintech, Regulatory Arbitrage, '!C:C,"")</f>
        <v/>
      </c>
    </row>
    <row r="4006">
      <c r="A4006" s="1" t="s">
        <v>4025</v>
      </c>
      <c r="B4006" s="2">
        <v>8.0</v>
      </c>
      <c r="C4006" s="4"/>
      <c r="E4006" s="4" t="str">
        <f t="array" ref="E4006">XLOOKUP(A4006,'Fintech, Regulatory Arbitrage, '!A:A,'Fintech, Regulatory Arbitrage, '!C:C,"")</f>
        <v/>
      </c>
    </row>
    <row r="4007">
      <c r="A4007" s="1" t="s">
        <v>4026</v>
      </c>
      <c r="B4007" s="2">
        <v>8.0</v>
      </c>
      <c r="C4007" s="4"/>
      <c r="E4007" s="4" t="str">
        <f t="array" ref="E4007">XLOOKUP(A4007,'Fintech, Regulatory Arbitrage, '!A:A,'Fintech, Regulatory Arbitrage, '!C:C,"")</f>
        <v/>
      </c>
    </row>
    <row r="4008">
      <c r="A4008" s="1" t="s">
        <v>4027</v>
      </c>
      <c r="B4008" s="2">
        <v>8.0</v>
      </c>
      <c r="C4008" s="4"/>
      <c r="E4008" s="4" t="str">
        <f t="array" ref="E4008">XLOOKUP(A4008,'Fintech, Regulatory Arbitrage, '!A:A,'Fintech, Regulatory Arbitrage, '!C:C,"")</f>
        <v/>
      </c>
    </row>
    <row r="4009">
      <c r="A4009" s="1" t="s">
        <v>4028</v>
      </c>
      <c r="B4009" s="2">
        <v>8.0</v>
      </c>
      <c r="C4009" s="4"/>
      <c r="E4009" s="4" t="str">
        <f t="array" ref="E4009">XLOOKUP(A4009,'Fintech, Regulatory Arbitrage, '!A:A,'Fintech, Regulatory Arbitrage, '!C:C,"")</f>
        <v/>
      </c>
    </row>
    <row r="4010">
      <c r="A4010" s="1" t="s">
        <v>4029</v>
      </c>
      <c r="B4010" s="2">
        <v>8.0</v>
      </c>
      <c r="C4010" s="4"/>
      <c r="E4010" s="4" t="str">
        <f t="array" ref="E4010">XLOOKUP(A4010,'Fintech, Regulatory Arbitrage, '!A:A,'Fintech, Regulatory Arbitrage, '!C:C,"")</f>
        <v/>
      </c>
    </row>
    <row r="4011">
      <c r="A4011" s="1" t="s">
        <v>4030</v>
      </c>
      <c r="B4011" s="2">
        <v>8.0</v>
      </c>
      <c r="C4011" s="4"/>
      <c r="E4011" s="4" t="str">
        <f t="array" ref="E4011">XLOOKUP(A4011,'Fintech, Regulatory Arbitrage, '!A:A,'Fintech, Regulatory Arbitrage, '!C:C,"")</f>
        <v/>
      </c>
    </row>
    <row r="4012">
      <c r="A4012" s="1" t="s">
        <v>4031</v>
      </c>
      <c r="B4012" s="2">
        <v>8.0</v>
      </c>
      <c r="C4012" s="4"/>
      <c r="E4012" s="4" t="str">
        <f t="array" ref="E4012">XLOOKUP(A4012,'Fintech, Regulatory Arbitrage, '!A:A,'Fintech, Regulatory Arbitrage, '!C:C,"")</f>
        <v/>
      </c>
    </row>
    <row r="4013">
      <c r="A4013" s="1" t="s">
        <v>4032</v>
      </c>
      <c r="B4013" s="2">
        <v>8.0</v>
      </c>
      <c r="C4013" s="4"/>
      <c r="E4013" s="4" t="str">
        <f t="array" ref="E4013">XLOOKUP(A4013,'Fintech, Regulatory Arbitrage, '!A:A,'Fintech, Regulatory Arbitrage, '!C:C,"")</f>
        <v/>
      </c>
    </row>
    <row r="4014">
      <c r="A4014" s="1" t="s">
        <v>4033</v>
      </c>
      <c r="B4014" s="2">
        <v>8.0</v>
      </c>
      <c r="C4014" s="4"/>
      <c r="E4014" s="4" t="str">
        <f t="array" ref="E4014">XLOOKUP(A4014,'Fintech, Regulatory Arbitrage, '!A:A,'Fintech, Regulatory Arbitrage, '!C:C,"")</f>
        <v/>
      </c>
    </row>
    <row r="4015">
      <c r="A4015" s="1" t="s">
        <v>4034</v>
      </c>
      <c r="B4015" s="2">
        <v>8.0</v>
      </c>
      <c r="C4015" s="4"/>
      <c r="E4015" s="4" t="str">
        <f t="array" ref="E4015">XLOOKUP(A4015,'Fintech, Regulatory Arbitrage, '!A:A,'Fintech, Regulatory Arbitrage, '!C:C,"")</f>
        <v/>
      </c>
    </row>
    <row r="4016">
      <c r="A4016" s="1" t="s">
        <v>4035</v>
      </c>
      <c r="B4016" s="2">
        <v>8.0</v>
      </c>
      <c r="C4016" s="4"/>
      <c r="E4016" s="4" t="str">
        <f t="array" ref="E4016">XLOOKUP(A4016,'Fintech, Regulatory Arbitrage, '!A:A,'Fintech, Regulatory Arbitrage, '!C:C,"")</f>
        <v/>
      </c>
    </row>
    <row r="4017">
      <c r="A4017" s="1" t="s">
        <v>4036</v>
      </c>
      <c r="B4017" s="2">
        <v>8.0</v>
      </c>
      <c r="C4017" s="4"/>
      <c r="E4017" s="4" t="str">
        <f t="array" ref="E4017">XLOOKUP(A4017,'Fintech, Regulatory Arbitrage, '!A:A,'Fintech, Regulatory Arbitrage, '!C:C,"")</f>
        <v/>
      </c>
    </row>
    <row r="4018">
      <c r="A4018" s="1" t="s">
        <v>4037</v>
      </c>
      <c r="B4018" s="2">
        <v>8.0</v>
      </c>
      <c r="C4018" s="4"/>
      <c r="E4018" s="4" t="str">
        <f t="array" ref="E4018">XLOOKUP(A4018,'Fintech, Regulatory Arbitrage, '!A:A,'Fintech, Regulatory Arbitrage, '!C:C,"")</f>
        <v/>
      </c>
    </row>
    <row r="4019">
      <c r="A4019" s="1" t="s">
        <v>4038</v>
      </c>
      <c r="B4019" s="2">
        <v>8.0</v>
      </c>
      <c r="C4019" s="4"/>
      <c r="E4019" s="4" t="str">
        <f t="array" ref="E4019">XLOOKUP(A4019,'Fintech, Regulatory Arbitrage, '!A:A,'Fintech, Regulatory Arbitrage, '!C:C,"")</f>
        <v/>
      </c>
    </row>
    <row r="4020">
      <c r="A4020" s="1" t="s">
        <v>4039</v>
      </c>
      <c r="B4020" s="2">
        <v>8.0</v>
      </c>
      <c r="C4020" s="4"/>
      <c r="E4020" s="4" t="str">
        <f t="array" ref="E4020">XLOOKUP(A4020,'Fintech, Regulatory Arbitrage, '!A:A,'Fintech, Regulatory Arbitrage, '!C:C,"")</f>
        <v/>
      </c>
    </row>
    <row r="4021">
      <c r="A4021" s="1" t="s">
        <v>4040</v>
      </c>
      <c r="B4021" s="2">
        <v>8.0</v>
      </c>
      <c r="C4021" s="4"/>
      <c r="E4021" s="4" t="str">
        <f t="array" ref="E4021">XLOOKUP(A4021,'Fintech, Regulatory Arbitrage, '!A:A,'Fintech, Regulatory Arbitrage, '!C:C,"")</f>
        <v/>
      </c>
    </row>
    <row r="4022">
      <c r="A4022" s="1" t="s">
        <v>4041</v>
      </c>
      <c r="B4022" s="2">
        <v>8.0</v>
      </c>
      <c r="C4022" s="4"/>
      <c r="E4022" s="4" t="str">
        <f t="array" ref="E4022">XLOOKUP(A4022,'Fintech, Regulatory Arbitrage, '!A:A,'Fintech, Regulatory Arbitrage, '!C:C,"")</f>
        <v/>
      </c>
    </row>
    <row r="4023">
      <c r="A4023" s="1" t="s">
        <v>4042</v>
      </c>
      <c r="B4023" s="2">
        <v>8.0</v>
      </c>
      <c r="C4023" s="4"/>
      <c r="E4023" s="4" t="str">
        <f t="array" ref="E4023">XLOOKUP(A4023,'Fintech, Regulatory Arbitrage, '!A:A,'Fintech, Regulatory Arbitrage, '!C:C,"")</f>
        <v/>
      </c>
    </row>
    <row r="4024">
      <c r="A4024" s="1" t="s">
        <v>4043</v>
      </c>
      <c r="B4024" s="2">
        <v>8.0</v>
      </c>
      <c r="C4024" s="4"/>
      <c r="E4024" s="4" t="str">
        <f t="array" ref="E4024">XLOOKUP(A4024,'Fintech, Regulatory Arbitrage, '!A:A,'Fintech, Regulatory Arbitrage, '!C:C,"")</f>
        <v/>
      </c>
    </row>
    <row r="4025">
      <c r="A4025" s="1" t="s">
        <v>4044</v>
      </c>
      <c r="B4025" s="2">
        <v>8.0</v>
      </c>
      <c r="C4025" s="4"/>
      <c r="E4025" s="4" t="str">
        <f t="array" ref="E4025">XLOOKUP(A4025,'Fintech, Regulatory Arbitrage, '!A:A,'Fintech, Regulatory Arbitrage, '!C:C,"")</f>
        <v/>
      </c>
    </row>
    <row r="4026">
      <c r="A4026" s="1" t="s">
        <v>4045</v>
      </c>
      <c r="B4026" s="2">
        <v>8.0</v>
      </c>
      <c r="C4026" s="4"/>
      <c r="E4026" s="4" t="str">
        <f t="array" ref="E4026">XLOOKUP(A4026,'Fintech, Regulatory Arbitrage, '!A:A,'Fintech, Regulatory Arbitrage, '!C:C,"")</f>
        <v/>
      </c>
    </row>
    <row r="4027">
      <c r="A4027" s="1" t="s">
        <v>4046</v>
      </c>
      <c r="B4027" s="2">
        <v>8.0</v>
      </c>
      <c r="C4027" s="4"/>
      <c r="E4027" s="4" t="str">
        <f t="array" ref="E4027">XLOOKUP(A4027,'Fintech, Regulatory Arbitrage, '!A:A,'Fintech, Regulatory Arbitrage, '!C:C,"")</f>
        <v/>
      </c>
    </row>
    <row r="4028">
      <c r="A4028" s="1" t="s">
        <v>4047</v>
      </c>
      <c r="B4028" s="2">
        <v>8.0</v>
      </c>
      <c r="C4028" s="4"/>
      <c r="E4028" s="4" t="str">
        <f t="array" ref="E4028">XLOOKUP(A4028,'Fintech, Regulatory Arbitrage, '!A:A,'Fintech, Regulatory Arbitrage, '!C:C,"")</f>
        <v/>
      </c>
    </row>
    <row r="4029">
      <c r="A4029" s="1" t="s">
        <v>4048</v>
      </c>
      <c r="B4029" s="2">
        <v>8.0</v>
      </c>
      <c r="C4029" s="4"/>
      <c r="E4029" s="4" t="str">
        <f t="array" ref="E4029">XLOOKUP(A4029,'Fintech, Regulatory Arbitrage, '!A:A,'Fintech, Regulatory Arbitrage, '!C:C,"")</f>
        <v/>
      </c>
    </row>
    <row r="4030">
      <c r="A4030" s="1" t="s">
        <v>4049</v>
      </c>
      <c r="B4030" s="2">
        <v>8.0</v>
      </c>
      <c r="C4030" s="4"/>
      <c r="E4030" s="4" t="str">
        <f t="array" ref="E4030">XLOOKUP(A4030,'Fintech, Regulatory Arbitrage, '!A:A,'Fintech, Regulatory Arbitrage, '!C:C,"")</f>
        <v/>
      </c>
    </row>
    <row r="4031">
      <c r="A4031" s="1" t="s">
        <v>4050</v>
      </c>
      <c r="B4031" s="2">
        <v>8.0</v>
      </c>
      <c r="C4031" s="4"/>
      <c r="E4031" s="4" t="str">
        <f t="array" ref="E4031">XLOOKUP(A4031,'Fintech, Regulatory Arbitrage, '!A:A,'Fintech, Regulatory Arbitrage, '!C:C,"")</f>
        <v/>
      </c>
    </row>
    <row r="4032">
      <c r="A4032" s="1" t="s">
        <v>4051</v>
      </c>
      <c r="B4032" s="2">
        <v>8.0</v>
      </c>
      <c r="C4032" s="4"/>
      <c r="E4032" s="4" t="str">
        <f t="array" ref="E4032">XLOOKUP(A4032,'Fintech, Regulatory Arbitrage, '!A:A,'Fintech, Regulatory Arbitrage, '!C:C,"")</f>
        <v/>
      </c>
    </row>
    <row r="4033">
      <c r="A4033" s="1" t="s">
        <v>4052</v>
      </c>
      <c r="B4033" s="2">
        <v>8.0</v>
      </c>
      <c r="C4033" s="4"/>
      <c r="E4033" s="4" t="str">
        <f t="array" ref="E4033">XLOOKUP(A4033,'Fintech, Regulatory Arbitrage, '!A:A,'Fintech, Regulatory Arbitrage, '!C:C,"")</f>
        <v/>
      </c>
    </row>
    <row r="4034">
      <c r="A4034" s="1" t="s">
        <v>4053</v>
      </c>
      <c r="B4034" s="2">
        <v>8.0</v>
      </c>
      <c r="C4034" s="4"/>
      <c r="E4034" s="4" t="str">
        <f t="array" ref="E4034">XLOOKUP(A4034,'Fintech, Regulatory Arbitrage, '!A:A,'Fintech, Regulatory Arbitrage, '!C:C,"")</f>
        <v/>
      </c>
    </row>
    <row r="4035">
      <c r="A4035" s="1" t="s">
        <v>4054</v>
      </c>
      <c r="B4035" s="2">
        <v>8.0</v>
      </c>
      <c r="C4035" s="4"/>
      <c r="E4035" s="4" t="str">
        <f t="array" ref="E4035">XLOOKUP(A4035,'Fintech, Regulatory Arbitrage, '!A:A,'Fintech, Regulatory Arbitrage, '!C:C,"")</f>
        <v/>
      </c>
    </row>
    <row r="4036">
      <c r="A4036" s="1" t="s">
        <v>4055</v>
      </c>
      <c r="B4036" s="2">
        <v>8.0</v>
      </c>
      <c r="C4036" s="4"/>
      <c r="E4036" s="4" t="str">
        <f t="array" ref="E4036">XLOOKUP(A4036,'Fintech, Regulatory Arbitrage, '!A:A,'Fintech, Regulatory Arbitrage, '!C:C,"")</f>
        <v/>
      </c>
    </row>
    <row r="4037">
      <c r="A4037" s="1" t="s">
        <v>4056</v>
      </c>
      <c r="B4037" s="2">
        <v>8.0</v>
      </c>
      <c r="C4037" s="4"/>
      <c r="E4037" s="4" t="str">
        <f t="array" ref="E4037">XLOOKUP(A4037,'Fintech, Regulatory Arbitrage, '!A:A,'Fintech, Regulatory Arbitrage, '!C:C,"")</f>
        <v/>
      </c>
    </row>
    <row r="4038">
      <c r="A4038" s="1" t="s">
        <v>4057</v>
      </c>
      <c r="B4038" s="2">
        <v>8.0</v>
      </c>
      <c r="C4038" s="4"/>
      <c r="E4038" s="4" t="str">
        <f t="array" ref="E4038">XLOOKUP(A4038,'Fintech, Regulatory Arbitrage, '!A:A,'Fintech, Regulatory Arbitrage, '!C:C,"")</f>
        <v/>
      </c>
    </row>
    <row r="4039">
      <c r="A4039" s="1" t="s">
        <v>4058</v>
      </c>
      <c r="B4039" s="2">
        <v>8.0</v>
      </c>
      <c r="C4039" s="4"/>
      <c r="E4039" s="4" t="str">
        <f t="array" ref="E4039">XLOOKUP(A4039,'Fintech, Regulatory Arbitrage, '!A:A,'Fintech, Regulatory Arbitrage, '!C:C,"")</f>
        <v/>
      </c>
    </row>
    <row r="4040">
      <c r="A4040" s="1" t="s">
        <v>4059</v>
      </c>
      <c r="B4040" s="2">
        <v>8.0</v>
      </c>
      <c r="C4040" s="4"/>
      <c r="E4040" s="4" t="str">
        <f t="array" ref="E4040">XLOOKUP(A4040,'Fintech, Regulatory Arbitrage, '!A:A,'Fintech, Regulatory Arbitrage, '!C:C,"")</f>
        <v/>
      </c>
    </row>
    <row r="4041">
      <c r="A4041" s="1" t="s">
        <v>4060</v>
      </c>
      <c r="B4041" s="2">
        <v>8.0</v>
      </c>
      <c r="C4041" s="4"/>
      <c r="E4041" s="4" t="str">
        <f t="array" ref="E4041">XLOOKUP(A4041,'Fintech, Regulatory Arbitrage, '!A:A,'Fintech, Regulatory Arbitrage, '!C:C,"")</f>
        <v/>
      </c>
    </row>
    <row r="4042">
      <c r="A4042" s="1" t="s">
        <v>4061</v>
      </c>
      <c r="B4042" s="2">
        <v>8.0</v>
      </c>
      <c r="C4042" s="4"/>
      <c r="E4042" s="4" t="str">
        <f t="array" ref="E4042">XLOOKUP(A4042,'Fintech, Regulatory Arbitrage, '!A:A,'Fintech, Regulatory Arbitrage, '!C:C,"")</f>
        <v/>
      </c>
    </row>
    <row r="4043">
      <c r="A4043" s="1" t="s">
        <v>4062</v>
      </c>
      <c r="B4043" s="2">
        <v>7.0</v>
      </c>
      <c r="C4043" s="4"/>
      <c r="E4043" s="4" t="str">
        <f t="array" ref="E4043">XLOOKUP(A4043,'Fintech, Regulatory Arbitrage, '!A:A,'Fintech, Regulatory Arbitrage, '!C:C,"")</f>
        <v/>
      </c>
    </row>
    <row r="4044">
      <c r="A4044" s="1" t="s">
        <v>4063</v>
      </c>
      <c r="B4044" s="2">
        <v>7.0</v>
      </c>
      <c r="C4044" s="4"/>
      <c r="E4044" s="4" t="str">
        <f t="array" ref="E4044">XLOOKUP(A4044,'Fintech, Regulatory Arbitrage, '!A:A,'Fintech, Regulatory Arbitrage, '!C:C,"")</f>
        <v/>
      </c>
    </row>
    <row r="4045">
      <c r="A4045" s="1" t="s">
        <v>4064</v>
      </c>
      <c r="B4045" s="2">
        <v>7.0</v>
      </c>
      <c r="C4045" s="4"/>
      <c r="E4045" s="4" t="str">
        <f t="array" ref="E4045">XLOOKUP(A4045,'Fintech, Regulatory Arbitrage, '!A:A,'Fintech, Regulatory Arbitrage, '!C:C,"")</f>
        <v/>
      </c>
    </row>
    <row r="4046">
      <c r="A4046" s="1" t="s">
        <v>4065</v>
      </c>
      <c r="B4046" s="2">
        <v>7.0</v>
      </c>
      <c r="C4046" s="4"/>
      <c r="E4046" s="4" t="str">
        <f t="array" ref="E4046">XLOOKUP(A4046,'Fintech, Regulatory Arbitrage, '!A:A,'Fintech, Regulatory Arbitrage, '!C:C,"")</f>
        <v/>
      </c>
    </row>
    <row r="4047">
      <c r="A4047" s="1" t="s">
        <v>4066</v>
      </c>
      <c r="B4047" s="2">
        <v>7.0</v>
      </c>
      <c r="C4047" s="4"/>
      <c r="E4047" s="4" t="str">
        <f t="array" ref="E4047">XLOOKUP(A4047,'Fintech, Regulatory Arbitrage, '!A:A,'Fintech, Regulatory Arbitrage, '!C:C,"")</f>
        <v/>
      </c>
    </row>
    <row r="4048">
      <c r="A4048" s="1" t="s">
        <v>4067</v>
      </c>
      <c r="B4048" s="2">
        <v>7.0</v>
      </c>
      <c r="C4048" s="4"/>
      <c r="E4048" s="4" t="str">
        <f t="array" ref="E4048">XLOOKUP(A4048,'Fintech, Regulatory Arbitrage, '!A:A,'Fintech, Regulatory Arbitrage, '!C:C,"")</f>
        <v/>
      </c>
    </row>
    <row r="4049">
      <c r="A4049" s="1" t="s">
        <v>4068</v>
      </c>
      <c r="B4049" s="2">
        <v>7.0</v>
      </c>
      <c r="C4049" s="4"/>
      <c r="E4049" s="4" t="str">
        <f t="array" ref="E4049">XLOOKUP(A4049,'Fintech, Regulatory Arbitrage, '!A:A,'Fintech, Regulatory Arbitrage, '!C:C,"")</f>
        <v/>
      </c>
    </row>
    <row r="4050">
      <c r="A4050" s="1" t="s">
        <v>4069</v>
      </c>
      <c r="B4050" s="2">
        <v>7.0</v>
      </c>
      <c r="C4050" s="4"/>
      <c r="E4050" s="4" t="str">
        <f t="array" ref="E4050">XLOOKUP(A4050,'Fintech, Regulatory Arbitrage, '!A:A,'Fintech, Regulatory Arbitrage, '!C:C,"")</f>
        <v/>
      </c>
    </row>
    <row r="4051">
      <c r="A4051" s="1" t="s">
        <v>4070</v>
      </c>
      <c r="B4051" s="2">
        <v>7.0</v>
      </c>
      <c r="C4051" s="4"/>
      <c r="E4051" s="4" t="str">
        <f t="array" ref="E4051">XLOOKUP(A4051,'Fintech, Regulatory Arbitrage, '!A:A,'Fintech, Regulatory Arbitrage, '!C:C,"")</f>
        <v/>
      </c>
    </row>
    <row r="4052">
      <c r="A4052" s="1" t="s">
        <v>4071</v>
      </c>
      <c r="B4052" s="2">
        <v>7.0</v>
      </c>
      <c r="C4052" s="4"/>
      <c r="E4052" s="4" t="str">
        <f t="array" ref="E4052">XLOOKUP(A4052,'Fintech, Regulatory Arbitrage, '!A:A,'Fintech, Regulatory Arbitrage, '!C:C,"")</f>
        <v/>
      </c>
    </row>
    <row r="4053">
      <c r="A4053" s="1" t="s">
        <v>4072</v>
      </c>
      <c r="B4053" s="2">
        <v>7.0</v>
      </c>
      <c r="C4053" s="4"/>
      <c r="E4053" s="4" t="str">
        <f t="array" ref="E4053">XLOOKUP(A4053,'Fintech, Regulatory Arbitrage, '!A:A,'Fintech, Regulatory Arbitrage, '!C:C,"")</f>
        <v/>
      </c>
    </row>
    <row r="4054">
      <c r="A4054" s="1" t="s">
        <v>4073</v>
      </c>
      <c r="B4054" s="2">
        <v>7.0</v>
      </c>
      <c r="C4054" s="4"/>
      <c r="E4054" s="4" t="str">
        <f t="array" ref="E4054">XLOOKUP(A4054,'Fintech, Regulatory Arbitrage, '!A:A,'Fintech, Regulatory Arbitrage, '!C:C,"")</f>
        <v/>
      </c>
    </row>
    <row r="4055">
      <c r="A4055" s="1" t="s">
        <v>4074</v>
      </c>
      <c r="B4055" s="2">
        <v>7.0</v>
      </c>
      <c r="C4055" s="4"/>
      <c r="E4055" s="4" t="str">
        <f t="array" ref="E4055">XLOOKUP(A4055,'Fintech, Regulatory Arbitrage, '!A:A,'Fintech, Regulatory Arbitrage, '!C:C,"")</f>
        <v/>
      </c>
    </row>
    <row r="4056">
      <c r="A4056" s="1" t="s">
        <v>4075</v>
      </c>
      <c r="B4056" s="2">
        <v>7.0</v>
      </c>
      <c r="C4056" s="4"/>
      <c r="E4056" s="4" t="str">
        <f t="array" ref="E4056">XLOOKUP(A4056,'Fintech, Regulatory Arbitrage, '!A:A,'Fintech, Regulatory Arbitrage, '!C:C,"")</f>
        <v/>
      </c>
    </row>
    <row r="4057">
      <c r="A4057" s="1" t="s">
        <v>4076</v>
      </c>
      <c r="B4057" s="2">
        <v>7.0</v>
      </c>
      <c r="C4057" s="4"/>
      <c r="E4057" s="4" t="str">
        <f t="array" ref="E4057">XLOOKUP(A4057,'Fintech, Regulatory Arbitrage, '!A:A,'Fintech, Regulatory Arbitrage, '!C:C,"")</f>
        <v/>
      </c>
    </row>
    <row r="4058">
      <c r="A4058" s="1" t="s">
        <v>4077</v>
      </c>
      <c r="B4058" s="2">
        <v>7.0</v>
      </c>
      <c r="C4058" s="4"/>
      <c r="E4058" s="4" t="str">
        <f t="array" ref="E4058">XLOOKUP(A4058,'Fintech, Regulatory Arbitrage, '!A:A,'Fintech, Regulatory Arbitrage, '!C:C,"")</f>
        <v/>
      </c>
    </row>
    <row r="4059">
      <c r="A4059" s="1" t="s">
        <v>4078</v>
      </c>
      <c r="B4059" s="2">
        <v>7.0</v>
      </c>
      <c r="C4059" s="4"/>
      <c r="E4059" s="4" t="str">
        <f t="array" ref="E4059">XLOOKUP(A4059,'Fintech, Regulatory Arbitrage, '!A:A,'Fintech, Regulatory Arbitrage, '!C:C,"")</f>
        <v/>
      </c>
    </row>
    <row r="4060">
      <c r="A4060" s="1" t="s">
        <v>4079</v>
      </c>
      <c r="B4060" s="2">
        <v>7.0</v>
      </c>
      <c r="C4060" s="4"/>
      <c r="E4060" s="4" t="str">
        <f t="array" ref="E4060">XLOOKUP(A4060,'Fintech, Regulatory Arbitrage, '!A:A,'Fintech, Regulatory Arbitrage, '!C:C,"")</f>
        <v/>
      </c>
    </row>
    <row r="4061">
      <c r="A4061" s="1" t="s">
        <v>4080</v>
      </c>
      <c r="B4061" s="2">
        <v>7.0</v>
      </c>
      <c r="C4061" s="4"/>
      <c r="E4061" s="4" t="str">
        <f t="array" ref="E4061">XLOOKUP(A4061,'Fintech, Regulatory Arbitrage, '!A:A,'Fintech, Regulatory Arbitrage, '!C:C,"")</f>
        <v/>
      </c>
    </row>
    <row r="4062">
      <c r="A4062" s="1" t="s">
        <v>4081</v>
      </c>
      <c r="B4062" s="2">
        <v>7.0</v>
      </c>
      <c r="C4062" s="4"/>
      <c r="E4062" s="4" t="str">
        <f t="array" ref="E4062">XLOOKUP(A4062,'Fintech, Regulatory Arbitrage, '!A:A,'Fintech, Regulatory Arbitrage, '!C:C,"")</f>
        <v/>
      </c>
    </row>
    <row r="4063">
      <c r="A4063" s="1" t="s">
        <v>4082</v>
      </c>
      <c r="B4063" s="2">
        <v>7.0</v>
      </c>
      <c r="C4063" s="4"/>
      <c r="E4063" s="4" t="str">
        <f t="array" ref="E4063">XLOOKUP(A4063,'Fintech, Regulatory Arbitrage, '!A:A,'Fintech, Regulatory Arbitrage, '!C:C,"")</f>
        <v/>
      </c>
    </row>
    <row r="4064">
      <c r="A4064" s="1" t="s">
        <v>4083</v>
      </c>
      <c r="B4064" s="2">
        <v>7.0</v>
      </c>
      <c r="C4064" s="4"/>
      <c r="E4064" s="4" t="str">
        <f t="array" ref="E4064">XLOOKUP(A4064,'Fintech, Regulatory Arbitrage, '!A:A,'Fintech, Regulatory Arbitrage, '!C:C,"")</f>
        <v/>
      </c>
    </row>
    <row r="4065">
      <c r="A4065" s="1" t="s">
        <v>4084</v>
      </c>
      <c r="B4065" s="2">
        <v>7.0</v>
      </c>
      <c r="C4065" s="4"/>
      <c r="E4065" s="4" t="str">
        <f t="array" ref="E4065">XLOOKUP(A4065,'Fintech, Regulatory Arbitrage, '!A:A,'Fintech, Regulatory Arbitrage, '!C:C,"")</f>
        <v/>
      </c>
    </row>
    <row r="4066">
      <c r="A4066" s="1" t="s">
        <v>4085</v>
      </c>
      <c r="B4066" s="2">
        <v>7.0</v>
      </c>
      <c r="C4066" s="4"/>
      <c r="E4066" s="4" t="str">
        <f t="array" ref="E4066">XLOOKUP(A4066,'Fintech, Regulatory Arbitrage, '!A:A,'Fintech, Regulatory Arbitrage, '!C:C,"")</f>
        <v/>
      </c>
    </row>
    <row r="4067">
      <c r="A4067" s="1" t="s">
        <v>4086</v>
      </c>
      <c r="B4067" s="2">
        <v>7.0</v>
      </c>
      <c r="C4067" s="4"/>
      <c r="E4067" s="4" t="str">
        <f t="array" ref="E4067">XLOOKUP(A4067,'Fintech, Regulatory Arbitrage, '!A:A,'Fintech, Regulatory Arbitrage, '!C:C,"")</f>
        <v/>
      </c>
    </row>
    <row r="4068">
      <c r="A4068" s="1" t="s">
        <v>4087</v>
      </c>
      <c r="B4068" s="2">
        <v>7.0</v>
      </c>
      <c r="C4068" s="4"/>
      <c r="E4068" s="4" t="str">
        <f t="array" ref="E4068">XLOOKUP(A4068,'Fintech, Regulatory Arbitrage, '!A:A,'Fintech, Regulatory Arbitrage, '!C:C,"")</f>
        <v/>
      </c>
    </row>
    <row r="4069">
      <c r="A4069" s="1" t="s">
        <v>4088</v>
      </c>
      <c r="B4069" s="2">
        <v>7.0</v>
      </c>
      <c r="C4069" s="4"/>
      <c r="E4069" s="4" t="str">
        <f t="array" ref="E4069">XLOOKUP(A4069,'Fintech, Regulatory Arbitrage, '!A:A,'Fintech, Regulatory Arbitrage, '!C:C,"")</f>
        <v/>
      </c>
    </row>
    <row r="4070">
      <c r="A4070" s="1" t="s">
        <v>4089</v>
      </c>
      <c r="B4070" s="2">
        <v>7.0</v>
      </c>
      <c r="C4070" s="4"/>
      <c r="E4070" s="4" t="str">
        <f t="array" ref="E4070">XLOOKUP(A4070,'Fintech, Regulatory Arbitrage, '!A:A,'Fintech, Regulatory Arbitrage, '!C:C,"")</f>
        <v/>
      </c>
    </row>
    <row r="4071">
      <c r="A4071" s="1" t="s">
        <v>4090</v>
      </c>
      <c r="B4071" s="2">
        <v>7.0</v>
      </c>
      <c r="C4071" s="4"/>
      <c r="E4071" s="4" t="str">
        <f t="array" ref="E4071">XLOOKUP(A4071,'Fintech, Regulatory Arbitrage, '!A:A,'Fintech, Regulatory Arbitrage, '!C:C,"")</f>
        <v/>
      </c>
    </row>
    <row r="4072">
      <c r="A4072" s="1" t="s">
        <v>4091</v>
      </c>
      <c r="B4072" s="2">
        <v>7.0</v>
      </c>
      <c r="C4072" s="4"/>
      <c r="E4072" s="4" t="str">
        <f t="array" ref="E4072">XLOOKUP(A4072,'Fintech, Regulatory Arbitrage, '!A:A,'Fintech, Regulatory Arbitrage, '!C:C,"")</f>
        <v/>
      </c>
    </row>
    <row r="4073">
      <c r="A4073" s="1" t="s">
        <v>4092</v>
      </c>
      <c r="B4073" s="2">
        <v>7.0</v>
      </c>
      <c r="C4073" s="4"/>
      <c r="E4073" s="4" t="str">
        <f t="array" ref="E4073">XLOOKUP(A4073,'Fintech, Regulatory Arbitrage, '!A:A,'Fintech, Regulatory Arbitrage, '!C:C,"")</f>
        <v/>
      </c>
    </row>
    <row r="4074">
      <c r="A4074" s="1" t="s">
        <v>4093</v>
      </c>
      <c r="B4074" s="2">
        <v>7.0</v>
      </c>
      <c r="C4074" s="4"/>
      <c r="E4074" s="4" t="str">
        <f t="array" ref="E4074">XLOOKUP(A4074,'Fintech, Regulatory Arbitrage, '!A:A,'Fintech, Regulatory Arbitrage, '!C:C,"")</f>
        <v/>
      </c>
    </row>
    <row r="4075">
      <c r="A4075" s="1" t="s">
        <v>4094</v>
      </c>
      <c r="B4075" s="2">
        <v>7.0</v>
      </c>
      <c r="C4075" s="4"/>
      <c r="E4075" s="4" t="str">
        <f t="array" ref="E4075">XLOOKUP(A4075,'Fintech, Regulatory Arbitrage, '!A:A,'Fintech, Regulatory Arbitrage, '!C:C,"")</f>
        <v/>
      </c>
    </row>
    <row r="4076">
      <c r="A4076" s="1" t="s">
        <v>4095</v>
      </c>
      <c r="B4076" s="2">
        <v>7.0</v>
      </c>
      <c r="C4076" s="4"/>
      <c r="E4076" s="4" t="str">
        <f t="array" ref="E4076">XLOOKUP(A4076,'Fintech, Regulatory Arbitrage, '!A:A,'Fintech, Regulatory Arbitrage, '!C:C,"")</f>
        <v/>
      </c>
    </row>
    <row r="4077">
      <c r="A4077" s="1" t="s">
        <v>4096</v>
      </c>
      <c r="B4077" s="2">
        <v>7.0</v>
      </c>
      <c r="C4077" s="4"/>
      <c r="E4077" s="4" t="str">
        <f t="array" ref="E4077">XLOOKUP(A4077,'Fintech, Regulatory Arbitrage, '!A:A,'Fintech, Regulatory Arbitrage, '!C:C,"")</f>
        <v/>
      </c>
    </row>
    <row r="4078">
      <c r="A4078" s="1" t="s">
        <v>4097</v>
      </c>
      <c r="B4078" s="2">
        <v>7.0</v>
      </c>
      <c r="C4078" s="4"/>
      <c r="E4078" s="4" t="str">
        <f t="array" ref="E4078">XLOOKUP(A4078,'Fintech, Regulatory Arbitrage, '!A:A,'Fintech, Regulatory Arbitrage, '!C:C,"")</f>
        <v/>
      </c>
    </row>
    <row r="4079">
      <c r="A4079" s="1" t="s">
        <v>4098</v>
      </c>
      <c r="B4079" s="2">
        <v>7.0</v>
      </c>
      <c r="C4079" s="4"/>
      <c r="E4079" s="4" t="str">
        <f t="array" ref="E4079">XLOOKUP(A4079,'Fintech, Regulatory Arbitrage, '!A:A,'Fintech, Regulatory Arbitrage, '!C:C,"")</f>
        <v/>
      </c>
    </row>
    <row r="4080">
      <c r="A4080" s="1" t="s">
        <v>4099</v>
      </c>
      <c r="B4080" s="2">
        <v>7.0</v>
      </c>
      <c r="C4080" s="4"/>
      <c r="E4080" s="4" t="str">
        <f t="array" ref="E4080">XLOOKUP(A4080,'Fintech, Regulatory Arbitrage, '!A:A,'Fintech, Regulatory Arbitrage, '!C:C,"")</f>
        <v/>
      </c>
    </row>
    <row r="4081">
      <c r="A4081" s="1" t="s">
        <v>4100</v>
      </c>
      <c r="B4081" s="2">
        <v>7.0</v>
      </c>
      <c r="C4081" s="4"/>
      <c r="E4081" s="4" t="str">
        <f t="array" ref="E4081">XLOOKUP(A4081,'Fintech, Regulatory Arbitrage, '!A:A,'Fintech, Regulatory Arbitrage, '!C:C,"")</f>
        <v/>
      </c>
    </row>
    <row r="4082">
      <c r="A4082" s="1" t="s">
        <v>4101</v>
      </c>
      <c r="B4082" s="2">
        <v>7.0</v>
      </c>
      <c r="C4082" s="4"/>
      <c r="E4082" s="4" t="str">
        <f t="array" ref="E4082">XLOOKUP(A4082,'Fintech, Regulatory Arbitrage, '!A:A,'Fintech, Regulatory Arbitrage, '!C:C,"")</f>
        <v/>
      </c>
    </row>
    <row r="4083">
      <c r="A4083" s="1" t="s">
        <v>4102</v>
      </c>
      <c r="B4083" s="2">
        <v>7.0</v>
      </c>
      <c r="C4083" s="4"/>
      <c r="E4083" s="4" t="str">
        <f t="array" ref="E4083">XLOOKUP(A4083,'Fintech, Regulatory Arbitrage, '!A:A,'Fintech, Regulatory Arbitrage, '!C:C,"")</f>
        <v/>
      </c>
    </row>
    <row r="4084">
      <c r="A4084" s="1" t="s">
        <v>4103</v>
      </c>
      <c r="B4084" s="2">
        <v>7.0</v>
      </c>
      <c r="C4084" s="4"/>
      <c r="E4084" s="4" t="str">
        <f t="array" ref="E4084">XLOOKUP(A4084,'Fintech, Regulatory Arbitrage, '!A:A,'Fintech, Regulatory Arbitrage, '!C:C,"")</f>
        <v/>
      </c>
    </row>
    <row r="4085">
      <c r="A4085" s="1" t="s">
        <v>4104</v>
      </c>
      <c r="B4085" s="2">
        <v>7.0</v>
      </c>
      <c r="C4085" s="4"/>
      <c r="E4085" s="4" t="str">
        <f t="array" ref="E4085">XLOOKUP(A4085,'Fintech, Regulatory Arbitrage, '!A:A,'Fintech, Regulatory Arbitrage, '!C:C,"")</f>
        <v/>
      </c>
    </row>
    <row r="4086">
      <c r="A4086" s="1" t="s">
        <v>4105</v>
      </c>
      <c r="B4086" s="2">
        <v>7.0</v>
      </c>
      <c r="C4086" s="4"/>
      <c r="E4086" s="4" t="str">
        <f t="array" ref="E4086">XLOOKUP(A4086,'Fintech, Regulatory Arbitrage, '!A:A,'Fintech, Regulatory Arbitrage, '!C:C,"")</f>
        <v/>
      </c>
    </row>
    <row r="4087">
      <c r="A4087" s="1" t="s">
        <v>4106</v>
      </c>
      <c r="B4087" s="2">
        <v>7.0</v>
      </c>
      <c r="C4087" s="4"/>
      <c r="E4087" s="4" t="str">
        <f t="array" ref="E4087">XLOOKUP(A4087,'Fintech, Regulatory Arbitrage, '!A:A,'Fintech, Regulatory Arbitrage, '!C:C,"")</f>
        <v/>
      </c>
    </row>
    <row r="4088">
      <c r="A4088" s="1" t="s">
        <v>4107</v>
      </c>
      <c r="B4088" s="2">
        <v>7.0</v>
      </c>
      <c r="C4088" s="4"/>
      <c r="E4088" s="4" t="str">
        <f t="array" ref="E4088">XLOOKUP(A4088,'Fintech, Regulatory Arbitrage, '!A:A,'Fintech, Regulatory Arbitrage, '!C:C,"")</f>
        <v/>
      </c>
    </row>
    <row r="4089">
      <c r="A4089" s="1" t="s">
        <v>4108</v>
      </c>
      <c r="B4089" s="2">
        <v>7.0</v>
      </c>
      <c r="C4089" s="4"/>
      <c r="E4089" s="4" t="str">
        <f t="array" ref="E4089">XLOOKUP(A4089,'Fintech, Regulatory Arbitrage, '!A:A,'Fintech, Regulatory Arbitrage, '!C:C,"")</f>
        <v/>
      </c>
    </row>
    <row r="4090">
      <c r="A4090" s="1" t="s">
        <v>4109</v>
      </c>
      <c r="B4090" s="2">
        <v>7.0</v>
      </c>
      <c r="C4090" s="4"/>
      <c r="E4090" s="4" t="str">
        <f t="array" ref="E4090">XLOOKUP(A4090,'Fintech, Regulatory Arbitrage, '!A:A,'Fintech, Regulatory Arbitrage, '!C:C,"")</f>
        <v/>
      </c>
    </row>
    <row r="4091">
      <c r="A4091" s="1" t="s">
        <v>4110</v>
      </c>
      <c r="B4091" s="2">
        <v>7.0</v>
      </c>
      <c r="C4091" s="4"/>
      <c r="E4091" s="4" t="str">
        <f t="array" ref="E4091">XLOOKUP(A4091,'Fintech, Regulatory Arbitrage, '!A:A,'Fintech, Regulatory Arbitrage, '!C:C,"")</f>
        <v/>
      </c>
    </row>
    <row r="4092">
      <c r="A4092" s="1" t="s">
        <v>4111</v>
      </c>
      <c r="B4092" s="2">
        <v>7.0</v>
      </c>
      <c r="C4092" s="4"/>
      <c r="E4092" s="4" t="str">
        <f t="array" ref="E4092">XLOOKUP(A4092,'Fintech, Regulatory Arbitrage, '!A:A,'Fintech, Regulatory Arbitrage, '!C:C,"")</f>
        <v/>
      </c>
    </row>
    <row r="4093">
      <c r="A4093" s="1" t="s">
        <v>4112</v>
      </c>
      <c r="B4093" s="2">
        <v>7.0</v>
      </c>
      <c r="C4093" s="4"/>
      <c r="E4093" s="4" t="str">
        <f t="array" ref="E4093">XLOOKUP(A4093,'Fintech, Regulatory Arbitrage, '!A:A,'Fintech, Regulatory Arbitrage, '!C:C,"")</f>
        <v/>
      </c>
    </row>
    <row r="4094">
      <c r="A4094" s="1" t="s">
        <v>4113</v>
      </c>
      <c r="B4094" s="2">
        <v>7.0</v>
      </c>
      <c r="C4094" s="4"/>
      <c r="E4094" s="4" t="str">
        <f t="array" ref="E4094">XLOOKUP(A4094,'Fintech, Regulatory Arbitrage, '!A:A,'Fintech, Regulatory Arbitrage, '!C:C,"")</f>
        <v/>
      </c>
    </row>
    <row r="4095">
      <c r="A4095" s="1" t="s">
        <v>4114</v>
      </c>
      <c r="B4095" s="2">
        <v>7.0</v>
      </c>
      <c r="C4095" s="4"/>
      <c r="E4095" s="4" t="str">
        <f t="array" ref="E4095">XLOOKUP(A4095,'Fintech, Regulatory Arbitrage, '!A:A,'Fintech, Regulatory Arbitrage, '!C:C,"")</f>
        <v/>
      </c>
    </row>
    <row r="4096">
      <c r="A4096" s="1" t="s">
        <v>4115</v>
      </c>
      <c r="B4096" s="2">
        <v>7.0</v>
      </c>
      <c r="C4096" s="4"/>
      <c r="E4096" s="4" t="str">
        <f t="array" ref="E4096">XLOOKUP(A4096,'Fintech, Regulatory Arbitrage, '!A:A,'Fintech, Regulatory Arbitrage, '!C:C,"")</f>
        <v/>
      </c>
    </row>
    <row r="4097">
      <c r="A4097" s="1" t="s">
        <v>4116</v>
      </c>
      <c r="B4097" s="2">
        <v>7.0</v>
      </c>
      <c r="C4097" s="4"/>
      <c r="E4097" s="4" t="str">
        <f t="array" ref="E4097">XLOOKUP(A4097,'Fintech, Regulatory Arbitrage, '!A:A,'Fintech, Regulatory Arbitrage, '!C:C,"")</f>
        <v/>
      </c>
    </row>
    <row r="4098">
      <c r="A4098" s="1" t="s">
        <v>4117</v>
      </c>
      <c r="B4098" s="2">
        <v>7.0</v>
      </c>
      <c r="C4098" s="4"/>
      <c r="E4098" s="4" t="str">
        <f t="array" ref="E4098">XLOOKUP(A4098,'Fintech, Regulatory Arbitrage, '!A:A,'Fintech, Regulatory Arbitrage, '!C:C,"")</f>
        <v/>
      </c>
    </row>
    <row r="4099">
      <c r="A4099" s="1" t="s">
        <v>4118</v>
      </c>
      <c r="B4099" s="2">
        <v>7.0</v>
      </c>
      <c r="C4099" s="4"/>
      <c r="E4099" s="4" t="str">
        <f t="array" ref="E4099">XLOOKUP(A4099,'Fintech, Regulatory Arbitrage, '!A:A,'Fintech, Regulatory Arbitrage, '!C:C,"")</f>
        <v/>
      </c>
    </row>
    <row r="4100">
      <c r="A4100" s="1" t="s">
        <v>4119</v>
      </c>
      <c r="B4100" s="2">
        <v>7.0</v>
      </c>
      <c r="C4100" s="4"/>
      <c r="E4100" s="4" t="str">
        <f t="array" ref="E4100">XLOOKUP(A4100,'Fintech, Regulatory Arbitrage, '!A:A,'Fintech, Regulatory Arbitrage, '!C:C,"")</f>
        <v/>
      </c>
    </row>
    <row r="4101">
      <c r="A4101" s="1" t="s">
        <v>4120</v>
      </c>
      <c r="B4101" s="2">
        <v>7.0</v>
      </c>
      <c r="C4101" s="4"/>
      <c r="E4101" s="4" t="str">
        <f t="array" ref="E4101">XLOOKUP(A4101,'Fintech, Regulatory Arbitrage, '!A:A,'Fintech, Regulatory Arbitrage, '!C:C,"")</f>
        <v/>
      </c>
    </row>
    <row r="4102">
      <c r="A4102" s="1" t="s">
        <v>4121</v>
      </c>
      <c r="B4102" s="2">
        <v>7.0</v>
      </c>
      <c r="C4102" s="4"/>
      <c r="E4102" s="4" t="str">
        <f t="array" ref="E4102">XLOOKUP(A4102,'Fintech, Regulatory Arbitrage, '!A:A,'Fintech, Regulatory Arbitrage, '!C:C,"")</f>
        <v/>
      </c>
    </row>
    <row r="4103">
      <c r="A4103" s="1" t="s">
        <v>4122</v>
      </c>
      <c r="B4103" s="2">
        <v>7.0</v>
      </c>
      <c r="C4103" s="4"/>
      <c r="E4103" s="4" t="str">
        <f t="array" ref="E4103">XLOOKUP(A4103,'Fintech, Regulatory Arbitrage, '!A:A,'Fintech, Regulatory Arbitrage, '!C:C,"")</f>
        <v/>
      </c>
    </row>
    <row r="4104">
      <c r="A4104" s="1" t="s">
        <v>4123</v>
      </c>
      <c r="B4104" s="2">
        <v>7.0</v>
      </c>
      <c r="C4104" s="4"/>
      <c r="E4104" s="4" t="str">
        <f t="array" ref="E4104">XLOOKUP(A4104,'Fintech, Regulatory Arbitrage, '!A:A,'Fintech, Regulatory Arbitrage, '!C:C,"")</f>
        <v/>
      </c>
    </row>
    <row r="4105">
      <c r="A4105" s="1" t="s">
        <v>4124</v>
      </c>
      <c r="B4105" s="2">
        <v>7.0</v>
      </c>
      <c r="C4105" s="4"/>
      <c r="E4105" s="4" t="str">
        <f t="array" ref="E4105">XLOOKUP(A4105,'Fintech, Regulatory Arbitrage, '!A:A,'Fintech, Regulatory Arbitrage, '!C:C,"")</f>
        <v/>
      </c>
    </row>
    <row r="4106">
      <c r="A4106" s="1" t="s">
        <v>4125</v>
      </c>
      <c r="B4106" s="2">
        <v>7.0</v>
      </c>
      <c r="C4106" s="4"/>
      <c r="E4106" s="4" t="str">
        <f t="array" ref="E4106">XLOOKUP(A4106,'Fintech, Regulatory Arbitrage, '!A:A,'Fintech, Regulatory Arbitrage, '!C:C,"")</f>
        <v/>
      </c>
    </row>
    <row r="4107">
      <c r="A4107" s="1" t="s">
        <v>4126</v>
      </c>
      <c r="B4107" s="2">
        <v>7.0</v>
      </c>
      <c r="C4107" s="4"/>
      <c r="E4107" s="4" t="str">
        <f t="array" ref="E4107">XLOOKUP(A4107,'Fintech, Regulatory Arbitrage, '!A:A,'Fintech, Regulatory Arbitrage, '!C:C,"")</f>
        <v/>
      </c>
    </row>
    <row r="4108">
      <c r="A4108" s="1" t="s">
        <v>4127</v>
      </c>
      <c r="B4108" s="2">
        <v>7.0</v>
      </c>
      <c r="C4108" s="4"/>
      <c r="E4108" s="4" t="str">
        <f t="array" ref="E4108">XLOOKUP(A4108,'Fintech, Regulatory Arbitrage, '!A:A,'Fintech, Regulatory Arbitrage, '!C:C,"")</f>
        <v/>
      </c>
    </row>
    <row r="4109">
      <c r="A4109" s="1" t="s">
        <v>4128</v>
      </c>
      <c r="B4109" s="2">
        <v>7.0</v>
      </c>
      <c r="C4109" s="4"/>
      <c r="E4109" s="4" t="str">
        <f t="array" ref="E4109">XLOOKUP(A4109,'Fintech, Regulatory Arbitrage, '!A:A,'Fintech, Regulatory Arbitrage, '!C:C,"")</f>
        <v/>
      </c>
    </row>
    <row r="4110">
      <c r="A4110" s="1" t="s">
        <v>4129</v>
      </c>
      <c r="B4110" s="2">
        <v>7.0</v>
      </c>
      <c r="C4110" s="4"/>
      <c r="E4110" s="4" t="str">
        <f t="array" ref="E4110">XLOOKUP(A4110,'Fintech, Regulatory Arbitrage, '!A:A,'Fintech, Regulatory Arbitrage, '!C:C,"")</f>
        <v/>
      </c>
    </row>
    <row r="4111">
      <c r="A4111" s="1" t="s">
        <v>4130</v>
      </c>
      <c r="B4111" s="2">
        <v>7.0</v>
      </c>
      <c r="C4111" s="4"/>
      <c r="E4111" s="4" t="str">
        <f t="array" ref="E4111">XLOOKUP(A4111,'Fintech, Regulatory Arbitrage, '!A:A,'Fintech, Regulatory Arbitrage, '!C:C,"")</f>
        <v/>
      </c>
    </row>
    <row r="4112">
      <c r="A4112" s="1" t="s">
        <v>4131</v>
      </c>
      <c r="B4112" s="2">
        <v>7.0</v>
      </c>
      <c r="C4112" s="4"/>
      <c r="E4112" s="4" t="str">
        <f t="array" ref="E4112">XLOOKUP(A4112,'Fintech, Regulatory Arbitrage, '!A:A,'Fintech, Regulatory Arbitrage, '!C:C,"")</f>
        <v/>
      </c>
    </row>
    <row r="4113">
      <c r="A4113" s="1" t="s">
        <v>4132</v>
      </c>
      <c r="B4113" s="2">
        <v>7.0</v>
      </c>
      <c r="C4113" s="4"/>
      <c r="E4113" s="4" t="str">
        <f t="array" ref="E4113">XLOOKUP(A4113,'Fintech, Regulatory Arbitrage, '!A:A,'Fintech, Regulatory Arbitrage, '!C:C,"")</f>
        <v/>
      </c>
    </row>
    <row r="4114">
      <c r="A4114" s="1" t="s">
        <v>4133</v>
      </c>
      <c r="B4114" s="2">
        <v>7.0</v>
      </c>
      <c r="C4114" s="4"/>
      <c r="E4114" s="4" t="str">
        <f t="array" ref="E4114">XLOOKUP(A4114,'Fintech, Regulatory Arbitrage, '!A:A,'Fintech, Regulatory Arbitrage, '!C:C,"")</f>
        <v/>
      </c>
    </row>
    <row r="4115">
      <c r="A4115" s="1" t="s">
        <v>4134</v>
      </c>
      <c r="B4115" s="2">
        <v>7.0</v>
      </c>
      <c r="C4115" s="4"/>
      <c r="E4115" s="4" t="str">
        <f t="array" ref="E4115">XLOOKUP(A4115,'Fintech, Regulatory Arbitrage, '!A:A,'Fintech, Regulatory Arbitrage, '!C:C,"")</f>
        <v/>
      </c>
    </row>
    <row r="4116">
      <c r="A4116" s="1" t="s">
        <v>4135</v>
      </c>
      <c r="B4116" s="2">
        <v>7.0</v>
      </c>
      <c r="C4116" s="4"/>
      <c r="E4116" s="4" t="str">
        <f t="array" ref="E4116">XLOOKUP(A4116,'Fintech, Regulatory Arbitrage, '!A:A,'Fintech, Regulatory Arbitrage, '!C:C,"")</f>
        <v/>
      </c>
    </row>
    <row r="4117">
      <c r="A4117" s="1" t="s">
        <v>4136</v>
      </c>
      <c r="B4117" s="2">
        <v>7.0</v>
      </c>
      <c r="C4117" s="4"/>
      <c r="E4117" s="4" t="str">
        <f t="array" ref="E4117">XLOOKUP(A4117,'Fintech, Regulatory Arbitrage, '!A:A,'Fintech, Regulatory Arbitrage, '!C:C,"")</f>
        <v/>
      </c>
    </row>
    <row r="4118">
      <c r="A4118" s="1" t="s">
        <v>4137</v>
      </c>
      <c r="B4118" s="2">
        <v>7.0</v>
      </c>
      <c r="C4118" s="4"/>
      <c r="E4118" s="4" t="str">
        <f t="array" ref="E4118">XLOOKUP(A4118,'Fintech, Regulatory Arbitrage, '!A:A,'Fintech, Regulatory Arbitrage, '!C:C,"")</f>
        <v/>
      </c>
    </row>
    <row r="4119">
      <c r="A4119" s="1" t="s">
        <v>4138</v>
      </c>
      <c r="B4119" s="2">
        <v>7.0</v>
      </c>
      <c r="C4119" s="4"/>
      <c r="E4119" s="4" t="str">
        <f t="array" ref="E4119">XLOOKUP(A4119,'Fintech, Regulatory Arbitrage, '!A:A,'Fintech, Regulatory Arbitrage, '!C:C,"")</f>
        <v/>
      </c>
    </row>
    <row r="4120">
      <c r="A4120" s="1" t="s">
        <v>4139</v>
      </c>
      <c r="B4120" s="2">
        <v>7.0</v>
      </c>
      <c r="C4120" s="4"/>
      <c r="E4120" s="4" t="str">
        <f t="array" ref="E4120">XLOOKUP(A4120,'Fintech, Regulatory Arbitrage, '!A:A,'Fintech, Regulatory Arbitrage, '!C:C,"")</f>
        <v/>
      </c>
    </row>
    <row r="4121">
      <c r="A4121" s="1" t="s">
        <v>4140</v>
      </c>
      <c r="B4121" s="2">
        <v>7.0</v>
      </c>
      <c r="C4121" s="4"/>
      <c r="E4121" s="4" t="str">
        <f t="array" ref="E4121">XLOOKUP(A4121,'Fintech, Regulatory Arbitrage, '!A:A,'Fintech, Regulatory Arbitrage, '!C:C,"")</f>
        <v/>
      </c>
    </row>
    <row r="4122">
      <c r="A4122" s="1" t="s">
        <v>4141</v>
      </c>
      <c r="B4122" s="2">
        <v>7.0</v>
      </c>
      <c r="C4122" s="4"/>
      <c r="E4122" s="4" t="str">
        <f t="array" ref="E4122">XLOOKUP(A4122,'Fintech, Regulatory Arbitrage, '!A:A,'Fintech, Regulatory Arbitrage, '!C:C,"")</f>
        <v/>
      </c>
    </row>
    <row r="4123">
      <c r="A4123" s="1" t="s">
        <v>4142</v>
      </c>
      <c r="B4123" s="2">
        <v>7.0</v>
      </c>
      <c r="C4123" s="4"/>
      <c r="E4123" s="4" t="str">
        <f t="array" ref="E4123">XLOOKUP(A4123,'Fintech, Regulatory Arbitrage, '!A:A,'Fintech, Regulatory Arbitrage, '!C:C,"")</f>
        <v/>
      </c>
    </row>
    <row r="4124">
      <c r="A4124" s="1" t="s">
        <v>4143</v>
      </c>
      <c r="B4124" s="2">
        <v>7.0</v>
      </c>
      <c r="C4124" s="4"/>
      <c r="E4124" s="4" t="str">
        <f t="array" ref="E4124">XLOOKUP(A4124,'Fintech, Regulatory Arbitrage, '!A:A,'Fintech, Regulatory Arbitrage, '!C:C,"")</f>
        <v/>
      </c>
    </row>
    <row r="4125">
      <c r="A4125" s="1" t="s">
        <v>4144</v>
      </c>
      <c r="B4125" s="2">
        <v>7.0</v>
      </c>
      <c r="C4125" s="4"/>
      <c r="E4125" s="4" t="str">
        <f t="array" ref="E4125">XLOOKUP(A4125,'Fintech, Regulatory Arbitrage, '!A:A,'Fintech, Regulatory Arbitrage, '!C:C,"")</f>
        <v/>
      </c>
    </row>
    <row r="4126">
      <c r="A4126" s="1" t="s">
        <v>4145</v>
      </c>
      <c r="B4126" s="2">
        <v>7.0</v>
      </c>
      <c r="C4126" s="4"/>
      <c r="E4126" s="4" t="str">
        <f t="array" ref="E4126">XLOOKUP(A4126,'Fintech, Regulatory Arbitrage, '!A:A,'Fintech, Regulatory Arbitrage, '!C:C,"")</f>
        <v/>
      </c>
    </row>
    <row r="4127">
      <c r="A4127" s="1" t="s">
        <v>4146</v>
      </c>
      <c r="B4127" s="2">
        <v>7.0</v>
      </c>
      <c r="C4127" s="4"/>
      <c r="E4127" s="4" t="str">
        <f t="array" ref="E4127">XLOOKUP(A4127,'Fintech, Regulatory Arbitrage, '!A:A,'Fintech, Regulatory Arbitrage, '!C:C,"")</f>
        <v/>
      </c>
    </row>
    <row r="4128">
      <c r="A4128" s="1" t="s">
        <v>4147</v>
      </c>
      <c r="B4128" s="2">
        <v>7.0</v>
      </c>
      <c r="C4128" s="4"/>
      <c r="E4128" s="4" t="str">
        <f t="array" ref="E4128">XLOOKUP(A4128,'Fintech, Regulatory Arbitrage, '!A:A,'Fintech, Regulatory Arbitrage, '!C:C,"")</f>
        <v/>
      </c>
    </row>
    <row r="4129">
      <c r="A4129" s="1" t="s">
        <v>4148</v>
      </c>
      <c r="B4129" s="2">
        <v>7.0</v>
      </c>
      <c r="C4129" s="4"/>
      <c r="E4129" s="4" t="str">
        <f t="array" ref="E4129">XLOOKUP(A4129,'Fintech, Regulatory Arbitrage, '!A:A,'Fintech, Regulatory Arbitrage, '!C:C,"")</f>
        <v/>
      </c>
    </row>
    <row r="4130">
      <c r="A4130" s="1" t="s">
        <v>4149</v>
      </c>
      <c r="B4130" s="2">
        <v>7.0</v>
      </c>
      <c r="C4130" s="4"/>
      <c r="E4130" s="4" t="str">
        <f t="array" ref="E4130">XLOOKUP(A4130,'Fintech, Regulatory Arbitrage, '!A:A,'Fintech, Regulatory Arbitrage, '!C:C,"")</f>
        <v/>
      </c>
    </row>
    <row r="4131">
      <c r="A4131" s="1" t="s">
        <v>4150</v>
      </c>
      <c r="B4131" s="2">
        <v>7.0</v>
      </c>
      <c r="C4131" s="4"/>
      <c r="E4131" s="4" t="str">
        <f t="array" ref="E4131">XLOOKUP(A4131,'Fintech, Regulatory Arbitrage, '!A:A,'Fintech, Regulatory Arbitrage, '!C:C,"")</f>
        <v/>
      </c>
    </row>
    <row r="4132">
      <c r="A4132" s="1" t="s">
        <v>4151</v>
      </c>
      <c r="B4132" s="2">
        <v>7.0</v>
      </c>
      <c r="C4132" s="4"/>
      <c r="E4132" s="4" t="str">
        <f t="array" ref="E4132">XLOOKUP(A4132,'Fintech, Regulatory Arbitrage, '!A:A,'Fintech, Regulatory Arbitrage, '!C:C,"")</f>
        <v/>
      </c>
    </row>
    <row r="4133">
      <c r="A4133" s="1" t="s">
        <v>4152</v>
      </c>
      <c r="B4133" s="2">
        <v>7.0</v>
      </c>
      <c r="C4133" s="4"/>
      <c r="E4133" s="4" t="str">
        <f t="array" ref="E4133">XLOOKUP(A4133,'Fintech, Regulatory Arbitrage, '!A:A,'Fintech, Regulatory Arbitrage, '!C:C,"")</f>
        <v/>
      </c>
    </row>
    <row r="4134">
      <c r="A4134" s="1" t="s">
        <v>4153</v>
      </c>
      <c r="B4134" s="2">
        <v>7.0</v>
      </c>
      <c r="C4134" s="4"/>
      <c r="E4134" s="4" t="str">
        <f t="array" ref="E4134">XLOOKUP(A4134,'Fintech, Regulatory Arbitrage, '!A:A,'Fintech, Regulatory Arbitrage, '!C:C,"")</f>
        <v/>
      </c>
    </row>
    <row r="4135">
      <c r="A4135" s="1" t="s">
        <v>4154</v>
      </c>
      <c r="B4135" s="2">
        <v>7.0</v>
      </c>
      <c r="C4135" s="4"/>
      <c r="E4135" s="4" t="str">
        <f t="array" ref="E4135">XLOOKUP(A4135,'Fintech, Regulatory Arbitrage, '!A:A,'Fintech, Regulatory Arbitrage, '!C:C,"")</f>
        <v/>
      </c>
    </row>
    <row r="4136">
      <c r="A4136" s="1" t="s">
        <v>4155</v>
      </c>
      <c r="B4136" s="2">
        <v>7.0</v>
      </c>
      <c r="C4136" s="4"/>
      <c r="E4136" s="4" t="str">
        <f t="array" ref="E4136">XLOOKUP(A4136,'Fintech, Regulatory Arbitrage, '!A:A,'Fintech, Regulatory Arbitrage, '!C:C,"")</f>
        <v/>
      </c>
    </row>
    <row r="4137">
      <c r="A4137" s="1" t="s">
        <v>4156</v>
      </c>
      <c r="B4137" s="2">
        <v>7.0</v>
      </c>
      <c r="C4137" s="4"/>
      <c r="E4137" s="4" t="str">
        <f t="array" ref="E4137">XLOOKUP(A4137,'Fintech, Regulatory Arbitrage, '!A:A,'Fintech, Regulatory Arbitrage, '!C:C,"")</f>
        <v/>
      </c>
    </row>
    <row r="4138">
      <c r="A4138" s="1" t="s">
        <v>4157</v>
      </c>
      <c r="B4138" s="2">
        <v>7.0</v>
      </c>
      <c r="C4138" s="4"/>
      <c r="E4138" s="4" t="str">
        <f t="array" ref="E4138">XLOOKUP(A4138,'Fintech, Regulatory Arbitrage, '!A:A,'Fintech, Regulatory Arbitrage, '!C:C,"")</f>
        <v/>
      </c>
    </row>
    <row r="4139">
      <c r="A4139" s="1" t="s">
        <v>4158</v>
      </c>
      <c r="B4139" s="2">
        <v>7.0</v>
      </c>
      <c r="C4139" s="4"/>
      <c r="E4139" s="4" t="str">
        <f t="array" ref="E4139">XLOOKUP(A4139,'Fintech, Regulatory Arbitrage, '!A:A,'Fintech, Regulatory Arbitrage, '!C:C,"")</f>
        <v/>
      </c>
    </row>
    <row r="4140">
      <c r="A4140" s="1" t="s">
        <v>4159</v>
      </c>
      <c r="B4140" s="2">
        <v>7.0</v>
      </c>
      <c r="C4140" s="4"/>
      <c r="E4140" s="4" t="str">
        <f t="array" ref="E4140">XLOOKUP(A4140,'Fintech, Regulatory Arbitrage, '!A:A,'Fintech, Regulatory Arbitrage, '!C:C,"")</f>
        <v/>
      </c>
    </row>
    <row r="4141">
      <c r="A4141" s="1" t="s">
        <v>4160</v>
      </c>
      <c r="B4141" s="2">
        <v>7.0</v>
      </c>
      <c r="C4141" s="4"/>
      <c r="E4141" s="4" t="str">
        <f t="array" ref="E4141">XLOOKUP(A4141,'Fintech, Regulatory Arbitrage, '!A:A,'Fintech, Regulatory Arbitrage, '!C:C,"")</f>
        <v/>
      </c>
    </row>
    <row r="4142">
      <c r="A4142" s="1" t="s">
        <v>4161</v>
      </c>
      <c r="B4142" s="2">
        <v>7.0</v>
      </c>
      <c r="C4142" s="4"/>
      <c r="E4142" s="4" t="str">
        <f t="array" ref="E4142">XLOOKUP(A4142,'Fintech, Regulatory Arbitrage, '!A:A,'Fintech, Regulatory Arbitrage, '!C:C,"")</f>
        <v/>
      </c>
    </row>
    <row r="4143">
      <c r="A4143" s="1" t="s">
        <v>4162</v>
      </c>
      <c r="B4143" s="2">
        <v>7.0</v>
      </c>
      <c r="C4143" s="4"/>
      <c r="E4143" s="4" t="str">
        <f t="array" ref="E4143">XLOOKUP(A4143,'Fintech, Regulatory Arbitrage, '!A:A,'Fintech, Regulatory Arbitrage, '!C:C,"")</f>
        <v/>
      </c>
    </row>
    <row r="4144">
      <c r="A4144" s="1" t="s">
        <v>4163</v>
      </c>
      <c r="B4144" s="2">
        <v>7.0</v>
      </c>
      <c r="C4144" s="4"/>
      <c r="E4144" s="4" t="str">
        <f t="array" ref="E4144">XLOOKUP(A4144,'Fintech, Regulatory Arbitrage, '!A:A,'Fintech, Regulatory Arbitrage, '!C:C,"")</f>
        <v/>
      </c>
    </row>
    <row r="4145">
      <c r="A4145" s="1" t="s">
        <v>4164</v>
      </c>
      <c r="B4145" s="2">
        <v>7.0</v>
      </c>
      <c r="C4145" s="4"/>
      <c r="E4145" s="4" t="str">
        <f t="array" ref="E4145">XLOOKUP(A4145,'Fintech, Regulatory Arbitrage, '!A:A,'Fintech, Regulatory Arbitrage, '!C:C,"")</f>
        <v/>
      </c>
    </row>
    <row r="4146">
      <c r="A4146" s="1" t="s">
        <v>4165</v>
      </c>
      <c r="B4146" s="2">
        <v>7.0</v>
      </c>
      <c r="C4146" s="4"/>
      <c r="E4146" s="4" t="str">
        <f t="array" ref="E4146">XLOOKUP(A4146,'Fintech, Regulatory Arbitrage, '!A:A,'Fintech, Regulatory Arbitrage, '!C:C,"")</f>
        <v/>
      </c>
    </row>
    <row r="4147">
      <c r="A4147" s="1" t="s">
        <v>4166</v>
      </c>
      <c r="B4147" s="2">
        <v>7.0</v>
      </c>
      <c r="C4147" s="4"/>
      <c r="E4147" s="4" t="str">
        <f t="array" ref="E4147">XLOOKUP(A4147,'Fintech, Regulatory Arbitrage, '!A:A,'Fintech, Regulatory Arbitrage, '!C:C,"")</f>
        <v/>
      </c>
    </row>
    <row r="4148">
      <c r="A4148" s="1" t="s">
        <v>4167</v>
      </c>
      <c r="B4148" s="2">
        <v>7.0</v>
      </c>
      <c r="C4148" s="4"/>
      <c r="E4148" s="4" t="str">
        <f t="array" ref="E4148">XLOOKUP(A4148,'Fintech, Regulatory Arbitrage, '!A:A,'Fintech, Regulatory Arbitrage, '!C:C,"")</f>
        <v/>
      </c>
    </row>
    <row r="4149">
      <c r="A4149" s="1" t="s">
        <v>4168</v>
      </c>
      <c r="B4149" s="2">
        <v>7.0</v>
      </c>
      <c r="C4149" s="4"/>
      <c r="E4149" s="4" t="str">
        <f t="array" ref="E4149">XLOOKUP(A4149,'Fintech, Regulatory Arbitrage, '!A:A,'Fintech, Regulatory Arbitrage, '!C:C,"")</f>
        <v/>
      </c>
    </row>
    <row r="4150">
      <c r="A4150" s="1" t="s">
        <v>4169</v>
      </c>
      <c r="B4150" s="2">
        <v>7.0</v>
      </c>
      <c r="C4150" s="4"/>
      <c r="E4150" s="4" t="str">
        <f t="array" ref="E4150">XLOOKUP(A4150,'Fintech, Regulatory Arbitrage, '!A:A,'Fintech, Regulatory Arbitrage, '!C:C,"")</f>
        <v/>
      </c>
    </row>
    <row r="4151">
      <c r="A4151" s="1" t="s">
        <v>4170</v>
      </c>
      <c r="B4151" s="2">
        <v>7.0</v>
      </c>
      <c r="C4151" s="4"/>
      <c r="E4151" s="4" t="str">
        <f t="array" ref="E4151">XLOOKUP(A4151,'Fintech, Regulatory Arbitrage, '!A:A,'Fintech, Regulatory Arbitrage, '!C:C,"")</f>
        <v/>
      </c>
    </row>
    <row r="4152">
      <c r="A4152" s="1" t="s">
        <v>4171</v>
      </c>
      <c r="B4152" s="2">
        <v>7.0</v>
      </c>
      <c r="C4152" s="4"/>
      <c r="E4152" s="4" t="str">
        <f t="array" ref="E4152">XLOOKUP(A4152,'Fintech, Regulatory Arbitrage, '!A:A,'Fintech, Regulatory Arbitrage, '!C:C,"")</f>
        <v/>
      </c>
    </row>
    <row r="4153">
      <c r="A4153" s="1" t="s">
        <v>4172</v>
      </c>
      <c r="B4153" s="2">
        <v>7.0</v>
      </c>
      <c r="C4153" s="4"/>
      <c r="E4153" s="4" t="str">
        <f t="array" ref="E4153">XLOOKUP(A4153,'Fintech, Regulatory Arbitrage, '!A:A,'Fintech, Regulatory Arbitrage, '!C:C,"")</f>
        <v/>
      </c>
    </row>
    <row r="4154">
      <c r="A4154" s="1" t="s">
        <v>4173</v>
      </c>
      <c r="B4154" s="2">
        <v>7.0</v>
      </c>
      <c r="C4154" s="4"/>
      <c r="E4154" s="4" t="str">
        <f t="array" ref="E4154">XLOOKUP(A4154,'Fintech, Regulatory Arbitrage, '!A:A,'Fintech, Regulatory Arbitrage, '!C:C,"")</f>
        <v/>
      </c>
    </row>
    <row r="4155">
      <c r="A4155" s="1" t="s">
        <v>4174</v>
      </c>
      <c r="B4155" s="2">
        <v>7.0</v>
      </c>
      <c r="C4155" s="4"/>
      <c r="E4155" s="4" t="str">
        <f t="array" ref="E4155">XLOOKUP(A4155,'Fintech, Regulatory Arbitrage, '!A:A,'Fintech, Regulatory Arbitrage, '!C:C,"")</f>
        <v/>
      </c>
    </row>
    <row r="4156">
      <c r="A4156" s="1" t="s">
        <v>4175</v>
      </c>
      <c r="B4156" s="2">
        <v>7.0</v>
      </c>
      <c r="C4156" s="4"/>
      <c r="E4156" s="4" t="str">
        <f t="array" ref="E4156">XLOOKUP(A4156,'Fintech, Regulatory Arbitrage, '!A:A,'Fintech, Regulatory Arbitrage, '!C:C,"")</f>
        <v/>
      </c>
    </row>
    <row r="4157">
      <c r="A4157" s="1" t="s">
        <v>4176</v>
      </c>
      <c r="B4157" s="2">
        <v>7.0</v>
      </c>
      <c r="C4157" s="4"/>
      <c r="E4157" s="4" t="str">
        <f t="array" ref="E4157">XLOOKUP(A4157,'Fintech, Regulatory Arbitrage, '!A:A,'Fintech, Regulatory Arbitrage, '!C:C,"")</f>
        <v/>
      </c>
    </row>
    <row r="4158">
      <c r="A4158" s="1" t="s">
        <v>4177</v>
      </c>
      <c r="B4158" s="2">
        <v>7.0</v>
      </c>
      <c r="C4158" s="4"/>
      <c r="E4158" s="4" t="str">
        <f t="array" ref="E4158">XLOOKUP(A4158,'Fintech, Regulatory Arbitrage, '!A:A,'Fintech, Regulatory Arbitrage, '!C:C,"")</f>
        <v/>
      </c>
    </row>
    <row r="4159">
      <c r="A4159" s="1" t="s">
        <v>4178</v>
      </c>
      <c r="B4159" s="2">
        <v>7.0</v>
      </c>
      <c r="C4159" s="4"/>
      <c r="E4159" s="4" t="str">
        <f t="array" ref="E4159">XLOOKUP(A4159,'Fintech, Regulatory Arbitrage, '!A:A,'Fintech, Regulatory Arbitrage, '!C:C,"")</f>
        <v/>
      </c>
    </row>
    <row r="4160">
      <c r="A4160" s="1" t="s">
        <v>4179</v>
      </c>
      <c r="B4160" s="2">
        <v>7.0</v>
      </c>
      <c r="C4160" s="4"/>
      <c r="E4160" s="4" t="str">
        <f t="array" ref="E4160">XLOOKUP(A4160,'Fintech, Regulatory Arbitrage, '!A:A,'Fintech, Regulatory Arbitrage, '!C:C,"")</f>
        <v/>
      </c>
    </row>
    <row r="4161">
      <c r="A4161" s="1" t="s">
        <v>4180</v>
      </c>
      <c r="B4161" s="2">
        <v>7.0</v>
      </c>
      <c r="C4161" s="4"/>
      <c r="E4161" s="4" t="str">
        <f t="array" ref="E4161">XLOOKUP(A4161,'Fintech, Regulatory Arbitrage, '!A:A,'Fintech, Regulatory Arbitrage, '!C:C,"")</f>
        <v/>
      </c>
    </row>
    <row r="4162">
      <c r="A4162" s="1" t="s">
        <v>4181</v>
      </c>
      <c r="B4162" s="2">
        <v>7.0</v>
      </c>
      <c r="C4162" s="4"/>
      <c r="E4162" s="4" t="str">
        <f t="array" ref="E4162">XLOOKUP(A4162,'Fintech, Regulatory Arbitrage, '!A:A,'Fintech, Regulatory Arbitrage, '!C:C,"")</f>
        <v/>
      </c>
    </row>
    <row r="4163">
      <c r="A4163" s="1" t="s">
        <v>4182</v>
      </c>
      <c r="B4163" s="2">
        <v>7.0</v>
      </c>
      <c r="C4163" s="4"/>
      <c r="E4163" s="4" t="str">
        <f t="array" ref="E4163">XLOOKUP(A4163,'Fintech, Regulatory Arbitrage, '!A:A,'Fintech, Regulatory Arbitrage, '!C:C,"")</f>
        <v/>
      </c>
    </row>
    <row r="4164">
      <c r="A4164" s="1" t="s">
        <v>4183</v>
      </c>
      <c r="B4164" s="2">
        <v>7.0</v>
      </c>
      <c r="C4164" s="4"/>
      <c r="E4164" s="4" t="str">
        <f t="array" ref="E4164">XLOOKUP(A4164,'Fintech, Regulatory Arbitrage, '!A:A,'Fintech, Regulatory Arbitrage, '!C:C,"")</f>
        <v/>
      </c>
    </row>
    <row r="4165">
      <c r="A4165" s="1" t="s">
        <v>4184</v>
      </c>
      <c r="B4165" s="2">
        <v>7.0</v>
      </c>
      <c r="C4165" s="4"/>
      <c r="E4165" s="4" t="str">
        <f t="array" ref="E4165">XLOOKUP(A4165,'Fintech, Regulatory Arbitrage, '!A:A,'Fintech, Regulatory Arbitrage, '!C:C,"")</f>
        <v/>
      </c>
    </row>
    <row r="4166">
      <c r="A4166" s="1" t="s">
        <v>4185</v>
      </c>
      <c r="B4166" s="2">
        <v>7.0</v>
      </c>
      <c r="C4166" s="4"/>
      <c r="E4166" s="4" t="str">
        <f t="array" ref="E4166">XLOOKUP(A4166,'Fintech, Regulatory Arbitrage, '!A:A,'Fintech, Regulatory Arbitrage, '!C:C,"")</f>
        <v/>
      </c>
    </row>
    <row r="4167">
      <c r="A4167" s="1" t="s">
        <v>4186</v>
      </c>
      <c r="B4167" s="2">
        <v>7.0</v>
      </c>
      <c r="C4167" s="4"/>
      <c r="E4167" s="4" t="str">
        <f t="array" ref="E4167">XLOOKUP(A4167,'Fintech, Regulatory Arbitrage, '!A:A,'Fintech, Regulatory Arbitrage, '!C:C,"")</f>
        <v/>
      </c>
    </row>
    <row r="4168">
      <c r="A4168" s="1" t="s">
        <v>4187</v>
      </c>
      <c r="B4168" s="2">
        <v>7.0</v>
      </c>
      <c r="C4168" s="4"/>
      <c r="E4168" s="4" t="str">
        <f t="array" ref="E4168">XLOOKUP(A4168,'Fintech, Regulatory Arbitrage, '!A:A,'Fintech, Regulatory Arbitrage, '!C:C,"")</f>
        <v/>
      </c>
    </row>
    <row r="4169">
      <c r="A4169" s="1" t="s">
        <v>4188</v>
      </c>
      <c r="B4169" s="2">
        <v>7.0</v>
      </c>
      <c r="C4169" s="4"/>
      <c r="E4169" s="4" t="str">
        <f t="array" ref="E4169">XLOOKUP(A4169,'Fintech, Regulatory Arbitrage, '!A:A,'Fintech, Regulatory Arbitrage, '!C:C,"")</f>
        <v/>
      </c>
    </row>
    <row r="4170">
      <c r="A4170" s="1" t="s">
        <v>4189</v>
      </c>
      <c r="B4170" s="2">
        <v>7.0</v>
      </c>
      <c r="C4170" s="4"/>
      <c r="E4170" s="4" t="str">
        <f t="array" ref="E4170">XLOOKUP(A4170,'Fintech, Regulatory Arbitrage, '!A:A,'Fintech, Regulatory Arbitrage, '!C:C,"")</f>
        <v/>
      </c>
    </row>
    <row r="4171">
      <c r="A4171" s="1" t="s">
        <v>4190</v>
      </c>
      <c r="B4171" s="2">
        <v>7.0</v>
      </c>
      <c r="C4171" s="4"/>
      <c r="E4171" s="4" t="str">
        <f t="array" ref="E4171">XLOOKUP(A4171,'Fintech, Regulatory Arbitrage, '!A:A,'Fintech, Regulatory Arbitrage, '!C:C,"")</f>
        <v/>
      </c>
    </row>
    <row r="4172">
      <c r="A4172" s="1" t="s">
        <v>4191</v>
      </c>
      <c r="B4172" s="2">
        <v>7.0</v>
      </c>
      <c r="C4172" s="4"/>
      <c r="E4172" s="4" t="str">
        <f t="array" ref="E4172">XLOOKUP(A4172,'Fintech, Regulatory Arbitrage, '!A:A,'Fintech, Regulatory Arbitrage, '!C:C,"")</f>
        <v/>
      </c>
    </row>
    <row r="4173">
      <c r="A4173" s="1" t="s">
        <v>4192</v>
      </c>
      <c r="B4173" s="2">
        <v>7.0</v>
      </c>
      <c r="C4173" s="4"/>
      <c r="E4173" s="4" t="str">
        <f t="array" ref="E4173">XLOOKUP(A4173,'Fintech, Regulatory Arbitrage, '!A:A,'Fintech, Regulatory Arbitrage, '!C:C,"")</f>
        <v/>
      </c>
    </row>
    <row r="4174">
      <c r="A4174" s="1" t="s">
        <v>4193</v>
      </c>
      <c r="B4174" s="2">
        <v>7.0</v>
      </c>
      <c r="C4174" s="4"/>
      <c r="E4174" s="4" t="str">
        <f t="array" ref="E4174">XLOOKUP(A4174,'Fintech, Regulatory Arbitrage, '!A:A,'Fintech, Regulatory Arbitrage, '!C:C,"")</f>
        <v/>
      </c>
    </row>
    <row r="4175">
      <c r="A4175" s="1" t="s">
        <v>4194</v>
      </c>
      <c r="B4175" s="2">
        <v>7.0</v>
      </c>
      <c r="C4175" s="4"/>
      <c r="E4175" s="4" t="str">
        <f t="array" ref="E4175">XLOOKUP(A4175,'Fintech, Regulatory Arbitrage, '!A:A,'Fintech, Regulatory Arbitrage, '!C:C,"")</f>
        <v/>
      </c>
    </row>
    <row r="4176">
      <c r="A4176" s="1" t="s">
        <v>4195</v>
      </c>
      <c r="B4176" s="2">
        <v>7.0</v>
      </c>
      <c r="C4176" s="4"/>
      <c r="E4176" s="4" t="str">
        <f t="array" ref="E4176">XLOOKUP(A4176,'Fintech, Regulatory Arbitrage, '!A:A,'Fintech, Regulatory Arbitrage, '!C:C,"")</f>
        <v/>
      </c>
    </row>
    <row r="4177">
      <c r="A4177" s="1" t="s">
        <v>4196</v>
      </c>
      <c r="B4177" s="2">
        <v>7.0</v>
      </c>
      <c r="C4177" s="4"/>
      <c r="E4177" s="4" t="str">
        <f t="array" ref="E4177">XLOOKUP(A4177,'Fintech, Regulatory Arbitrage, '!A:A,'Fintech, Regulatory Arbitrage, '!C:C,"")</f>
        <v/>
      </c>
    </row>
    <row r="4178">
      <c r="A4178" s="1" t="s">
        <v>4197</v>
      </c>
      <c r="B4178" s="2">
        <v>7.0</v>
      </c>
      <c r="C4178" s="4"/>
      <c r="E4178" s="4" t="str">
        <f t="array" ref="E4178">XLOOKUP(A4178,'Fintech, Regulatory Arbitrage, '!A:A,'Fintech, Regulatory Arbitrage, '!C:C,"")</f>
        <v/>
      </c>
    </row>
    <row r="4179">
      <c r="A4179" s="1" t="s">
        <v>4198</v>
      </c>
      <c r="B4179" s="2">
        <v>7.0</v>
      </c>
      <c r="C4179" s="4"/>
      <c r="E4179" s="4" t="str">
        <f t="array" ref="E4179">XLOOKUP(A4179,'Fintech, Regulatory Arbitrage, '!A:A,'Fintech, Regulatory Arbitrage, '!C:C,"")</f>
        <v/>
      </c>
    </row>
    <row r="4180">
      <c r="A4180" s="1" t="s">
        <v>4199</v>
      </c>
      <c r="B4180" s="2">
        <v>7.0</v>
      </c>
      <c r="C4180" s="4"/>
      <c r="E4180" s="4" t="str">
        <f t="array" ref="E4180">XLOOKUP(A4180,'Fintech, Regulatory Arbitrage, '!A:A,'Fintech, Regulatory Arbitrage, '!C:C,"")</f>
        <v/>
      </c>
    </row>
    <row r="4181">
      <c r="A4181" s="1" t="s">
        <v>4200</v>
      </c>
      <c r="B4181" s="2">
        <v>7.0</v>
      </c>
      <c r="C4181" s="4"/>
      <c r="E4181" s="4" t="str">
        <f t="array" ref="E4181">XLOOKUP(A4181,'Fintech, Regulatory Arbitrage, '!A:A,'Fintech, Regulatory Arbitrage, '!C:C,"")</f>
        <v/>
      </c>
    </row>
    <row r="4182">
      <c r="A4182" s="1" t="s">
        <v>4201</v>
      </c>
      <c r="B4182" s="2">
        <v>7.0</v>
      </c>
      <c r="C4182" s="4"/>
      <c r="E4182" s="4" t="str">
        <f t="array" ref="E4182">XLOOKUP(A4182,'Fintech, Regulatory Arbitrage, '!A:A,'Fintech, Regulatory Arbitrage, '!C:C,"")</f>
        <v/>
      </c>
    </row>
    <row r="4183">
      <c r="A4183" s="1" t="s">
        <v>4202</v>
      </c>
      <c r="B4183" s="2">
        <v>7.0</v>
      </c>
      <c r="C4183" s="4"/>
      <c r="E4183" s="4" t="str">
        <f t="array" ref="E4183">XLOOKUP(A4183,'Fintech, Regulatory Arbitrage, '!A:A,'Fintech, Regulatory Arbitrage, '!C:C,"")</f>
        <v/>
      </c>
    </row>
    <row r="4184">
      <c r="A4184" s="1" t="s">
        <v>4203</v>
      </c>
      <c r="B4184" s="2">
        <v>7.0</v>
      </c>
      <c r="C4184" s="4"/>
      <c r="E4184" s="4" t="str">
        <f t="array" ref="E4184">XLOOKUP(A4184,'Fintech, Regulatory Arbitrage, '!A:A,'Fintech, Regulatory Arbitrage, '!C:C,"")</f>
        <v/>
      </c>
    </row>
    <row r="4185">
      <c r="A4185" s="1" t="s">
        <v>4204</v>
      </c>
      <c r="B4185" s="2">
        <v>7.0</v>
      </c>
      <c r="C4185" s="4"/>
      <c r="E4185" s="4" t="str">
        <f t="array" ref="E4185">XLOOKUP(A4185,'Fintech, Regulatory Arbitrage, '!A:A,'Fintech, Regulatory Arbitrage, '!C:C,"")</f>
        <v/>
      </c>
    </row>
    <row r="4186">
      <c r="A4186" s="1" t="s">
        <v>4205</v>
      </c>
      <c r="B4186" s="2">
        <v>7.0</v>
      </c>
      <c r="C4186" s="4"/>
      <c r="E4186" s="4" t="str">
        <f t="array" ref="E4186">XLOOKUP(A4186,'Fintech, Regulatory Arbitrage, '!A:A,'Fintech, Regulatory Arbitrage, '!C:C,"")</f>
        <v/>
      </c>
    </row>
    <row r="4187">
      <c r="A4187" s="1" t="s">
        <v>4206</v>
      </c>
      <c r="B4187" s="2">
        <v>7.0</v>
      </c>
      <c r="C4187" s="4"/>
      <c r="E4187" s="4" t="str">
        <f t="array" ref="E4187">XLOOKUP(A4187,'Fintech, Regulatory Arbitrage, '!A:A,'Fintech, Regulatory Arbitrage, '!C:C,"")</f>
        <v/>
      </c>
    </row>
    <row r="4188">
      <c r="A4188" s="1" t="s">
        <v>4207</v>
      </c>
      <c r="B4188" s="2">
        <v>7.0</v>
      </c>
      <c r="C4188" s="4"/>
      <c r="E4188" s="4" t="str">
        <f t="array" ref="E4188">XLOOKUP(A4188,'Fintech, Regulatory Arbitrage, '!A:A,'Fintech, Regulatory Arbitrage, '!C:C,"")</f>
        <v/>
      </c>
    </row>
    <row r="4189">
      <c r="A4189" s="1" t="s">
        <v>4208</v>
      </c>
      <c r="B4189" s="2">
        <v>7.0</v>
      </c>
      <c r="C4189" s="4"/>
      <c r="E4189" s="4" t="str">
        <f t="array" ref="E4189">XLOOKUP(A4189,'Fintech, Regulatory Arbitrage, '!A:A,'Fintech, Regulatory Arbitrage, '!C:C,"")</f>
        <v/>
      </c>
    </row>
    <row r="4190">
      <c r="A4190" s="1" t="s">
        <v>4209</v>
      </c>
      <c r="B4190" s="2">
        <v>7.0</v>
      </c>
      <c r="C4190" s="4"/>
      <c r="E4190" s="4" t="str">
        <f t="array" ref="E4190">XLOOKUP(A4190,'Fintech, Regulatory Arbitrage, '!A:A,'Fintech, Regulatory Arbitrage, '!C:C,"")</f>
        <v/>
      </c>
    </row>
    <row r="4191">
      <c r="A4191" s="1" t="s">
        <v>4210</v>
      </c>
      <c r="B4191" s="2">
        <v>7.0</v>
      </c>
      <c r="C4191" s="4"/>
      <c r="E4191" s="4" t="str">
        <f t="array" ref="E4191">XLOOKUP(A4191,'Fintech, Regulatory Arbitrage, '!A:A,'Fintech, Regulatory Arbitrage, '!C:C,"")</f>
        <v/>
      </c>
    </row>
    <row r="4192">
      <c r="A4192" s="1" t="s">
        <v>4211</v>
      </c>
      <c r="B4192" s="2">
        <v>7.0</v>
      </c>
      <c r="C4192" s="4"/>
      <c r="E4192" s="4" t="str">
        <f t="array" ref="E4192">XLOOKUP(A4192,'Fintech, Regulatory Arbitrage, '!A:A,'Fintech, Regulatory Arbitrage, '!C:C,"")</f>
        <v/>
      </c>
    </row>
    <row r="4193">
      <c r="A4193" s="1" t="s">
        <v>4212</v>
      </c>
      <c r="B4193" s="2">
        <v>7.0</v>
      </c>
      <c r="C4193" s="4"/>
      <c r="E4193" s="4" t="str">
        <f t="array" ref="E4193">XLOOKUP(A4193,'Fintech, Regulatory Arbitrage, '!A:A,'Fintech, Regulatory Arbitrage, '!C:C,"")</f>
        <v/>
      </c>
    </row>
    <row r="4194">
      <c r="A4194" s="1" t="s">
        <v>4213</v>
      </c>
      <c r="B4194" s="2">
        <v>7.0</v>
      </c>
      <c r="C4194" s="4"/>
      <c r="E4194" s="4" t="str">
        <f t="array" ref="E4194">XLOOKUP(A4194,'Fintech, Regulatory Arbitrage, '!A:A,'Fintech, Regulatory Arbitrage, '!C:C,"")</f>
        <v/>
      </c>
    </row>
    <row r="4195">
      <c r="A4195" s="1" t="s">
        <v>4214</v>
      </c>
      <c r="B4195" s="2">
        <v>7.0</v>
      </c>
      <c r="C4195" s="4"/>
      <c r="E4195" s="4" t="str">
        <f t="array" ref="E4195">XLOOKUP(A4195,'Fintech, Regulatory Arbitrage, '!A:A,'Fintech, Regulatory Arbitrage, '!C:C,"")</f>
        <v/>
      </c>
    </row>
    <row r="4196">
      <c r="A4196" s="1" t="s">
        <v>4215</v>
      </c>
      <c r="B4196" s="2">
        <v>7.0</v>
      </c>
      <c r="C4196" s="4"/>
      <c r="E4196" s="4" t="str">
        <f t="array" ref="E4196">XLOOKUP(A4196,'Fintech, Regulatory Arbitrage, '!A:A,'Fintech, Regulatory Arbitrage, '!C:C,"")</f>
        <v/>
      </c>
    </row>
    <row r="4197">
      <c r="A4197" s="1" t="s">
        <v>4216</v>
      </c>
      <c r="B4197" s="2">
        <v>7.0</v>
      </c>
      <c r="C4197" s="4"/>
      <c r="E4197" s="4" t="str">
        <f t="array" ref="E4197">XLOOKUP(A4197,'Fintech, Regulatory Arbitrage, '!A:A,'Fintech, Regulatory Arbitrage, '!C:C,"")</f>
        <v/>
      </c>
    </row>
    <row r="4198">
      <c r="A4198" s="1" t="s">
        <v>4217</v>
      </c>
      <c r="B4198" s="2">
        <v>7.0</v>
      </c>
      <c r="C4198" s="4"/>
      <c r="E4198" s="4" t="str">
        <f t="array" ref="E4198">XLOOKUP(A4198,'Fintech, Regulatory Arbitrage, '!A:A,'Fintech, Regulatory Arbitrage, '!C:C,"")</f>
        <v/>
      </c>
    </row>
    <row r="4199">
      <c r="A4199" s="1" t="s">
        <v>4218</v>
      </c>
      <c r="B4199" s="2">
        <v>7.0</v>
      </c>
      <c r="C4199" s="4"/>
      <c r="E4199" s="4" t="str">
        <f t="array" ref="E4199">XLOOKUP(A4199,'Fintech, Regulatory Arbitrage, '!A:A,'Fintech, Regulatory Arbitrage, '!C:C,"")</f>
        <v/>
      </c>
    </row>
    <row r="4200">
      <c r="A4200" s="1" t="s">
        <v>4219</v>
      </c>
      <c r="B4200" s="2">
        <v>7.0</v>
      </c>
      <c r="C4200" s="4"/>
      <c r="E4200" s="4" t="str">
        <f t="array" ref="E4200">XLOOKUP(A4200,'Fintech, Regulatory Arbitrage, '!A:A,'Fintech, Regulatory Arbitrage, '!C:C,"")</f>
        <v/>
      </c>
    </row>
    <row r="4201">
      <c r="A4201" s="1" t="s">
        <v>4220</v>
      </c>
      <c r="B4201" s="2">
        <v>7.0</v>
      </c>
      <c r="C4201" s="4"/>
      <c r="E4201" s="4" t="str">
        <f t="array" ref="E4201">XLOOKUP(A4201,'Fintech, Regulatory Arbitrage, '!A:A,'Fintech, Regulatory Arbitrage, '!C:C,"")</f>
        <v/>
      </c>
    </row>
    <row r="4202">
      <c r="A4202" s="1" t="s">
        <v>4221</v>
      </c>
      <c r="B4202" s="2">
        <v>7.0</v>
      </c>
      <c r="C4202" s="4"/>
      <c r="E4202" s="4" t="str">
        <f t="array" ref="E4202">XLOOKUP(A4202,'Fintech, Regulatory Arbitrage, '!A:A,'Fintech, Regulatory Arbitrage, '!C:C,"")</f>
        <v/>
      </c>
    </row>
    <row r="4203">
      <c r="A4203" s="1" t="s">
        <v>4222</v>
      </c>
      <c r="B4203" s="2">
        <v>7.0</v>
      </c>
      <c r="C4203" s="4"/>
      <c r="E4203" s="4" t="str">
        <f t="array" ref="E4203">XLOOKUP(A4203,'Fintech, Regulatory Arbitrage, '!A:A,'Fintech, Regulatory Arbitrage, '!C:C,"")</f>
        <v/>
      </c>
    </row>
    <row r="4204">
      <c r="A4204" s="1" t="s">
        <v>4223</v>
      </c>
      <c r="B4204" s="2">
        <v>7.0</v>
      </c>
      <c r="C4204" s="4"/>
      <c r="E4204" s="4" t="str">
        <f t="array" ref="E4204">XLOOKUP(A4204,'Fintech, Regulatory Arbitrage, '!A:A,'Fintech, Regulatory Arbitrage, '!C:C,"")</f>
        <v/>
      </c>
    </row>
    <row r="4205">
      <c r="A4205" s="1" t="s">
        <v>4224</v>
      </c>
      <c r="B4205" s="2">
        <v>7.0</v>
      </c>
      <c r="C4205" s="4"/>
      <c r="E4205" s="4" t="str">
        <f t="array" ref="E4205">XLOOKUP(A4205,'Fintech, Regulatory Arbitrage, '!A:A,'Fintech, Regulatory Arbitrage, '!C:C,"")</f>
        <v/>
      </c>
    </row>
    <row r="4206">
      <c r="A4206" s="1" t="s">
        <v>4225</v>
      </c>
      <c r="B4206" s="2">
        <v>7.0</v>
      </c>
      <c r="C4206" s="4"/>
      <c r="E4206" s="4" t="str">
        <f t="array" ref="E4206">XLOOKUP(A4206,'Fintech, Regulatory Arbitrage, '!A:A,'Fintech, Regulatory Arbitrage, '!C:C,"")</f>
        <v/>
      </c>
    </row>
    <row r="4207">
      <c r="A4207" s="1" t="s">
        <v>4226</v>
      </c>
      <c r="B4207" s="2">
        <v>7.0</v>
      </c>
      <c r="C4207" s="4"/>
      <c r="E4207" s="4" t="str">
        <f t="array" ref="E4207">XLOOKUP(A4207,'Fintech, Regulatory Arbitrage, '!A:A,'Fintech, Regulatory Arbitrage, '!C:C,"")</f>
        <v/>
      </c>
    </row>
    <row r="4208">
      <c r="A4208" s="1" t="s">
        <v>4227</v>
      </c>
      <c r="B4208" s="2">
        <v>7.0</v>
      </c>
      <c r="C4208" s="4"/>
      <c r="E4208" s="4" t="str">
        <f t="array" ref="E4208">XLOOKUP(A4208,'Fintech, Regulatory Arbitrage, '!A:A,'Fintech, Regulatory Arbitrage, '!C:C,"")</f>
        <v/>
      </c>
    </row>
    <row r="4209">
      <c r="A4209" s="1" t="s">
        <v>4228</v>
      </c>
      <c r="B4209" s="2">
        <v>7.0</v>
      </c>
      <c r="C4209" s="4"/>
      <c r="E4209" s="4" t="str">
        <f t="array" ref="E4209">XLOOKUP(A4209,'Fintech, Regulatory Arbitrage, '!A:A,'Fintech, Regulatory Arbitrage, '!C:C,"")</f>
        <v/>
      </c>
    </row>
    <row r="4210">
      <c r="A4210" s="1" t="s">
        <v>4229</v>
      </c>
      <c r="B4210" s="2">
        <v>7.0</v>
      </c>
      <c r="C4210" s="4"/>
      <c r="E4210" s="4" t="str">
        <f t="array" ref="E4210">XLOOKUP(A4210,'Fintech, Regulatory Arbitrage, '!A:A,'Fintech, Regulatory Arbitrage, '!C:C,"")</f>
        <v/>
      </c>
    </row>
    <row r="4211">
      <c r="A4211" s="1" t="s">
        <v>4230</v>
      </c>
      <c r="B4211" s="2">
        <v>7.0</v>
      </c>
      <c r="C4211" s="4"/>
      <c r="E4211" s="4" t="str">
        <f t="array" ref="E4211">XLOOKUP(A4211,'Fintech, Regulatory Arbitrage, '!A:A,'Fintech, Regulatory Arbitrage, '!C:C,"")</f>
        <v/>
      </c>
    </row>
    <row r="4212">
      <c r="A4212" s="1" t="s">
        <v>4231</v>
      </c>
      <c r="B4212" s="2">
        <v>7.0</v>
      </c>
      <c r="C4212" s="4"/>
      <c r="E4212" s="4" t="str">
        <f t="array" ref="E4212">XLOOKUP(A4212,'Fintech, Regulatory Arbitrage, '!A:A,'Fintech, Regulatory Arbitrage, '!C:C,"")</f>
        <v/>
      </c>
    </row>
    <row r="4213">
      <c r="A4213" s="1" t="s">
        <v>4232</v>
      </c>
      <c r="B4213" s="2">
        <v>7.0</v>
      </c>
      <c r="C4213" s="4"/>
      <c r="E4213" s="4" t="str">
        <f t="array" ref="E4213">XLOOKUP(A4213,'Fintech, Regulatory Arbitrage, '!A:A,'Fintech, Regulatory Arbitrage, '!C:C,"")</f>
        <v/>
      </c>
    </row>
    <row r="4214">
      <c r="A4214" s="1" t="s">
        <v>4233</v>
      </c>
      <c r="B4214" s="2">
        <v>7.0</v>
      </c>
      <c r="C4214" s="4"/>
      <c r="E4214" s="4" t="str">
        <f t="array" ref="E4214">XLOOKUP(A4214,'Fintech, Regulatory Arbitrage, '!A:A,'Fintech, Regulatory Arbitrage, '!C:C,"")</f>
        <v/>
      </c>
    </row>
    <row r="4215">
      <c r="A4215" s="1" t="s">
        <v>4234</v>
      </c>
      <c r="B4215" s="2">
        <v>7.0</v>
      </c>
      <c r="C4215" s="4"/>
      <c r="E4215" s="4" t="str">
        <f t="array" ref="E4215">XLOOKUP(A4215,'Fintech, Regulatory Arbitrage, '!A:A,'Fintech, Regulatory Arbitrage, '!C:C,"")</f>
        <v/>
      </c>
    </row>
    <row r="4216">
      <c r="A4216" s="1" t="s">
        <v>4235</v>
      </c>
      <c r="B4216" s="2">
        <v>7.0</v>
      </c>
      <c r="C4216" s="4"/>
      <c r="E4216" s="4" t="str">
        <f t="array" ref="E4216">XLOOKUP(A4216,'Fintech, Regulatory Arbitrage, '!A:A,'Fintech, Regulatory Arbitrage, '!C:C,"")</f>
        <v/>
      </c>
    </row>
    <row r="4217">
      <c r="A4217" s="1" t="s">
        <v>4236</v>
      </c>
      <c r="B4217" s="2">
        <v>7.0</v>
      </c>
      <c r="C4217" s="4"/>
      <c r="E4217" s="4" t="str">
        <f t="array" ref="E4217">XLOOKUP(A4217,'Fintech, Regulatory Arbitrage, '!A:A,'Fintech, Regulatory Arbitrage, '!C:C,"")</f>
        <v/>
      </c>
    </row>
    <row r="4218">
      <c r="A4218" s="1" t="s">
        <v>4237</v>
      </c>
      <c r="B4218" s="2">
        <v>7.0</v>
      </c>
      <c r="C4218" s="4"/>
      <c r="E4218" s="4" t="str">
        <f t="array" ref="E4218">XLOOKUP(A4218,'Fintech, Regulatory Arbitrage, '!A:A,'Fintech, Regulatory Arbitrage, '!C:C,"")</f>
        <v/>
      </c>
    </row>
    <row r="4219">
      <c r="A4219" s="1" t="s">
        <v>4238</v>
      </c>
      <c r="B4219" s="2">
        <v>7.0</v>
      </c>
      <c r="C4219" s="4"/>
      <c r="E4219" s="4" t="str">
        <f t="array" ref="E4219">XLOOKUP(A4219,'Fintech, Regulatory Arbitrage, '!A:A,'Fintech, Regulatory Arbitrage, '!C:C,"")</f>
        <v/>
      </c>
    </row>
    <row r="4220">
      <c r="A4220" s="1" t="s">
        <v>4239</v>
      </c>
      <c r="B4220" s="2">
        <v>7.0</v>
      </c>
      <c r="C4220" s="4"/>
      <c r="E4220" s="4" t="str">
        <f t="array" ref="E4220">XLOOKUP(A4220,'Fintech, Regulatory Arbitrage, '!A:A,'Fintech, Regulatory Arbitrage, '!C:C,"")</f>
        <v/>
      </c>
    </row>
    <row r="4221">
      <c r="A4221" s="1" t="s">
        <v>4240</v>
      </c>
      <c r="B4221" s="2">
        <v>7.0</v>
      </c>
      <c r="C4221" s="4"/>
      <c r="E4221" s="4" t="str">
        <f t="array" ref="E4221">XLOOKUP(A4221,'Fintech, Regulatory Arbitrage, '!A:A,'Fintech, Regulatory Arbitrage, '!C:C,"")</f>
        <v/>
      </c>
    </row>
    <row r="4222">
      <c r="A4222" s="1" t="s">
        <v>4241</v>
      </c>
      <c r="B4222" s="2">
        <v>7.0</v>
      </c>
      <c r="C4222" s="4"/>
      <c r="E4222" s="4" t="str">
        <f t="array" ref="E4222">XLOOKUP(A4222,'Fintech, Regulatory Arbitrage, '!A:A,'Fintech, Regulatory Arbitrage, '!C:C,"")</f>
        <v/>
      </c>
    </row>
    <row r="4223">
      <c r="A4223" s="1" t="s">
        <v>4242</v>
      </c>
      <c r="B4223" s="2">
        <v>7.0</v>
      </c>
      <c r="C4223" s="4"/>
      <c r="E4223" s="4" t="str">
        <f t="array" ref="E4223">XLOOKUP(A4223,'Fintech, Regulatory Arbitrage, '!A:A,'Fintech, Regulatory Arbitrage, '!C:C,"")</f>
        <v/>
      </c>
    </row>
    <row r="4224">
      <c r="A4224" s="1" t="s">
        <v>4243</v>
      </c>
      <c r="B4224" s="2">
        <v>7.0</v>
      </c>
      <c r="C4224" s="4"/>
      <c r="E4224" s="4" t="str">
        <f t="array" ref="E4224">XLOOKUP(A4224,'Fintech, Regulatory Arbitrage, '!A:A,'Fintech, Regulatory Arbitrage, '!C:C,"")</f>
        <v/>
      </c>
    </row>
    <row r="4225">
      <c r="A4225" s="1" t="s">
        <v>4244</v>
      </c>
      <c r="B4225" s="2">
        <v>7.0</v>
      </c>
      <c r="C4225" s="4"/>
      <c r="E4225" s="4" t="str">
        <f t="array" ref="E4225">XLOOKUP(A4225,'Fintech, Regulatory Arbitrage, '!A:A,'Fintech, Regulatory Arbitrage, '!C:C,"")</f>
        <v/>
      </c>
    </row>
    <row r="4226">
      <c r="A4226" s="1" t="s">
        <v>4245</v>
      </c>
      <c r="B4226" s="2">
        <v>7.0</v>
      </c>
      <c r="C4226" s="4"/>
      <c r="E4226" s="4" t="str">
        <f t="array" ref="E4226">XLOOKUP(A4226,'Fintech, Regulatory Arbitrage, '!A:A,'Fintech, Regulatory Arbitrage, '!C:C,"")</f>
        <v/>
      </c>
    </row>
    <row r="4227">
      <c r="A4227" s="1" t="s">
        <v>4246</v>
      </c>
      <c r="B4227" s="2">
        <v>7.0</v>
      </c>
      <c r="C4227" s="4"/>
      <c r="E4227" s="4" t="str">
        <f t="array" ref="E4227">XLOOKUP(A4227,'Fintech, Regulatory Arbitrage, '!A:A,'Fintech, Regulatory Arbitrage, '!C:C,"")</f>
        <v/>
      </c>
    </row>
    <row r="4228">
      <c r="A4228" s="1" t="s">
        <v>4247</v>
      </c>
      <c r="B4228" s="2">
        <v>7.0</v>
      </c>
      <c r="C4228" s="4"/>
      <c r="E4228" s="4" t="str">
        <f t="array" ref="E4228">XLOOKUP(A4228,'Fintech, Regulatory Arbitrage, '!A:A,'Fintech, Regulatory Arbitrage, '!C:C,"")</f>
        <v/>
      </c>
    </row>
    <row r="4229">
      <c r="A4229" s="1" t="s">
        <v>4248</v>
      </c>
      <c r="B4229" s="2">
        <v>7.0</v>
      </c>
      <c r="C4229" s="4"/>
      <c r="E4229" s="4" t="str">
        <f t="array" ref="E4229">XLOOKUP(A4229,'Fintech, Regulatory Arbitrage, '!A:A,'Fintech, Regulatory Arbitrage, '!C:C,"")</f>
        <v/>
      </c>
    </row>
    <row r="4230">
      <c r="A4230" s="1" t="s">
        <v>4249</v>
      </c>
      <c r="B4230" s="2">
        <v>7.0</v>
      </c>
      <c r="C4230" s="4"/>
      <c r="E4230" s="4" t="str">
        <f t="array" ref="E4230">XLOOKUP(A4230,'Fintech, Regulatory Arbitrage, '!A:A,'Fintech, Regulatory Arbitrage, '!C:C,"")</f>
        <v/>
      </c>
    </row>
    <row r="4231">
      <c r="A4231" s="1" t="s">
        <v>4250</v>
      </c>
      <c r="B4231" s="2">
        <v>7.0</v>
      </c>
      <c r="C4231" s="4"/>
      <c r="E4231" s="4" t="str">
        <f t="array" ref="E4231">XLOOKUP(A4231,'Fintech, Regulatory Arbitrage, '!A:A,'Fintech, Regulatory Arbitrage, '!C:C,"")</f>
        <v/>
      </c>
    </row>
    <row r="4232">
      <c r="A4232" s="1" t="s">
        <v>4251</v>
      </c>
      <c r="B4232" s="2">
        <v>7.0</v>
      </c>
      <c r="C4232" s="4"/>
      <c r="E4232" s="4" t="str">
        <f t="array" ref="E4232">XLOOKUP(A4232,'Fintech, Regulatory Arbitrage, '!A:A,'Fintech, Regulatory Arbitrage, '!C:C,"")</f>
        <v/>
      </c>
    </row>
    <row r="4233">
      <c r="A4233" s="1" t="s">
        <v>4252</v>
      </c>
      <c r="B4233" s="2">
        <v>7.0</v>
      </c>
      <c r="C4233" s="4"/>
      <c r="E4233" s="4" t="str">
        <f t="array" ref="E4233">XLOOKUP(A4233,'Fintech, Regulatory Arbitrage, '!A:A,'Fintech, Regulatory Arbitrage, '!C:C,"")</f>
        <v/>
      </c>
    </row>
    <row r="4234">
      <c r="A4234" s="1" t="s">
        <v>4253</v>
      </c>
      <c r="B4234" s="2">
        <v>7.0</v>
      </c>
      <c r="C4234" s="4"/>
      <c r="E4234" s="4" t="str">
        <f t="array" ref="E4234">XLOOKUP(A4234,'Fintech, Regulatory Arbitrage, '!A:A,'Fintech, Regulatory Arbitrage, '!C:C,"")</f>
        <v/>
      </c>
    </row>
    <row r="4235">
      <c r="A4235" s="1" t="s">
        <v>4254</v>
      </c>
      <c r="B4235" s="2">
        <v>7.0</v>
      </c>
      <c r="C4235" s="4"/>
      <c r="E4235" s="4" t="str">
        <f t="array" ref="E4235">XLOOKUP(A4235,'Fintech, Regulatory Arbitrage, '!A:A,'Fintech, Regulatory Arbitrage, '!C:C,"")</f>
        <v/>
      </c>
    </row>
    <row r="4236">
      <c r="A4236" s="1" t="s">
        <v>4255</v>
      </c>
      <c r="B4236" s="2">
        <v>7.0</v>
      </c>
      <c r="C4236" s="4"/>
      <c r="E4236" s="4" t="str">
        <f t="array" ref="E4236">XLOOKUP(A4236,'Fintech, Regulatory Arbitrage, '!A:A,'Fintech, Regulatory Arbitrage, '!C:C,"")</f>
        <v/>
      </c>
    </row>
    <row r="4237">
      <c r="A4237" s="1" t="s">
        <v>4256</v>
      </c>
      <c r="B4237" s="2">
        <v>7.0</v>
      </c>
      <c r="C4237" s="4"/>
      <c r="E4237" s="4" t="str">
        <f t="array" ref="E4237">XLOOKUP(A4237,'Fintech, Regulatory Arbitrage, '!A:A,'Fintech, Regulatory Arbitrage, '!C:C,"")</f>
        <v/>
      </c>
    </row>
    <row r="4238">
      <c r="A4238" s="1" t="s">
        <v>4257</v>
      </c>
      <c r="B4238" s="2">
        <v>7.0</v>
      </c>
      <c r="C4238" s="4"/>
      <c r="E4238" s="4" t="str">
        <f t="array" ref="E4238">XLOOKUP(A4238,'Fintech, Regulatory Arbitrage, '!A:A,'Fintech, Regulatory Arbitrage, '!C:C,"")</f>
        <v/>
      </c>
    </row>
    <row r="4239">
      <c r="A4239" s="1" t="s">
        <v>4258</v>
      </c>
      <c r="B4239" s="2">
        <v>7.0</v>
      </c>
      <c r="C4239" s="4"/>
      <c r="E4239" s="4" t="str">
        <f t="array" ref="E4239">XLOOKUP(A4239,'Fintech, Regulatory Arbitrage, '!A:A,'Fintech, Regulatory Arbitrage, '!C:C,"")</f>
        <v/>
      </c>
    </row>
    <row r="4240">
      <c r="A4240" s="1" t="s">
        <v>4259</v>
      </c>
      <c r="B4240" s="2">
        <v>7.0</v>
      </c>
      <c r="C4240" s="4"/>
      <c r="E4240" s="4" t="str">
        <f t="array" ref="E4240">XLOOKUP(A4240,'Fintech, Regulatory Arbitrage, '!A:A,'Fintech, Regulatory Arbitrage, '!C:C,"")</f>
        <v/>
      </c>
    </row>
    <row r="4241">
      <c r="A4241" s="1" t="s">
        <v>4260</v>
      </c>
      <c r="B4241" s="2">
        <v>7.0</v>
      </c>
      <c r="C4241" s="4"/>
      <c r="E4241" s="4" t="str">
        <f t="array" ref="E4241">XLOOKUP(A4241,'Fintech, Regulatory Arbitrage, '!A:A,'Fintech, Regulatory Arbitrage, '!C:C,"")</f>
        <v/>
      </c>
    </row>
    <row r="4242">
      <c r="A4242" s="1" t="s">
        <v>4261</v>
      </c>
      <c r="B4242" s="2">
        <v>7.0</v>
      </c>
      <c r="C4242" s="4"/>
      <c r="E4242" s="4" t="str">
        <f t="array" ref="E4242">XLOOKUP(A4242,'Fintech, Regulatory Arbitrage, '!A:A,'Fintech, Regulatory Arbitrage, '!C:C,"")</f>
        <v/>
      </c>
    </row>
    <row r="4243">
      <c r="A4243" s="1" t="s">
        <v>4262</v>
      </c>
      <c r="B4243" s="2">
        <v>7.0</v>
      </c>
      <c r="C4243" s="4"/>
      <c r="E4243" s="4" t="str">
        <f t="array" ref="E4243">XLOOKUP(A4243,'Fintech, Regulatory Arbitrage, '!A:A,'Fintech, Regulatory Arbitrage, '!C:C,"")</f>
        <v/>
      </c>
    </row>
    <row r="4244">
      <c r="A4244" s="1" t="s">
        <v>4263</v>
      </c>
      <c r="B4244" s="2">
        <v>7.0</v>
      </c>
      <c r="C4244" s="4"/>
      <c r="E4244" s="4" t="str">
        <f t="array" ref="E4244">XLOOKUP(A4244,'Fintech, Regulatory Arbitrage, '!A:A,'Fintech, Regulatory Arbitrage, '!C:C,"")</f>
        <v/>
      </c>
    </row>
    <row r="4245">
      <c r="A4245" s="1" t="s">
        <v>4264</v>
      </c>
      <c r="B4245" s="2">
        <v>7.0</v>
      </c>
      <c r="C4245" s="4"/>
      <c r="E4245" s="4" t="str">
        <f t="array" ref="E4245">XLOOKUP(A4245,'Fintech, Regulatory Arbitrage, '!A:A,'Fintech, Regulatory Arbitrage, '!C:C,"")</f>
        <v/>
      </c>
    </row>
    <row r="4246">
      <c r="A4246" s="1" t="s">
        <v>4265</v>
      </c>
      <c r="B4246" s="2">
        <v>7.0</v>
      </c>
      <c r="C4246" s="4"/>
      <c r="E4246" s="4" t="str">
        <f t="array" ref="E4246">XLOOKUP(A4246,'Fintech, Regulatory Arbitrage, '!A:A,'Fintech, Regulatory Arbitrage, '!C:C,"")</f>
        <v/>
      </c>
    </row>
    <row r="4247">
      <c r="A4247" s="1" t="s">
        <v>4266</v>
      </c>
      <c r="B4247" s="2">
        <v>7.0</v>
      </c>
      <c r="C4247" s="4"/>
      <c r="E4247" s="4" t="str">
        <f t="array" ref="E4247">XLOOKUP(A4247,'Fintech, Regulatory Arbitrage, '!A:A,'Fintech, Regulatory Arbitrage, '!C:C,"")</f>
        <v/>
      </c>
    </row>
    <row r="4248">
      <c r="A4248" s="1" t="s">
        <v>4267</v>
      </c>
      <c r="B4248" s="2">
        <v>7.0</v>
      </c>
      <c r="C4248" s="4"/>
      <c r="E4248" s="4" t="str">
        <f t="array" ref="E4248">XLOOKUP(A4248,'Fintech, Regulatory Arbitrage, '!A:A,'Fintech, Regulatory Arbitrage, '!C:C,"")</f>
        <v/>
      </c>
    </row>
    <row r="4249">
      <c r="A4249" s="1" t="s">
        <v>4268</v>
      </c>
      <c r="B4249" s="2">
        <v>6.0</v>
      </c>
      <c r="C4249" s="4"/>
      <c r="E4249" s="4" t="str">
        <f t="array" ref="E4249">XLOOKUP(A4249,'Fintech, Regulatory Arbitrage, '!A:A,'Fintech, Regulatory Arbitrage, '!C:C,"")</f>
        <v/>
      </c>
    </row>
    <row r="4250">
      <c r="A4250" s="1" t="s">
        <v>4269</v>
      </c>
      <c r="B4250" s="2">
        <v>6.0</v>
      </c>
      <c r="C4250" s="4"/>
      <c r="E4250" s="4" t="str">
        <f t="array" ref="E4250">XLOOKUP(A4250,'Fintech, Regulatory Arbitrage, '!A:A,'Fintech, Regulatory Arbitrage, '!C:C,"")</f>
        <v/>
      </c>
    </row>
    <row r="4251">
      <c r="A4251" s="1" t="s">
        <v>4270</v>
      </c>
      <c r="B4251" s="2">
        <v>6.0</v>
      </c>
      <c r="C4251" s="4"/>
      <c r="E4251" s="4" t="str">
        <f t="array" ref="E4251">XLOOKUP(A4251,'Fintech, Regulatory Arbitrage, '!A:A,'Fintech, Regulatory Arbitrage, '!C:C,"")</f>
        <v/>
      </c>
    </row>
    <row r="4252">
      <c r="A4252" s="1" t="s">
        <v>4271</v>
      </c>
      <c r="B4252" s="2">
        <v>6.0</v>
      </c>
      <c r="C4252" s="4"/>
      <c r="E4252" s="4" t="str">
        <f t="array" ref="E4252">XLOOKUP(A4252,'Fintech, Regulatory Arbitrage, '!A:A,'Fintech, Regulatory Arbitrage, '!C:C,"")</f>
        <v/>
      </c>
    </row>
    <row r="4253">
      <c r="A4253" s="1" t="s">
        <v>4272</v>
      </c>
      <c r="B4253" s="2">
        <v>6.0</v>
      </c>
      <c r="C4253" s="4"/>
      <c r="E4253" s="4" t="str">
        <f t="array" ref="E4253">XLOOKUP(A4253,'Fintech, Regulatory Arbitrage, '!A:A,'Fintech, Regulatory Arbitrage, '!C:C,"")</f>
        <v/>
      </c>
    </row>
    <row r="4254">
      <c r="A4254" s="1" t="s">
        <v>4273</v>
      </c>
      <c r="B4254" s="2">
        <v>6.0</v>
      </c>
      <c r="C4254" s="4"/>
      <c r="E4254" s="4" t="str">
        <f t="array" ref="E4254">XLOOKUP(A4254,'Fintech, Regulatory Arbitrage, '!A:A,'Fintech, Regulatory Arbitrage, '!C:C,"")</f>
        <v/>
      </c>
    </row>
    <row r="4255">
      <c r="A4255" s="1" t="s">
        <v>4274</v>
      </c>
      <c r="B4255" s="2">
        <v>6.0</v>
      </c>
      <c r="C4255" s="4"/>
      <c r="E4255" s="4" t="str">
        <f t="array" ref="E4255">XLOOKUP(A4255,'Fintech, Regulatory Arbitrage, '!A:A,'Fintech, Regulatory Arbitrage, '!C:C,"")</f>
        <v/>
      </c>
    </row>
    <row r="4256">
      <c r="A4256" s="1" t="s">
        <v>4275</v>
      </c>
      <c r="B4256" s="2">
        <v>6.0</v>
      </c>
      <c r="C4256" s="4"/>
      <c r="E4256" s="4" t="str">
        <f t="array" ref="E4256">XLOOKUP(A4256,'Fintech, Regulatory Arbitrage, '!A:A,'Fintech, Regulatory Arbitrage, '!C:C,"")</f>
        <v/>
      </c>
    </row>
    <row r="4257">
      <c r="A4257" s="1" t="s">
        <v>4276</v>
      </c>
      <c r="B4257" s="2">
        <v>6.0</v>
      </c>
      <c r="C4257" s="4"/>
      <c r="E4257" s="4" t="str">
        <f t="array" ref="E4257">XLOOKUP(A4257,'Fintech, Regulatory Arbitrage, '!A:A,'Fintech, Regulatory Arbitrage, '!C:C,"")</f>
        <v/>
      </c>
    </row>
    <row r="4258">
      <c r="A4258" s="1" t="s">
        <v>4277</v>
      </c>
      <c r="B4258" s="2">
        <v>6.0</v>
      </c>
      <c r="C4258" s="4"/>
      <c r="E4258" s="4" t="str">
        <f t="array" ref="E4258">XLOOKUP(A4258,'Fintech, Regulatory Arbitrage, '!A:A,'Fintech, Regulatory Arbitrage, '!C:C,"")</f>
        <v/>
      </c>
    </row>
    <row r="4259">
      <c r="A4259" s="1" t="s">
        <v>4278</v>
      </c>
      <c r="B4259" s="2">
        <v>6.0</v>
      </c>
      <c r="C4259" s="4"/>
      <c r="E4259" s="4" t="str">
        <f t="array" ref="E4259">XLOOKUP(A4259,'Fintech, Regulatory Arbitrage, '!A:A,'Fintech, Regulatory Arbitrage, '!C:C,"")</f>
        <v/>
      </c>
    </row>
    <row r="4260">
      <c r="A4260" s="1" t="s">
        <v>4279</v>
      </c>
      <c r="B4260" s="2">
        <v>6.0</v>
      </c>
      <c r="C4260" s="4"/>
      <c r="E4260" s="4" t="str">
        <f t="array" ref="E4260">XLOOKUP(A4260,'Fintech, Regulatory Arbitrage, '!A:A,'Fintech, Regulatory Arbitrage, '!C:C,"")</f>
        <v/>
      </c>
    </row>
    <row r="4261">
      <c r="A4261" s="1" t="s">
        <v>4280</v>
      </c>
      <c r="B4261" s="2">
        <v>6.0</v>
      </c>
      <c r="C4261" s="4"/>
      <c r="E4261" s="4" t="str">
        <f t="array" ref="E4261">XLOOKUP(A4261,'Fintech, Regulatory Arbitrage, '!A:A,'Fintech, Regulatory Arbitrage, '!C:C,"")</f>
        <v/>
      </c>
    </row>
    <row r="4262">
      <c r="A4262" s="1" t="s">
        <v>4281</v>
      </c>
      <c r="B4262" s="2">
        <v>6.0</v>
      </c>
      <c r="C4262" s="4"/>
      <c r="E4262" s="4" t="str">
        <f t="array" ref="E4262">XLOOKUP(A4262,'Fintech, Regulatory Arbitrage, '!A:A,'Fintech, Regulatory Arbitrage, '!C:C,"")</f>
        <v/>
      </c>
    </row>
    <row r="4263">
      <c r="A4263" s="1" t="s">
        <v>4282</v>
      </c>
      <c r="B4263" s="2">
        <v>6.0</v>
      </c>
      <c r="C4263" s="4"/>
      <c r="E4263" s="4" t="str">
        <f t="array" ref="E4263">XLOOKUP(A4263,'Fintech, Regulatory Arbitrage, '!A:A,'Fintech, Regulatory Arbitrage, '!C:C,"")</f>
        <v/>
      </c>
    </row>
    <row r="4264">
      <c r="A4264" s="1" t="s">
        <v>4283</v>
      </c>
      <c r="B4264" s="2">
        <v>6.0</v>
      </c>
      <c r="C4264" s="4"/>
      <c r="E4264" s="4" t="str">
        <f t="array" ref="E4264">XLOOKUP(A4264,'Fintech, Regulatory Arbitrage, '!A:A,'Fintech, Regulatory Arbitrage, '!C:C,"")</f>
        <v/>
      </c>
    </row>
    <row r="4265">
      <c r="A4265" s="1" t="s">
        <v>4284</v>
      </c>
      <c r="B4265" s="2">
        <v>6.0</v>
      </c>
      <c r="C4265" s="4"/>
      <c r="E4265" s="4" t="str">
        <f t="array" ref="E4265">XLOOKUP(A4265,'Fintech, Regulatory Arbitrage, '!A:A,'Fintech, Regulatory Arbitrage, '!C:C,"")</f>
        <v/>
      </c>
    </row>
    <row r="4266">
      <c r="A4266" s="1" t="s">
        <v>4285</v>
      </c>
      <c r="B4266" s="2">
        <v>6.0</v>
      </c>
      <c r="C4266" s="4"/>
      <c r="E4266" s="4" t="str">
        <f t="array" ref="E4266">XLOOKUP(A4266,'Fintech, Regulatory Arbitrage, '!A:A,'Fintech, Regulatory Arbitrage, '!C:C,"")</f>
        <v/>
      </c>
    </row>
    <row r="4267">
      <c r="A4267" s="1" t="s">
        <v>4286</v>
      </c>
      <c r="B4267" s="2">
        <v>6.0</v>
      </c>
      <c r="C4267" s="4"/>
      <c r="E4267" s="4" t="str">
        <f t="array" ref="E4267">XLOOKUP(A4267,'Fintech, Regulatory Arbitrage, '!A:A,'Fintech, Regulatory Arbitrage, '!C:C,"")</f>
        <v/>
      </c>
    </row>
    <row r="4268">
      <c r="A4268" s="1" t="s">
        <v>4287</v>
      </c>
      <c r="B4268" s="2">
        <v>6.0</v>
      </c>
      <c r="C4268" s="4"/>
      <c r="E4268" s="4" t="str">
        <f t="array" ref="E4268">XLOOKUP(A4268,'Fintech, Regulatory Arbitrage, '!A:A,'Fintech, Regulatory Arbitrage, '!C:C,"")</f>
        <v/>
      </c>
    </row>
    <row r="4269">
      <c r="A4269" s="1" t="s">
        <v>4288</v>
      </c>
      <c r="B4269" s="2">
        <v>6.0</v>
      </c>
      <c r="C4269" s="4"/>
      <c r="E4269" s="4" t="str">
        <f t="array" ref="E4269">XLOOKUP(A4269,'Fintech, Regulatory Arbitrage, '!A:A,'Fintech, Regulatory Arbitrage, '!C:C,"")</f>
        <v/>
      </c>
    </row>
    <row r="4270">
      <c r="A4270" s="1" t="s">
        <v>4289</v>
      </c>
      <c r="B4270" s="2">
        <v>6.0</v>
      </c>
      <c r="C4270" s="4"/>
      <c r="E4270" s="4" t="str">
        <f t="array" ref="E4270">XLOOKUP(A4270,'Fintech, Regulatory Arbitrage, '!A:A,'Fintech, Regulatory Arbitrage, '!C:C,"")</f>
        <v/>
      </c>
    </row>
    <row r="4271">
      <c r="A4271" s="1" t="s">
        <v>4290</v>
      </c>
      <c r="B4271" s="2">
        <v>6.0</v>
      </c>
      <c r="C4271" s="4"/>
      <c r="E4271" s="4" t="str">
        <f t="array" ref="E4271">XLOOKUP(A4271,'Fintech, Regulatory Arbitrage, '!A:A,'Fintech, Regulatory Arbitrage, '!C:C,"")</f>
        <v/>
      </c>
    </row>
    <row r="4272">
      <c r="A4272" s="1" t="s">
        <v>4291</v>
      </c>
      <c r="B4272" s="2">
        <v>6.0</v>
      </c>
      <c r="C4272" s="4"/>
      <c r="E4272" s="4" t="str">
        <f t="array" ref="E4272">XLOOKUP(A4272,'Fintech, Regulatory Arbitrage, '!A:A,'Fintech, Regulatory Arbitrage, '!C:C,"")</f>
        <v/>
      </c>
    </row>
    <row r="4273">
      <c r="A4273" s="1" t="s">
        <v>4292</v>
      </c>
      <c r="B4273" s="2">
        <v>6.0</v>
      </c>
      <c r="C4273" s="4"/>
      <c r="E4273" s="4" t="str">
        <f t="array" ref="E4273">XLOOKUP(A4273,'Fintech, Regulatory Arbitrage, '!A:A,'Fintech, Regulatory Arbitrage, '!C:C,"")</f>
        <v/>
      </c>
    </row>
    <row r="4274">
      <c r="A4274" s="1" t="s">
        <v>4293</v>
      </c>
      <c r="B4274" s="2">
        <v>6.0</v>
      </c>
      <c r="C4274" s="4"/>
      <c r="E4274" s="4" t="str">
        <f t="array" ref="E4274">XLOOKUP(A4274,'Fintech, Regulatory Arbitrage, '!A:A,'Fintech, Regulatory Arbitrage, '!C:C,"")</f>
        <v/>
      </c>
    </row>
    <row r="4275">
      <c r="A4275" s="1" t="s">
        <v>4294</v>
      </c>
      <c r="B4275" s="2">
        <v>6.0</v>
      </c>
      <c r="C4275" s="4"/>
      <c r="E4275" s="4" t="str">
        <f t="array" ref="E4275">XLOOKUP(A4275,'Fintech, Regulatory Arbitrage, '!A:A,'Fintech, Regulatory Arbitrage, '!C:C,"")</f>
        <v/>
      </c>
    </row>
    <row r="4276">
      <c r="A4276" s="1" t="s">
        <v>4295</v>
      </c>
      <c r="B4276" s="2">
        <v>6.0</v>
      </c>
      <c r="C4276" s="4"/>
      <c r="E4276" s="4" t="str">
        <f t="array" ref="E4276">XLOOKUP(A4276,'Fintech, Regulatory Arbitrage, '!A:A,'Fintech, Regulatory Arbitrage, '!C:C,"")</f>
        <v/>
      </c>
    </row>
    <row r="4277">
      <c r="A4277" s="1" t="s">
        <v>4296</v>
      </c>
      <c r="B4277" s="2">
        <v>6.0</v>
      </c>
      <c r="C4277" s="4"/>
      <c r="E4277" s="4" t="str">
        <f t="array" ref="E4277">XLOOKUP(A4277,'Fintech, Regulatory Arbitrage, '!A:A,'Fintech, Regulatory Arbitrage, '!C:C,"")</f>
        <v/>
      </c>
    </row>
    <row r="4278">
      <c r="A4278" s="1" t="s">
        <v>4297</v>
      </c>
      <c r="B4278" s="2">
        <v>6.0</v>
      </c>
      <c r="C4278" s="4"/>
      <c r="E4278" s="4" t="str">
        <f t="array" ref="E4278">XLOOKUP(A4278,'Fintech, Regulatory Arbitrage, '!A:A,'Fintech, Regulatory Arbitrage, '!C:C,"")</f>
        <v/>
      </c>
    </row>
    <row r="4279">
      <c r="A4279" s="1" t="s">
        <v>4298</v>
      </c>
      <c r="B4279" s="2">
        <v>6.0</v>
      </c>
      <c r="C4279" s="4"/>
      <c r="E4279" s="4" t="str">
        <f t="array" ref="E4279">XLOOKUP(A4279,'Fintech, Regulatory Arbitrage, '!A:A,'Fintech, Regulatory Arbitrage, '!C:C,"")</f>
        <v/>
      </c>
    </row>
    <row r="4280">
      <c r="A4280" s="1" t="s">
        <v>4299</v>
      </c>
      <c r="B4280" s="2">
        <v>6.0</v>
      </c>
      <c r="C4280" s="4"/>
      <c r="E4280" s="4" t="str">
        <f t="array" ref="E4280">XLOOKUP(A4280,'Fintech, Regulatory Arbitrage, '!A:A,'Fintech, Regulatory Arbitrage, '!C:C,"")</f>
        <v/>
      </c>
    </row>
    <row r="4281">
      <c r="A4281" s="1" t="s">
        <v>4300</v>
      </c>
      <c r="B4281" s="2">
        <v>6.0</v>
      </c>
      <c r="C4281" s="4"/>
      <c r="E4281" s="4" t="str">
        <f t="array" ref="E4281">XLOOKUP(A4281,'Fintech, Regulatory Arbitrage, '!A:A,'Fintech, Regulatory Arbitrage, '!C:C,"")</f>
        <v/>
      </c>
    </row>
    <row r="4282">
      <c r="A4282" s="1" t="s">
        <v>4301</v>
      </c>
      <c r="B4282" s="2">
        <v>6.0</v>
      </c>
      <c r="C4282" s="4"/>
      <c r="E4282" s="4" t="str">
        <f t="array" ref="E4282">XLOOKUP(A4282,'Fintech, Regulatory Arbitrage, '!A:A,'Fintech, Regulatory Arbitrage, '!C:C,"")</f>
        <v/>
      </c>
    </row>
    <row r="4283">
      <c r="A4283" s="1" t="s">
        <v>4302</v>
      </c>
      <c r="B4283" s="2">
        <v>6.0</v>
      </c>
      <c r="C4283" s="4"/>
      <c r="E4283" s="4" t="str">
        <f t="array" ref="E4283">XLOOKUP(A4283,'Fintech, Regulatory Arbitrage, '!A:A,'Fintech, Regulatory Arbitrage, '!C:C,"")</f>
        <v/>
      </c>
    </row>
    <row r="4284">
      <c r="A4284" s="1" t="s">
        <v>4303</v>
      </c>
      <c r="B4284" s="2">
        <v>6.0</v>
      </c>
      <c r="C4284" s="4"/>
      <c r="E4284" s="4" t="str">
        <f t="array" ref="E4284">XLOOKUP(A4284,'Fintech, Regulatory Arbitrage, '!A:A,'Fintech, Regulatory Arbitrage, '!C:C,"")</f>
        <v/>
      </c>
    </row>
    <row r="4285">
      <c r="A4285" s="1" t="s">
        <v>4304</v>
      </c>
      <c r="B4285" s="2">
        <v>6.0</v>
      </c>
      <c r="C4285" s="4"/>
      <c r="E4285" s="4" t="str">
        <f t="array" ref="E4285">XLOOKUP(A4285,'Fintech, Regulatory Arbitrage, '!A:A,'Fintech, Regulatory Arbitrage, '!C:C,"")</f>
        <v/>
      </c>
    </row>
    <row r="4286">
      <c r="A4286" s="1" t="s">
        <v>4305</v>
      </c>
      <c r="B4286" s="2">
        <v>6.0</v>
      </c>
      <c r="C4286" s="4"/>
      <c r="E4286" s="4" t="str">
        <f t="array" ref="E4286">XLOOKUP(A4286,'Fintech, Regulatory Arbitrage, '!A:A,'Fintech, Regulatory Arbitrage, '!C:C,"")</f>
        <v/>
      </c>
    </row>
    <row r="4287">
      <c r="A4287" s="1" t="s">
        <v>4306</v>
      </c>
      <c r="B4287" s="2">
        <v>6.0</v>
      </c>
      <c r="C4287" s="4"/>
      <c r="E4287" s="4" t="str">
        <f t="array" ref="E4287">XLOOKUP(A4287,'Fintech, Regulatory Arbitrage, '!A:A,'Fintech, Regulatory Arbitrage, '!C:C,"")</f>
        <v/>
      </c>
    </row>
    <row r="4288">
      <c r="A4288" s="1" t="s">
        <v>4307</v>
      </c>
      <c r="B4288" s="2">
        <v>6.0</v>
      </c>
      <c r="C4288" s="4"/>
      <c r="E4288" s="4" t="str">
        <f t="array" ref="E4288">XLOOKUP(A4288,'Fintech, Regulatory Arbitrage, '!A:A,'Fintech, Regulatory Arbitrage, '!C:C,"")</f>
        <v/>
      </c>
    </row>
    <row r="4289">
      <c r="A4289" s="1" t="s">
        <v>4308</v>
      </c>
      <c r="B4289" s="2">
        <v>6.0</v>
      </c>
      <c r="C4289" s="4"/>
      <c r="E4289" s="4" t="str">
        <f t="array" ref="E4289">XLOOKUP(A4289,'Fintech, Regulatory Arbitrage, '!A:A,'Fintech, Regulatory Arbitrage, '!C:C,"")</f>
        <v/>
      </c>
    </row>
    <row r="4290">
      <c r="A4290" s="1" t="s">
        <v>4309</v>
      </c>
      <c r="B4290" s="2">
        <v>6.0</v>
      </c>
      <c r="C4290" s="4"/>
      <c r="E4290" s="4" t="str">
        <f t="array" ref="E4290">XLOOKUP(A4290,'Fintech, Regulatory Arbitrage, '!A:A,'Fintech, Regulatory Arbitrage, '!C:C,"")</f>
        <v/>
      </c>
    </row>
    <row r="4291">
      <c r="A4291" s="1" t="s">
        <v>4310</v>
      </c>
      <c r="B4291" s="2">
        <v>6.0</v>
      </c>
      <c r="C4291" s="4"/>
      <c r="E4291" s="4" t="str">
        <f t="array" ref="E4291">XLOOKUP(A4291,'Fintech, Regulatory Arbitrage, '!A:A,'Fintech, Regulatory Arbitrage, '!C:C,"")</f>
        <v/>
      </c>
    </row>
    <row r="4292">
      <c r="A4292" s="1" t="s">
        <v>4311</v>
      </c>
      <c r="B4292" s="2">
        <v>6.0</v>
      </c>
      <c r="C4292" s="4"/>
      <c r="E4292" s="4" t="str">
        <f t="array" ref="E4292">XLOOKUP(A4292,'Fintech, Regulatory Arbitrage, '!A:A,'Fintech, Regulatory Arbitrage, '!C:C,"")</f>
        <v/>
      </c>
    </row>
    <row r="4293">
      <c r="A4293" s="1" t="s">
        <v>4312</v>
      </c>
      <c r="B4293" s="2">
        <v>6.0</v>
      </c>
      <c r="C4293" s="4"/>
      <c r="E4293" s="4" t="str">
        <f t="array" ref="E4293">XLOOKUP(A4293,'Fintech, Regulatory Arbitrage, '!A:A,'Fintech, Regulatory Arbitrage, '!C:C,"")</f>
        <v/>
      </c>
    </row>
    <row r="4294">
      <c r="A4294" s="1" t="s">
        <v>4313</v>
      </c>
      <c r="B4294" s="2">
        <v>6.0</v>
      </c>
      <c r="C4294" s="4"/>
      <c r="E4294" s="4" t="str">
        <f t="array" ref="E4294">XLOOKUP(A4294,'Fintech, Regulatory Arbitrage, '!A:A,'Fintech, Regulatory Arbitrage, '!C:C,"")</f>
        <v/>
      </c>
    </row>
    <row r="4295">
      <c r="A4295" s="1" t="s">
        <v>4314</v>
      </c>
      <c r="B4295" s="2">
        <v>6.0</v>
      </c>
      <c r="C4295" s="4"/>
      <c r="E4295" s="4" t="str">
        <f t="array" ref="E4295">XLOOKUP(A4295,'Fintech, Regulatory Arbitrage, '!A:A,'Fintech, Regulatory Arbitrage, '!C:C,"")</f>
        <v/>
      </c>
    </row>
    <row r="4296">
      <c r="A4296" s="1" t="s">
        <v>4315</v>
      </c>
      <c r="B4296" s="2">
        <v>6.0</v>
      </c>
      <c r="C4296" s="4"/>
      <c r="E4296" s="4" t="str">
        <f t="array" ref="E4296">XLOOKUP(A4296,'Fintech, Regulatory Arbitrage, '!A:A,'Fintech, Regulatory Arbitrage, '!C:C,"")</f>
        <v/>
      </c>
    </row>
    <row r="4297">
      <c r="A4297" s="1" t="s">
        <v>4316</v>
      </c>
      <c r="B4297" s="2">
        <v>6.0</v>
      </c>
      <c r="C4297" s="4"/>
      <c r="E4297" s="4" t="str">
        <f t="array" ref="E4297">XLOOKUP(A4297,'Fintech, Regulatory Arbitrage, '!A:A,'Fintech, Regulatory Arbitrage, '!C:C,"")</f>
        <v/>
      </c>
    </row>
    <row r="4298">
      <c r="A4298" s="1" t="s">
        <v>4317</v>
      </c>
      <c r="B4298" s="2">
        <v>6.0</v>
      </c>
      <c r="C4298" s="4"/>
      <c r="E4298" s="4" t="str">
        <f t="array" ref="E4298">XLOOKUP(A4298,'Fintech, Regulatory Arbitrage, '!A:A,'Fintech, Regulatory Arbitrage, '!C:C,"")</f>
        <v/>
      </c>
    </row>
    <row r="4299">
      <c r="A4299" s="1" t="s">
        <v>4318</v>
      </c>
      <c r="B4299" s="2">
        <v>6.0</v>
      </c>
      <c r="C4299" s="4"/>
      <c r="E4299" s="4" t="str">
        <f t="array" ref="E4299">XLOOKUP(A4299,'Fintech, Regulatory Arbitrage, '!A:A,'Fintech, Regulatory Arbitrage, '!C:C,"")</f>
        <v/>
      </c>
    </row>
    <row r="4300">
      <c r="A4300" s="1" t="s">
        <v>4319</v>
      </c>
      <c r="B4300" s="2">
        <v>6.0</v>
      </c>
      <c r="C4300" s="4"/>
      <c r="E4300" s="4" t="str">
        <f t="array" ref="E4300">XLOOKUP(A4300,'Fintech, Regulatory Arbitrage, '!A:A,'Fintech, Regulatory Arbitrage, '!C:C,"")</f>
        <v/>
      </c>
    </row>
    <row r="4301">
      <c r="A4301" s="1" t="s">
        <v>4320</v>
      </c>
      <c r="B4301" s="2">
        <v>6.0</v>
      </c>
      <c r="C4301" s="4"/>
      <c r="E4301" s="4" t="str">
        <f t="array" ref="E4301">XLOOKUP(A4301,'Fintech, Regulatory Arbitrage, '!A:A,'Fintech, Regulatory Arbitrage, '!C:C,"")</f>
        <v/>
      </c>
    </row>
    <row r="4302">
      <c r="A4302" s="1" t="s">
        <v>4321</v>
      </c>
      <c r="B4302" s="2">
        <v>6.0</v>
      </c>
      <c r="C4302" s="4"/>
      <c r="E4302" s="4" t="str">
        <f t="array" ref="E4302">XLOOKUP(A4302,'Fintech, Regulatory Arbitrage, '!A:A,'Fintech, Regulatory Arbitrage, '!C:C,"")</f>
        <v/>
      </c>
    </row>
    <row r="4303">
      <c r="A4303" s="1" t="s">
        <v>4322</v>
      </c>
      <c r="B4303" s="2">
        <v>6.0</v>
      </c>
      <c r="C4303" s="4"/>
      <c r="E4303" s="4" t="str">
        <f t="array" ref="E4303">XLOOKUP(A4303,'Fintech, Regulatory Arbitrage, '!A:A,'Fintech, Regulatory Arbitrage, '!C:C,"")</f>
        <v/>
      </c>
    </row>
    <row r="4304">
      <c r="A4304" s="1" t="s">
        <v>4323</v>
      </c>
      <c r="B4304" s="2">
        <v>6.0</v>
      </c>
      <c r="C4304" s="4"/>
      <c r="E4304" s="4" t="str">
        <f t="array" ref="E4304">XLOOKUP(A4304,'Fintech, Regulatory Arbitrage, '!A:A,'Fintech, Regulatory Arbitrage, '!C:C,"")</f>
        <v/>
      </c>
    </row>
    <row r="4305">
      <c r="A4305" s="1" t="s">
        <v>4324</v>
      </c>
      <c r="B4305" s="2">
        <v>6.0</v>
      </c>
      <c r="C4305" s="4"/>
      <c r="E4305" s="4" t="str">
        <f t="array" ref="E4305">XLOOKUP(A4305,'Fintech, Regulatory Arbitrage, '!A:A,'Fintech, Regulatory Arbitrage, '!C:C,"")</f>
        <v/>
      </c>
    </row>
    <row r="4306">
      <c r="A4306" s="1" t="s">
        <v>4325</v>
      </c>
      <c r="B4306" s="2">
        <v>6.0</v>
      </c>
      <c r="C4306" s="4"/>
      <c r="E4306" s="4" t="str">
        <f t="array" ref="E4306">XLOOKUP(A4306,'Fintech, Regulatory Arbitrage, '!A:A,'Fintech, Regulatory Arbitrage, '!C:C,"")</f>
        <v/>
      </c>
    </row>
    <row r="4307">
      <c r="A4307" s="1" t="s">
        <v>4326</v>
      </c>
      <c r="B4307" s="2">
        <v>6.0</v>
      </c>
      <c r="C4307" s="4"/>
      <c r="E4307" s="4" t="str">
        <f t="array" ref="E4307">XLOOKUP(A4307,'Fintech, Regulatory Arbitrage, '!A:A,'Fintech, Regulatory Arbitrage, '!C:C,"")</f>
        <v/>
      </c>
    </row>
    <row r="4308">
      <c r="A4308" s="1" t="s">
        <v>4327</v>
      </c>
      <c r="B4308" s="2">
        <v>6.0</v>
      </c>
      <c r="C4308" s="4"/>
      <c r="E4308" s="4" t="str">
        <f t="array" ref="E4308">XLOOKUP(A4308,'Fintech, Regulatory Arbitrage, '!A:A,'Fintech, Regulatory Arbitrage, '!C:C,"")</f>
        <v/>
      </c>
    </row>
    <row r="4309">
      <c r="A4309" s="1" t="s">
        <v>4328</v>
      </c>
      <c r="B4309" s="2">
        <v>6.0</v>
      </c>
      <c r="C4309" s="4"/>
      <c r="E4309" s="4" t="str">
        <f t="array" ref="E4309">XLOOKUP(A4309,'Fintech, Regulatory Arbitrage, '!A:A,'Fintech, Regulatory Arbitrage, '!C:C,"")</f>
        <v/>
      </c>
    </row>
    <row r="4310">
      <c r="A4310" s="1" t="s">
        <v>4329</v>
      </c>
      <c r="B4310" s="2">
        <v>6.0</v>
      </c>
      <c r="C4310" s="4"/>
      <c r="E4310" s="4" t="str">
        <f t="array" ref="E4310">XLOOKUP(A4310,'Fintech, Regulatory Arbitrage, '!A:A,'Fintech, Regulatory Arbitrage, '!C:C,"")</f>
        <v/>
      </c>
    </row>
    <row r="4311">
      <c r="A4311" s="1" t="s">
        <v>4330</v>
      </c>
      <c r="B4311" s="2">
        <v>6.0</v>
      </c>
      <c r="C4311" s="4"/>
      <c r="E4311" s="4" t="str">
        <f t="array" ref="E4311">XLOOKUP(A4311,'Fintech, Regulatory Arbitrage, '!A:A,'Fintech, Regulatory Arbitrage, '!C:C,"")</f>
        <v/>
      </c>
    </row>
    <row r="4312">
      <c r="A4312" s="1" t="s">
        <v>4331</v>
      </c>
      <c r="B4312" s="2">
        <v>6.0</v>
      </c>
      <c r="C4312" s="4"/>
      <c r="E4312" s="4" t="str">
        <f t="array" ref="E4312">XLOOKUP(A4312,'Fintech, Regulatory Arbitrage, '!A:A,'Fintech, Regulatory Arbitrage, '!C:C,"")</f>
        <v/>
      </c>
    </row>
    <row r="4313">
      <c r="A4313" s="1" t="s">
        <v>4332</v>
      </c>
      <c r="B4313" s="2">
        <v>6.0</v>
      </c>
      <c r="C4313" s="4"/>
      <c r="E4313" s="4" t="str">
        <f t="array" ref="E4313">XLOOKUP(A4313,'Fintech, Regulatory Arbitrage, '!A:A,'Fintech, Regulatory Arbitrage, '!C:C,"")</f>
        <v/>
      </c>
    </row>
    <row r="4314">
      <c r="A4314" s="1" t="s">
        <v>4333</v>
      </c>
      <c r="B4314" s="2">
        <v>6.0</v>
      </c>
      <c r="C4314" s="4"/>
      <c r="E4314" s="4" t="str">
        <f t="array" ref="E4314">XLOOKUP(A4314,'Fintech, Regulatory Arbitrage, '!A:A,'Fintech, Regulatory Arbitrage, '!C:C,"")</f>
        <v/>
      </c>
    </row>
    <row r="4315">
      <c r="A4315" s="1" t="s">
        <v>4334</v>
      </c>
      <c r="B4315" s="2">
        <v>6.0</v>
      </c>
      <c r="C4315" s="4"/>
      <c r="E4315" s="4" t="str">
        <f t="array" ref="E4315">XLOOKUP(A4315,'Fintech, Regulatory Arbitrage, '!A:A,'Fintech, Regulatory Arbitrage, '!C:C,"")</f>
        <v/>
      </c>
    </row>
    <row r="4316">
      <c r="A4316" s="1" t="s">
        <v>4335</v>
      </c>
      <c r="B4316" s="2">
        <v>6.0</v>
      </c>
      <c r="C4316" s="4"/>
      <c r="E4316" s="4" t="str">
        <f t="array" ref="E4316">XLOOKUP(A4316,'Fintech, Regulatory Arbitrage, '!A:A,'Fintech, Regulatory Arbitrage, '!C:C,"")</f>
        <v/>
      </c>
    </row>
    <row r="4317">
      <c r="A4317" s="1" t="s">
        <v>4336</v>
      </c>
      <c r="B4317" s="2">
        <v>6.0</v>
      </c>
      <c r="C4317" s="4"/>
      <c r="E4317" s="4" t="str">
        <f t="array" ref="E4317">XLOOKUP(A4317,'Fintech, Regulatory Arbitrage, '!A:A,'Fintech, Regulatory Arbitrage, '!C:C,"")</f>
        <v/>
      </c>
    </row>
    <row r="4318">
      <c r="A4318" s="1" t="s">
        <v>4337</v>
      </c>
      <c r="B4318" s="2">
        <v>6.0</v>
      </c>
      <c r="C4318" s="4"/>
      <c r="E4318" s="4" t="str">
        <f t="array" ref="E4318">XLOOKUP(A4318,'Fintech, Regulatory Arbitrage, '!A:A,'Fintech, Regulatory Arbitrage, '!C:C,"")</f>
        <v/>
      </c>
    </row>
    <row r="4319">
      <c r="A4319" s="1" t="s">
        <v>4338</v>
      </c>
      <c r="B4319" s="2">
        <v>6.0</v>
      </c>
      <c r="C4319" s="4"/>
      <c r="E4319" s="4" t="str">
        <f t="array" ref="E4319">XLOOKUP(A4319,'Fintech, Regulatory Arbitrage, '!A:A,'Fintech, Regulatory Arbitrage, '!C:C,"")</f>
        <v/>
      </c>
    </row>
    <row r="4320">
      <c r="A4320" s="1" t="s">
        <v>4339</v>
      </c>
      <c r="B4320" s="2">
        <v>6.0</v>
      </c>
      <c r="C4320" s="4"/>
      <c r="E4320" s="4" t="str">
        <f t="array" ref="E4320">XLOOKUP(A4320,'Fintech, Regulatory Arbitrage, '!A:A,'Fintech, Regulatory Arbitrage, '!C:C,"")</f>
        <v/>
      </c>
    </row>
    <row r="4321">
      <c r="A4321" s="1" t="s">
        <v>4340</v>
      </c>
      <c r="B4321" s="2">
        <v>6.0</v>
      </c>
      <c r="C4321" s="4"/>
      <c r="E4321" s="4" t="str">
        <f t="array" ref="E4321">XLOOKUP(A4321,'Fintech, Regulatory Arbitrage, '!A:A,'Fintech, Regulatory Arbitrage, '!C:C,"")</f>
        <v/>
      </c>
    </row>
    <row r="4322">
      <c r="A4322" s="1" t="s">
        <v>4341</v>
      </c>
      <c r="B4322" s="2">
        <v>6.0</v>
      </c>
      <c r="C4322" s="4"/>
      <c r="E4322" s="4" t="str">
        <f t="array" ref="E4322">XLOOKUP(A4322,'Fintech, Regulatory Arbitrage, '!A:A,'Fintech, Regulatory Arbitrage, '!C:C,"")</f>
        <v/>
      </c>
    </row>
    <row r="4323">
      <c r="A4323" s="1" t="s">
        <v>4342</v>
      </c>
      <c r="B4323" s="2">
        <v>6.0</v>
      </c>
      <c r="C4323" s="4"/>
      <c r="E4323" s="4" t="str">
        <f t="array" ref="E4323">XLOOKUP(A4323,'Fintech, Regulatory Arbitrage, '!A:A,'Fintech, Regulatory Arbitrage, '!C:C,"")</f>
        <v/>
      </c>
    </row>
    <row r="4324">
      <c r="A4324" s="1" t="s">
        <v>4343</v>
      </c>
      <c r="B4324" s="2">
        <v>6.0</v>
      </c>
      <c r="C4324" s="4"/>
      <c r="E4324" s="4" t="str">
        <f t="array" ref="E4324">XLOOKUP(A4324,'Fintech, Regulatory Arbitrage, '!A:A,'Fintech, Regulatory Arbitrage, '!C:C,"")</f>
        <v/>
      </c>
    </row>
    <row r="4325">
      <c r="A4325" s="1" t="s">
        <v>4344</v>
      </c>
      <c r="B4325" s="2">
        <v>6.0</v>
      </c>
      <c r="C4325" s="4"/>
      <c r="E4325" s="4" t="str">
        <f t="array" ref="E4325">XLOOKUP(A4325,'Fintech, Regulatory Arbitrage, '!A:A,'Fintech, Regulatory Arbitrage, '!C:C,"")</f>
        <v/>
      </c>
    </row>
    <row r="4326">
      <c r="A4326" s="1" t="s">
        <v>4345</v>
      </c>
      <c r="B4326" s="2">
        <v>6.0</v>
      </c>
      <c r="C4326" s="4"/>
      <c r="E4326" s="4" t="str">
        <f t="array" ref="E4326">XLOOKUP(A4326,'Fintech, Regulatory Arbitrage, '!A:A,'Fintech, Regulatory Arbitrage, '!C:C,"")</f>
        <v/>
      </c>
    </row>
    <row r="4327">
      <c r="A4327" s="1" t="s">
        <v>4346</v>
      </c>
      <c r="B4327" s="2">
        <v>6.0</v>
      </c>
      <c r="C4327" s="4"/>
      <c r="E4327" s="4" t="str">
        <f t="array" ref="E4327">XLOOKUP(A4327,'Fintech, Regulatory Arbitrage, '!A:A,'Fintech, Regulatory Arbitrage, '!C:C,"")</f>
        <v/>
      </c>
    </row>
    <row r="4328">
      <c r="A4328" s="1" t="s">
        <v>4347</v>
      </c>
      <c r="B4328" s="2">
        <v>6.0</v>
      </c>
      <c r="C4328" s="4"/>
      <c r="E4328" s="4" t="str">
        <f t="array" ref="E4328">XLOOKUP(A4328,'Fintech, Regulatory Arbitrage, '!A:A,'Fintech, Regulatory Arbitrage, '!C:C,"")</f>
        <v/>
      </c>
    </row>
    <row r="4329">
      <c r="A4329" s="1" t="s">
        <v>4348</v>
      </c>
      <c r="B4329" s="2">
        <v>6.0</v>
      </c>
      <c r="C4329" s="4"/>
      <c r="E4329" s="4" t="str">
        <f t="array" ref="E4329">XLOOKUP(A4329,'Fintech, Regulatory Arbitrage, '!A:A,'Fintech, Regulatory Arbitrage, '!C:C,"")</f>
        <v/>
      </c>
    </row>
    <row r="4330">
      <c r="A4330" s="1" t="s">
        <v>4349</v>
      </c>
      <c r="B4330" s="2">
        <v>6.0</v>
      </c>
      <c r="C4330" s="4"/>
      <c r="E4330" s="4" t="str">
        <f t="array" ref="E4330">XLOOKUP(A4330,'Fintech, Regulatory Arbitrage, '!A:A,'Fintech, Regulatory Arbitrage, '!C:C,"")</f>
        <v/>
      </c>
    </row>
    <row r="4331">
      <c r="A4331" s="1" t="s">
        <v>4350</v>
      </c>
      <c r="B4331" s="2">
        <v>6.0</v>
      </c>
      <c r="C4331" s="4"/>
      <c r="E4331" s="4" t="str">
        <f t="array" ref="E4331">XLOOKUP(A4331,'Fintech, Regulatory Arbitrage, '!A:A,'Fintech, Regulatory Arbitrage, '!C:C,"")</f>
        <v/>
      </c>
    </row>
    <row r="4332">
      <c r="A4332" s="1" t="s">
        <v>4351</v>
      </c>
      <c r="B4332" s="2">
        <v>6.0</v>
      </c>
      <c r="C4332" s="4"/>
      <c r="E4332" s="4" t="str">
        <f t="array" ref="E4332">XLOOKUP(A4332,'Fintech, Regulatory Arbitrage, '!A:A,'Fintech, Regulatory Arbitrage, '!C:C,"")</f>
        <v/>
      </c>
    </row>
    <row r="4333">
      <c r="A4333" s="1" t="s">
        <v>4352</v>
      </c>
      <c r="B4333" s="2">
        <v>6.0</v>
      </c>
      <c r="C4333" s="4"/>
      <c r="E4333" s="4" t="str">
        <f t="array" ref="E4333">XLOOKUP(A4333,'Fintech, Regulatory Arbitrage, '!A:A,'Fintech, Regulatory Arbitrage, '!C:C,"")</f>
        <v/>
      </c>
    </row>
    <row r="4334">
      <c r="A4334" s="1" t="s">
        <v>4353</v>
      </c>
      <c r="B4334" s="2">
        <v>6.0</v>
      </c>
      <c r="C4334" s="4"/>
      <c r="E4334" s="4" t="str">
        <f t="array" ref="E4334">XLOOKUP(A4334,'Fintech, Regulatory Arbitrage, '!A:A,'Fintech, Regulatory Arbitrage, '!C:C,"")</f>
        <v/>
      </c>
    </row>
    <row r="4335">
      <c r="A4335" s="1" t="s">
        <v>4354</v>
      </c>
      <c r="B4335" s="2">
        <v>6.0</v>
      </c>
      <c r="C4335" s="4"/>
      <c r="E4335" s="4" t="str">
        <f t="array" ref="E4335">XLOOKUP(A4335,'Fintech, Regulatory Arbitrage, '!A:A,'Fintech, Regulatory Arbitrage, '!C:C,"")</f>
        <v/>
      </c>
    </row>
    <row r="4336">
      <c r="A4336" s="1" t="s">
        <v>4355</v>
      </c>
      <c r="B4336" s="2">
        <v>6.0</v>
      </c>
      <c r="C4336" s="4"/>
      <c r="E4336" s="4" t="str">
        <f t="array" ref="E4336">XLOOKUP(A4336,'Fintech, Regulatory Arbitrage, '!A:A,'Fintech, Regulatory Arbitrage, '!C:C,"")</f>
        <v/>
      </c>
    </row>
    <row r="4337">
      <c r="A4337" s="1" t="s">
        <v>4356</v>
      </c>
      <c r="B4337" s="2">
        <v>6.0</v>
      </c>
      <c r="C4337" s="4"/>
      <c r="E4337" s="4" t="str">
        <f t="array" ref="E4337">XLOOKUP(A4337,'Fintech, Regulatory Arbitrage, '!A:A,'Fintech, Regulatory Arbitrage, '!C:C,"")</f>
        <v/>
      </c>
    </row>
    <row r="4338">
      <c r="A4338" s="1" t="s">
        <v>4357</v>
      </c>
      <c r="B4338" s="2">
        <v>6.0</v>
      </c>
      <c r="C4338" s="4"/>
      <c r="E4338" s="4" t="str">
        <f t="array" ref="E4338">XLOOKUP(A4338,'Fintech, Regulatory Arbitrage, '!A:A,'Fintech, Regulatory Arbitrage, '!C:C,"")</f>
        <v/>
      </c>
    </row>
    <row r="4339">
      <c r="A4339" s="1" t="s">
        <v>4358</v>
      </c>
      <c r="B4339" s="2">
        <v>6.0</v>
      </c>
      <c r="C4339" s="4"/>
      <c r="E4339" s="4" t="str">
        <f t="array" ref="E4339">XLOOKUP(A4339,'Fintech, Regulatory Arbitrage, '!A:A,'Fintech, Regulatory Arbitrage, '!C:C,"")</f>
        <v/>
      </c>
    </row>
    <row r="4340">
      <c r="A4340" s="1" t="s">
        <v>4359</v>
      </c>
      <c r="B4340" s="2">
        <v>6.0</v>
      </c>
      <c r="C4340" s="4"/>
      <c r="E4340" s="4" t="str">
        <f t="array" ref="E4340">XLOOKUP(A4340,'Fintech, Regulatory Arbitrage, '!A:A,'Fintech, Regulatory Arbitrage, '!C:C,"")</f>
        <v/>
      </c>
    </row>
    <row r="4341">
      <c r="A4341" s="1" t="s">
        <v>4360</v>
      </c>
      <c r="B4341" s="2">
        <v>6.0</v>
      </c>
      <c r="C4341" s="4"/>
      <c r="E4341" s="4" t="str">
        <f t="array" ref="E4341">XLOOKUP(A4341,'Fintech, Regulatory Arbitrage, '!A:A,'Fintech, Regulatory Arbitrage, '!C:C,"")</f>
        <v/>
      </c>
    </row>
    <row r="4342">
      <c r="A4342" s="1" t="s">
        <v>4361</v>
      </c>
      <c r="B4342" s="2">
        <v>6.0</v>
      </c>
      <c r="C4342" s="4"/>
      <c r="E4342" s="4" t="str">
        <f t="array" ref="E4342">XLOOKUP(A4342,'Fintech, Regulatory Arbitrage, '!A:A,'Fintech, Regulatory Arbitrage, '!C:C,"")</f>
        <v/>
      </c>
    </row>
    <row r="4343">
      <c r="A4343" s="1" t="s">
        <v>4362</v>
      </c>
      <c r="B4343" s="2">
        <v>6.0</v>
      </c>
      <c r="C4343" s="4"/>
      <c r="E4343" s="4" t="str">
        <f t="array" ref="E4343">XLOOKUP(A4343,'Fintech, Regulatory Arbitrage, '!A:A,'Fintech, Regulatory Arbitrage, '!C:C,"")</f>
        <v/>
      </c>
    </row>
    <row r="4344">
      <c r="A4344" s="1" t="s">
        <v>4363</v>
      </c>
      <c r="B4344" s="2">
        <v>6.0</v>
      </c>
      <c r="C4344" s="4"/>
      <c r="E4344" s="4" t="str">
        <f t="array" ref="E4344">XLOOKUP(A4344,'Fintech, Regulatory Arbitrage, '!A:A,'Fintech, Regulatory Arbitrage, '!C:C,"")</f>
        <v/>
      </c>
    </row>
    <row r="4345">
      <c r="A4345" s="1" t="s">
        <v>4364</v>
      </c>
      <c r="B4345" s="2">
        <v>6.0</v>
      </c>
      <c r="C4345" s="4"/>
      <c r="E4345" s="4" t="str">
        <f t="array" ref="E4345">XLOOKUP(A4345,'Fintech, Regulatory Arbitrage, '!A:A,'Fintech, Regulatory Arbitrage, '!C:C,"")</f>
        <v/>
      </c>
    </row>
    <row r="4346">
      <c r="A4346" s="1" t="s">
        <v>4365</v>
      </c>
      <c r="B4346" s="2">
        <v>6.0</v>
      </c>
      <c r="C4346" s="4"/>
      <c r="E4346" s="4" t="str">
        <f t="array" ref="E4346">XLOOKUP(A4346,'Fintech, Regulatory Arbitrage, '!A:A,'Fintech, Regulatory Arbitrage, '!C:C,"")</f>
        <v/>
      </c>
    </row>
    <row r="4347">
      <c r="A4347" s="1" t="s">
        <v>4366</v>
      </c>
      <c r="B4347" s="2">
        <v>6.0</v>
      </c>
      <c r="C4347" s="4"/>
      <c r="E4347" s="4" t="str">
        <f t="array" ref="E4347">XLOOKUP(A4347,'Fintech, Regulatory Arbitrage, '!A:A,'Fintech, Regulatory Arbitrage, '!C:C,"")</f>
        <v/>
      </c>
    </row>
    <row r="4348">
      <c r="A4348" s="1" t="s">
        <v>4367</v>
      </c>
      <c r="B4348" s="2">
        <v>6.0</v>
      </c>
      <c r="C4348" s="4"/>
      <c r="E4348" s="4" t="str">
        <f t="array" ref="E4348">XLOOKUP(A4348,'Fintech, Regulatory Arbitrage, '!A:A,'Fintech, Regulatory Arbitrage, '!C:C,"")</f>
        <v/>
      </c>
    </row>
    <row r="4349">
      <c r="A4349" s="1" t="s">
        <v>4368</v>
      </c>
      <c r="B4349" s="2">
        <v>6.0</v>
      </c>
      <c r="C4349" s="4"/>
      <c r="E4349" s="4" t="str">
        <f t="array" ref="E4349">XLOOKUP(A4349,'Fintech, Regulatory Arbitrage, '!A:A,'Fintech, Regulatory Arbitrage, '!C:C,"")</f>
        <v/>
      </c>
    </row>
    <row r="4350">
      <c r="A4350" s="1" t="s">
        <v>4369</v>
      </c>
      <c r="B4350" s="2">
        <v>6.0</v>
      </c>
      <c r="C4350" s="4"/>
      <c r="E4350" s="4" t="str">
        <f t="array" ref="E4350">XLOOKUP(A4350,'Fintech, Regulatory Arbitrage, '!A:A,'Fintech, Regulatory Arbitrage, '!C:C,"")</f>
        <v/>
      </c>
    </row>
    <row r="4351">
      <c r="A4351" s="1" t="s">
        <v>4370</v>
      </c>
      <c r="B4351" s="2">
        <v>6.0</v>
      </c>
      <c r="C4351" s="4"/>
      <c r="E4351" s="4" t="str">
        <f t="array" ref="E4351">XLOOKUP(A4351,'Fintech, Regulatory Arbitrage, '!A:A,'Fintech, Regulatory Arbitrage, '!C:C,"")</f>
        <v/>
      </c>
    </row>
    <row r="4352">
      <c r="A4352" s="1" t="s">
        <v>4371</v>
      </c>
      <c r="B4352" s="2">
        <v>6.0</v>
      </c>
      <c r="C4352" s="4"/>
      <c r="E4352" s="4" t="str">
        <f t="array" ref="E4352">XLOOKUP(A4352,'Fintech, Regulatory Arbitrage, '!A:A,'Fintech, Regulatory Arbitrage, '!C:C,"")</f>
        <v/>
      </c>
    </row>
    <row r="4353">
      <c r="A4353" s="1" t="s">
        <v>4372</v>
      </c>
      <c r="B4353" s="2">
        <v>6.0</v>
      </c>
      <c r="C4353" s="4"/>
      <c r="E4353" s="4" t="str">
        <f t="array" ref="E4353">XLOOKUP(A4353,'Fintech, Regulatory Arbitrage, '!A:A,'Fintech, Regulatory Arbitrage, '!C:C,"")</f>
        <v/>
      </c>
    </row>
    <row r="4354">
      <c r="A4354" s="1" t="s">
        <v>4373</v>
      </c>
      <c r="B4354" s="2">
        <v>6.0</v>
      </c>
      <c r="C4354" s="4"/>
      <c r="E4354" s="4" t="str">
        <f t="array" ref="E4354">XLOOKUP(A4354,'Fintech, Regulatory Arbitrage, '!A:A,'Fintech, Regulatory Arbitrage, '!C:C,"")</f>
        <v/>
      </c>
    </row>
    <row r="4355">
      <c r="A4355" s="1" t="s">
        <v>4374</v>
      </c>
      <c r="B4355" s="2">
        <v>6.0</v>
      </c>
      <c r="C4355" s="4"/>
      <c r="E4355" s="4" t="str">
        <f t="array" ref="E4355">XLOOKUP(A4355,'Fintech, Regulatory Arbitrage, '!A:A,'Fintech, Regulatory Arbitrage, '!C:C,"")</f>
        <v/>
      </c>
    </row>
    <row r="4356">
      <c r="A4356" s="1" t="s">
        <v>4375</v>
      </c>
      <c r="B4356" s="2">
        <v>6.0</v>
      </c>
      <c r="C4356" s="4"/>
      <c r="E4356" s="4" t="str">
        <f t="array" ref="E4356">XLOOKUP(A4356,'Fintech, Regulatory Arbitrage, '!A:A,'Fintech, Regulatory Arbitrage, '!C:C,"")</f>
        <v/>
      </c>
    </row>
    <row r="4357">
      <c r="A4357" s="1" t="s">
        <v>4376</v>
      </c>
      <c r="B4357" s="2">
        <v>6.0</v>
      </c>
      <c r="C4357" s="4"/>
      <c r="E4357" s="4" t="str">
        <f t="array" ref="E4357">XLOOKUP(A4357,'Fintech, Regulatory Arbitrage, '!A:A,'Fintech, Regulatory Arbitrage, '!C:C,"")</f>
        <v/>
      </c>
    </row>
    <row r="4358">
      <c r="A4358" s="1" t="s">
        <v>4377</v>
      </c>
      <c r="B4358" s="2">
        <v>6.0</v>
      </c>
      <c r="C4358" s="4"/>
      <c r="E4358" s="4" t="str">
        <f t="array" ref="E4358">XLOOKUP(A4358,'Fintech, Regulatory Arbitrage, '!A:A,'Fintech, Regulatory Arbitrage, '!C:C,"")</f>
        <v/>
      </c>
    </row>
    <row r="4359">
      <c r="A4359" s="1" t="s">
        <v>4378</v>
      </c>
      <c r="B4359" s="2">
        <v>6.0</v>
      </c>
      <c r="C4359" s="4"/>
      <c r="E4359" s="4" t="str">
        <f t="array" ref="E4359">XLOOKUP(A4359,'Fintech, Regulatory Arbitrage, '!A:A,'Fintech, Regulatory Arbitrage, '!C:C,"")</f>
        <v/>
      </c>
    </row>
    <row r="4360">
      <c r="A4360" s="1" t="s">
        <v>4379</v>
      </c>
      <c r="B4360" s="2">
        <v>6.0</v>
      </c>
      <c r="C4360" s="4"/>
      <c r="E4360" s="4" t="str">
        <f t="array" ref="E4360">XLOOKUP(A4360,'Fintech, Regulatory Arbitrage, '!A:A,'Fintech, Regulatory Arbitrage, '!C:C,"")</f>
        <v/>
      </c>
    </row>
    <row r="4361">
      <c r="A4361" s="1" t="s">
        <v>4380</v>
      </c>
      <c r="B4361" s="2">
        <v>6.0</v>
      </c>
      <c r="C4361" s="4"/>
      <c r="E4361" s="4" t="str">
        <f t="array" ref="E4361">XLOOKUP(A4361,'Fintech, Regulatory Arbitrage, '!A:A,'Fintech, Regulatory Arbitrage, '!C:C,"")</f>
        <v/>
      </c>
    </row>
    <row r="4362">
      <c r="A4362" s="1" t="s">
        <v>4381</v>
      </c>
      <c r="B4362" s="2">
        <v>6.0</v>
      </c>
      <c r="C4362" s="4"/>
      <c r="E4362" s="4" t="str">
        <f t="array" ref="E4362">XLOOKUP(A4362,'Fintech, Regulatory Arbitrage, '!A:A,'Fintech, Regulatory Arbitrage, '!C:C,"")</f>
        <v/>
      </c>
    </row>
    <row r="4363">
      <c r="A4363" s="1" t="s">
        <v>4382</v>
      </c>
      <c r="B4363" s="2">
        <v>6.0</v>
      </c>
      <c r="C4363" s="4"/>
      <c r="E4363" s="4" t="str">
        <f t="array" ref="E4363">XLOOKUP(A4363,'Fintech, Regulatory Arbitrage, '!A:A,'Fintech, Regulatory Arbitrage, '!C:C,"")</f>
        <v/>
      </c>
    </row>
    <row r="4364">
      <c r="A4364" s="1" t="s">
        <v>4383</v>
      </c>
      <c r="B4364" s="2">
        <v>6.0</v>
      </c>
      <c r="C4364" s="4"/>
      <c r="E4364" s="4" t="str">
        <f t="array" ref="E4364">XLOOKUP(A4364,'Fintech, Regulatory Arbitrage, '!A:A,'Fintech, Regulatory Arbitrage, '!C:C,"")</f>
        <v/>
      </c>
    </row>
    <row r="4365">
      <c r="A4365" s="1" t="s">
        <v>4384</v>
      </c>
      <c r="B4365" s="2">
        <v>6.0</v>
      </c>
      <c r="C4365" s="4"/>
      <c r="E4365" s="4" t="str">
        <f t="array" ref="E4365">XLOOKUP(A4365,'Fintech, Regulatory Arbitrage, '!A:A,'Fintech, Regulatory Arbitrage, '!C:C,"")</f>
        <v/>
      </c>
    </row>
    <row r="4366">
      <c r="A4366" s="1" t="s">
        <v>4385</v>
      </c>
      <c r="B4366" s="2">
        <v>6.0</v>
      </c>
      <c r="C4366" s="4"/>
      <c r="E4366" s="4" t="str">
        <f t="array" ref="E4366">XLOOKUP(A4366,'Fintech, Regulatory Arbitrage, '!A:A,'Fintech, Regulatory Arbitrage, '!C:C,"")</f>
        <v/>
      </c>
    </row>
    <row r="4367">
      <c r="A4367" s="1" t="s">
        <v>4386</v>
      </c>
      <c r="B4367" s="2">
        <v>6.0</v>
      </c>
      <c r="C4367" s="4"/>
      <c r="E4367" s="4" t="str">
        <f t="array" ref="E4367">XLOOKUP(A4367,'Fintech, Regulatory Arbitrage, '!A:A,'Fintech, Regulatory Arbitrage, '!C:C,"")</f>
        <v/>
      </c>
    </row>
    <row r="4368">
      <c r="A4368" s="1" t="s">
        <v>4387</v>
      </c>
      <c r="B4368" s="2">
        <v>6.0</v>
      </c>
      <c r="C4368" s="4"/>
      <c r="E4368" s="4" t="str">
        <f t="array" ref="E4368">XLOOKUP(A4368,'Fintech, Regulatory Arbitrage, '!A:A,'Fintech, Regulatory Arbitrage, '!C:C,"")</f>
        <v/>
      </c>
    </row>
    <row r="4369">
      <c r="A4369" s="1" t="s">
        <v>4388</v>
      </c>
      <c r="B4369" s="2">
        <v>6.0</v>
      </c>
      <c r="C4369" s="4"/>
      <c r="E4369" s="4" t="str">
        <f t="array" ref="E4369">XLOOKUP(A4369,'Fintech, Regulatory Arbitrage, '!A:A,'Fintech, Regulatory Arbitrage, '!C:C,"")</f>
        <v/>
      </c>
    </row>
    <row r="4370">
      <c r="A4370" s="1" t="s">
        <v>4389</v>
      </c>
      <c r="B4370" s="2">
        <v>6.0</v>
      </c>
      <c r="C4370" s="4"/>
      <c r="E4370" s="4" t="str">
        <f t="array" ref="E4370">XLOOKUP(A4370,'Fintech, Regulatory Arbitrage, '!A:A,'Fintech, Regulatory Arbitrage, '!C:C,"")</f>
        <v/>
      </c>
    </row>
    <row r="4371">
      <c r="A4371" s="1" t="s">
        <v>4390</v>
      </c>
      <c r="B4371" s="2">
        <v>6.0</v>
      </c>
      <c r="C4371" s="4"/>
      <c r="E4371" s="4" t="str">
        <f t="array" ref="E4371">XLOOKUP(A4371,'Fintech, Regulatory Arbitrage, '!A:A,'Fintech, Regulatory Arbitrage, '!C:C,"")</f>
        <v/>
      </c>
    </row>
    <row r="4372">
      <c r="A4372" s="1" t="s">
        <v>4391</v>
      </c>
      <c r="B4372" s="2">
        <v>6.0</v>
      </c>
      <c r="C4372" s="4"/>
      <c r="E4372" s="4" t="str">
        <f t="array" ref="E4372">XLOOKUP(A4372,'Fintech, Regulatory Arbitrage, '!A:A,'Fintech, Regulatory Arbitrage, '!C:C,"")</f>
        <v/>
      </c>
    </row>
    <row r="4373">
      <c r="A4373" s="1" t="s">
        <v>4392</v>
      </c>
      <c r="B4373" s="2">
        <v>6.0</v>
      </c>
      <c r="C4373" s="4"/>
      <c r="E4373" s="4" t="str">
        <f t="array" ref="E4373">XLOOKUP(A4373,'Fintech, Regulatory Arbitrage, '!A:A,'Fintech, Regulatory Arbitrage, '!C:C,"")</f>
        <v/>
      </c>
    </row>
    <row r="4374">
      <c r="A4374" s="1" t="s">
        <v>4393</v>
      </c>
      <c r="B4374" s="2">
        <v>6.0</v>
      </c>
      <c r="C4374" s="4"/>
      <c r="E4374" s="4" t="str">
        <f t="array" ref="E4374">XLOOKUP(A4374,'Fintech, Regulatory Arbitrage, '!A:A,'Fintech, Regulatory Arbitrage, '!C:C,"")</f>
        <v/>
      </c>
    </row>
    <row r="4375">
      <c r="A4375" s="1" t="s">
        <v>4394</v>
      </c>
      <c r="B4375" s="2">
        <v>6.0</v>
      </c>
      <c r="C4375" s="4"/>
      <c r="E4375" s="4" t="str">
        <f t="array" ref="E4375">XLOOKUP(A4375,'Fintech, Regulatory Arbitrage, '!A:A,'Fintech, Regulatory Arbitrage, '!C:C,"")</f>
        <v/>
      </c>
    </row>
    <row r="4376">
      <c r="A4376" s="1" t="s">
        <v>4395</v>
      </c>
      <c r="B4376" s="2">
        <v>6.0</v>
      </c>
      <c r="C4376" s="4"/>
      <c r="E4376" s="4" t="str">
        <f t="array" ref="E4376">XLOOKUP(A4376,'Fintech, Regulatory Arbitrage, '!A:A,'Fintech, Regulatory Arbitrage, '!C:C,"")</f>
        <v/>
      </c>
    </row>
    <row r="4377">
      <c r="A4377" s="1" t="s">
        <v>4396</v>
      </c>
      <c r="B4377" s="2">
        <v>6.0</v>
      </c>
      <c r="C4377" s="4"/>
      <c r="E4377" s="4" t="str">
        <f t="array" ref="E4377">XLOOKUP(A4377,'Fintech, Regulatory Arbitrage, '!A:A,'Fintech, Regulatory Arbitrage, '!C:C,"")</f>
        <v/>
      </c>
    </row>
    <row r="4378">
      <c r="A4378" s="1" t="s">
        <v>4397</v>
      </c>
      <c r="B4378" s="2">
        <v>6.0</v>
      </c>
      <c r="C4378" s="4"/>
      <c r="E4378" s="4" t="str">
        <f t="array" ref="E4378">XLOOKUP(A4378,'Fintech, Regulatory Arbitrage, '!A:A,'Fintech, Regulatory Arbitrage, '!C:C,"")</f>
        <v/>
      </c>
    </row>
    <row r="4379">
      <c r="A4379" s="1" t="s">
        <v>4398</v>
      </c>
      <c r="B4379" s="2">
        <v>6.0</v>
      </c>
      <c r="C4379" s="4"/>
      <c r="E4379" s="4" t="str">
        <f t="array" ref="E4379">XLOOKUP(A4379,'Fintech, Regulatory Arbitrage, '!A:A,'Fintech, Regulatory Arbitrage, '!C:C,"")</f>
        <v/>
      </c>
    </row>
    <row r="4380">
      <c r="A4380" s="1" t="s">
        <v>4399</v>
      </c>
      <c r="B4380" s="2">
        <v>6.0</v>
      </c>
      <c r="C4380" s="4"/>
      <c r="E4380" s="4" t="str">
        <f t="array" ref="E4380">XLOOKUP(A4380,'Fintech, Regulatory Arbitrage, '!A:A,'Fintech, Regulatory Arbitrage, '!C:C,"")</f>
        <v/>
      </c>
    </row>
    <row r="4381">
      <c r="A4381" s="1" t="s">
        <v>4400</v>
      </c>
      <c r="B4381" s="2">
        <v>6.0</v>
      </c>
      <c r="C4381" s="4"/>
      <c r="E4381" s="4" t="str">
        <f t="array" ref="E4381">XLOOKUP(A4381,'Fintech, Regulatory Arbitrage, '!A:A,'Fintech, Regulatory Arbitrage, '!C:C,"")</f>
        <v/>
      </c>
    </row>
    <row r="4382">
      <c r="A4382" s="1" t="s">
        <v>4401</v>
      </c>
      <c r="B4382" s="2">
        <v>6.0</v>
      </c>
      <c r="C4382" s="4"/>
      <c r="E4382" s="4" t="str">
        <f t="array" ref="E4382">XLOOKUP(A4382,'Fintech, Regulatory Arbitrage, '!A:A,'Fintech, Regulatory Arbitrage, '!C:C,"")</f>
        <v/>
      </c>
    </row>
    <row r="4383">
      <c r="A4383" s="1" t="s">
        <v>4402</v>
      </c>
      <c r="B4383" s="2">
        <v>6.0</v>
      </c>
      <c r="C4383" s="4"/>
      <c r="E4383" s="4" t="str">
        <f t="array" ref="E4383">XLOOKUP(A4383,'Fintech, Regulatory Arbitrage, '!A:A,'Fintech, Regulatory Arbitrage, '!C:C,"")</f>
        <v/>
      </c>
    </row>
    <row r="4384">
      <c r="A4384" s="1" t="s">
        <v>4403</v>
      </c>
      <c r="B4384" s="2">
        <v>6.0</v>
      </c>
      <c r="C4384" s="4"/>
      <c r="E4384" s="4" t="str">
        <f t="array" ref="E4384">XLOOKUP(A4384,'Fintech, Regulatory Arbitrage, '!A:A,'Fintech, Regulatory Arbitrage, '!C:C,"")</f>
        <v/>
      </c>
    </row>
    <row r="4385">
      <c r="A4385" s="1" t="s">
        <v>4404</v>
      </c>
      <c r="B4385" s="2">
        <v>6.0</v>
      </c>
      <c r="C4385" s="4"/>
      <c r="E4385" s="4" t="str">
        <f t="array" ref="E4385">XLOOKUP(A4385,'Fintech, Regulatory Arbitrage, '!A:A,'Fintech, Regulatory Arbitrage, '!C:C,"")</f>
        <v/>
      </c>
    </row>
    <row r="4386">
      <c r="A4386" s="1" t="s">
        <v>4405</v>
      </c>
      <c r="B4386" s="2">
        <v>6.0</v>
      </c>
      <c r="C4386" s="4"/>
      <c r="E4386" s="4" t="str">
        <f t="array" ref="E4386">XLOOKUP(A4386,'Fintech, Regulatory Arbitrage, '!A:A,'Fintech, Regulatory Arbitrage, '!C:C,"")</f>
        <v/>
      </c>
    </row>
    <row r="4387">
      <c r="A4387" s="1" t="s">
        <v>4406</v>
      </c>
      <c r="B4387" s="2">
        <v>6.0</v>
      </c>
      <c r="C4387" s="4"/>
      <c r="E4387" s="4" t="str">
        <f t="array" ref="E4387">XLOOKUP(A4387,'Fintech, Regulatory Arbitrage, '!A:A,'Fintech, Regulatory Arbitrage, '!C:C,"")</f>
        <v/>
      </c>
    </row>
    <row r="4388">
      <c r="A4388" s="1" t="s">
        <v>4407</v>
      </c>
      <c r="B4388" s="2">
        <v>6.0</v>
      </c>
      <c r="C4388" s="4"/>
      <c r="E4388" s="4" t="str">
        <f t="array" ref="E4388">XLOOKUP(A4388,'Fintech, Regulatory Arbitrage, '!A:A,'Fintech, Regulatory Arbitrage, '!C:C,"")</f>
        <v/>
      </c>
    </row>
    <row r="4389">
      <c r="A4389" s="1" t="s">
        <v>4408</v>
      </c>
      <c r="B4389" s="2">
        <v>6.0</v>
      </c>
      <c r="C4389" s="4"/>
      <c r="E4389" s="4" t="str">
        <f t="array" ref="E4389">XLOOKUP(A4389,'Fintech, Regulatory Arbitrage, '!A:A,'Fintech, Regulatory Arbitrage, '!C:C,"")</f>
        <v/>
      </c>
    </row>
    <row r="4390">
      <c r="A4390" s="1" t="s">
        <v>4409</v>
      </c>
      <c r="B4390" s="2">
        <v>6.0</v>
      </c>
      <c r="C4390" s="4"/>
      <c r="E4390" s="4" t="str">
        <f t="array" ref="E4390">XLOOKUP(A4390,'Fintech, Regulatory Arbitrage, '!A:A,'Fintech, Regulatory Arbitrage, '!C:C,"")</f>
        <v/>
      </c>
    </row>
    <row r="4391">
      <c r="A4391" s="1" t="s">
        <v>4410</v>
      </c>
      <c r="B4391" s="2">
        <v>6.0</v>
      </c>
      <c r="C4391" s="4"/>
      <c r="E4391" s="4" t="str">
        <f t="array" ref="E4391">XLOOKUP(A4391,'Fintech, Regulatory Arbitrage, '!A:A,'Fintech, Regulatory Arbitrage, '!C:C,"")</f>
        <v/>
      </c>
    </row>
    <row r="4392">
      <c r="A4392" s="1" t="s">
        <v>4411</v>
      </c>
      <c r="B4392" s="2">
        <v>6.0</v>
      </c>
      <c r="C4392" s="4"/>
      <c r="E4392" s="4" t="str">
        <f t="array" ref="E4392">XLOOKUP(A4392,'Fintech, Regulatory Arbitrage, '!A:A,'Fintech, Regulatory Arbitrage, '!C:C,"")</f>
        <v/>
      </c>
    </row>
    <row r="4393">
      <c r="A4393" s="1" t="s">
        <v>4412</v>
      </c>
      <c r="B4393" s="2">
        <v>6.0</v>
      </c>
      <c r="C4393" s="4"/>
      <c r="E4393" s="4" t="str">
        <f t="array" ref="E4393">XLOOKUP(A4393,'Fintech, Regulatory Arbitrage, '!A:A,'Fintech, Regulatory Arbitrage, '!C:C,"")</f>
        <v/>
      </c>
    </row>
    <row r="4394">
      <c r="A4394" s="1" t="s">
        <v>4413</v>
      </c>
      <c r="B4394" s="2">
        <v>6.0</v>
      </c>
      <c r="C4394" s="4"/>
      <c r="E4394" s="4" t="str">
        <f t="array" ref="E4394">XLOOKUP(A4394,'Fintech, Regulatory Arbitrage, '!A:A,'Fintech, Regulatory Arbitrage, '!C:C,"")</f>
        <v/>
      </c>
    </row>
    <row r="4395">
      <c r="A4395" s="1" t="s">
        <v>4414</v>
      </c>
      <c r="B4395" s="2">
        <v>6.0</v>
      </c>
      <c r="C4395" s="4"/>
      <c r="E4395" s="4" t="str">
        <f t="array" ref="E4395">XLOOKUP(A4395,'Fintech, Regulatory Arbitrage, '!A:A,'Fintech, Regulatory Arbitrage, '!C:C,"")</f>
        <v/>
      </c>
    </row>
    <row r="4396">
      <c r="A4396" s="1" t="s">
        <v>4415</v>
      </c>
      <c r="B4396" s="2">
        <v>6.0</v>
      </c>
      <c r="C4396" s="4"/>
      <c r="E4396" s="4" t="str">
        <f t="array" ref="E4396">XLOOKUP(A4396,'Fintech, Regulatory Arbitrage, '!A:A,'Fintech, Regulatory Arbitrage, '!C:C,"")</f>
        <v/>
      </c>
    </row>
    <row r="4397">
      <c r="A4397" s="1" t="s">
        <v>4416</v>
      </c>
      <c r="B4397" s="2">
        <v>6.0</v>
      </c>
      <c r="C4397" s="4"/>
      <c r="E4397" s="4" t="str">
        <f t="array" ref="E4397">XLOOKUP(A4397,'Fintech, Regulatory Arbitrage, '!A:A,'Fintech, Regulatory Arbitrage, '!C:C,"")</f>
        <v/>
      </c>
    </row>
    <row r="4398">
      <c r="A4398" s="1" t="s">
        <v>4417</v>
      </c>
      <c r="B4398" s="2">
        <v>6.0</v>
      </c>
      <c r="C4398" s="4"/>
      <c r="E4398" s="4" t="str">
        <f t="array" ref="E4398">XLOOKUP(A4398,'Fintech, Regulatory Arbitrage, '!A:A,'Fintech, Regulatory Arbitrage, '!C:C,"")</f>
        <v/>
      </c>
    </row>
    <row r="4399">
      <c r="A4399" s="1" t="s">
        <v>4418</v>
      </c>
      <c r="B4399" s="2">
        <v>6.0</v>
      </c>
      <c r="C4399" s="4"/>
      <c r="E4399" s="4" t="str">
        <f t="array" ref="E4399">XLOOKUP(A4399,'Fintech, Regulatory Arbitrage, '!A:A,'Fintech, Regulatory Arbitrage, '!C:C,"")</f>
        <v/>
      </c>
    </row>
    <row r="4400">
      <c r="A4400" s="1" t="s">
        <v>4419</v>
      </c>
      <c r="B4400" s="2">
        <v>6.0</v>
      </c>
      <c r="C4400" s="4"/>
      <c r="E4400" s="4" t="str">
        <f t="array" ref="E4400">XLOOKUP(A4400,'Fintech, Regulatory Arbitrage, '!A:A,'Fintech, Regulatory Arbitrage, '!C:C,"")</f>
        <v/>
      </c>
    </row>
    <row r="4401">
      <c r="A4401" s="1" t="s">
        <v>4420</v>
      </c>
      <c r="B4401" s="2">
        <v>6.0</v>
      </c>
      <c r="C4401" s="4"/>
      <c r="E4401" s="4" t="str">
        <f t="array" ref="E4401">XLOOKUP(A4401,'Fintech, Regulatory Arbitrage, '!A:A,'Fintech, Regulatory Arbitrage, '!C:C,"")</f>
        <v/>
      </c>
    </row>
    <row r="4402">
      <c r="A4402" s="1" t="s">
        <v>4421</v>
      </c>
      <c r="B4402" s="2">
        <v>6.0</v>
      </c>
      <c r="C4402" s="4"/>
      <c r="E4402" s="4" t="str">
        <f t="array" ref="E4402">XLOOKUP(A4402,'Fintech, Regulatory Arbitrage, '!A:A,'Fintech, Regulatory Arbitrage, '!C:C,"")</f>
        <v/>
      </c>
    </row>
    <row r="4403">
      <c r="A4403" s="1" t="s">
        <v>4422</v>
      </c>
      <c r="B4403" s="2">
        <v>6.0</v>
      </c>
      <c r="C4403" s="4"/>
      <c r="E4403" s="4" t="str">
        <f t="array" ref="E4403">XLOOKUP(A4403,'Fintech, Regulatory Arbitrage, '!A:A,'Fintech, Regulatory Arbitrage, '!C:C,"")</f>
        <v/>
      </c>
    </row>
    <row r="4404">
      <c r="A4404" s="1" t="s">
        <v>4423</v>
      </c>
      <c r="B4404" s="2">
        <v>6.0</v>
      </c>
      <c r="C4404" s="4"/>
      <c r="E4404" s="4" t="str">
        <f t="array" ref="E4404">XLOOKUP(A4404,'Fintech, Regulatory Arbitrage, '!A:A,'Fintech, Regulatory Arbitrage, '!C:C,"")</f>
        <v/>
      </c>
    </row>
    <row r="4405">
      <c r="A4405" s="1" t="s">
        <v>4424</v>
      </c>
      <c r="B4405" s="2">
        <v>6.0</v>
      </c>
      <c r="C4405" s="4"/>
      <c r="E4405" s="4" t="str">
        <f t="array" ref="E4405">XLOOKUP(A4405,'Fintech, Regulatory Arbitrage, '!A:A,'Fintech, Regulatory Arbitrage, '!C:C,"")</f>
        <v/>
      </c>
    </row>
    <row r="4406">
      <c r="A4406" s="1" t="s">
        <v>4425</v>
      </c>
      <c r="B4406" s="2">
        <v>6.0</v>
      </c>
      <c r="C4406" s="4"/>
      <c r="E4406" s="4" t="str">
        <f t="array" ref="E4406">XLOOKUP(A4406,'Fintech, Regulatory Arbitrage, '!A:A,'Fintech, Regulatory Arbitrage, '!C:C,"")</f>
        <v/>
      </c>
    </row>
    <row r="4407">
      <c r="A4407" s="1" t="s">
        <v>4426</v>
      </c>
      <c r="B4407" s="2">
        <v>6.0</v>
      </c>
      <c r="C4407" s="4"/>
      <c r="E4407" s="4" t="str">
        <f t="array" ref="E4407">XLOOKUP(A4407,'Fintech, Regulatory Arbitrage, '!A:A,'Fintech, Regulatory Arbitrage, '!C:C,"")</f>
        <v/>
      </c>
    </row>
    <row r="4408">
      <c r="A4408" s="1" t="s">
        <v>4427</v>
      </c>
      <c r="B4408" s="2">
        <v>6.0</v>
      </c>
      <c r="C4408" s="4"/>
      <c r="E4408" s="4" t="str">
        <f t="array" ref="E4408">XLOOKUP(A4408,'Fintech, Regulatory Arbitrage, '!A:A,'Fintech, Regulatory Arbitrage, '!C:C,"")</f>
        <v/>
      </c>
    </row>
    <row r="4409">
      <c r="A4409" s="1" t="s">
        <v>4428</v>
      </c>
      <c r="B4409" s="2">
        <v>6.0</v>
      </c>
      <c r="C4409" s="4"/>
      <c r="E4409" s="4" t="str">
        <f t="array" ref="E4409">XLOOKUP(A4409,'Fintech, Regulatory Arbitrage, '!A:A,'Fintech, Regulatory Arbitrage, '!C:C,"")</f>
        <v/>
      </c>
    </row>
    <row r="4410">
      <c r="A4410" s="1" t="s">
        <v>4429</v>
      </c>
      <c r="B4410" s="2">
        <v>6.0</v>
      </c>
      <c r="C4410" s="4"/>
      <c r="E4410" s="4" t="str">
        <f t="array" ref="E4410">XLOOKUP(A4410,'Fintech, Regulatory Arbitrage, '!A:A,'Fintech, Regulatory Arbitrage, '!C:C,"")</f>
        <v/>
      </c>
    </row>
    <row r="4411">
      <c r="A4411" s="1" t="s">
        <v>4430</v>
      </c>
      <c r="B4411" s="2">
        <v>6.0</v>
      </c>
      <c r="C4411" s="4"/>
      <c r="E4411" s="4" t="str">
        <f t="array" ref="E4411">XLOOKUP(A4411,'Fintech, Regulatory Arbitrage, '!A:A,'Fintech, Regulatory Arbitrage, '!C:C,"")</f>
        <v/>
      </c>
    </row>
    <row r="4412">
      <c r="A4412" s="1" t="s">
        <v>4431</v>
      </c>
      <c r="B4412" s="2">
        <v>6.0</v>
      </c>
      <c r="C4412" s="4"/>
      <c r="E4412" s="4" t="str">
        <f t="array" ref="E4412">XLOOKUP(A4412,'Fintech, Regulatory Arbitrage, '!A:A,'Fintech, Regulatory Arbitrage, '!C:C,"")</f>
        <v/>
      </c>
    </row>
    <row r="4413">
      <c r="A4413" s="1" t="s">
        <v>4432</v>
      </c>
      <c r="B4413" s="2">
        <v>6.0</v>
      </c>
      <c r="C4413" s="4"/>
      <c r="E4413" s="4" t="str">
        <f t="array" ref="E4413">XLOOKUP(A4413,'Fintech, Regulatory Arbitrage, '!A:A,'Fintech, Regulatory Arbitrage, '!C:C,"")</f>
        <v/>
      </c>
    </row>
    <row r="4414">
      <c r="A4414" s="1" t="s">
        <v>4433</v>
      </c>
      <c r="B4414" s="2">
        <v>6.0</v>
      </c>
      <c r="C4414" s="4"/>
      <c r="E4414" s="4" t="str">
        <f t="array" ref="E4414">XLOOKUP(A4414,'Fintech, Regulatory Arbitrage, '!A:A,'Fintech, Regulatory Arbitrage, '!C:C,"")</f>
        <v/>
      </c>
    </row>
    <row r="4415">
      <c r="A4415" s="1" t="s">
        <v>4434</v>
      </c>
      <c r="B4415" s="2">
        <v>6.0</v>
      </c>
      <c r="C4415" s="4"/>
      <c r="E4415" s="4" t="str">
        <f t="array" ref="E4415">XLOOKUP(A4415,'Fintech, Regulatory Arbitrage, '!A:A,'Fintech, Regulatory Arbitrage, '!C:C,"")</f>
        <v/>
      </c>
    </row>
    <row r="4416">
      <c r="A4416" s="1" t="s">
        <v>4435</v>
      </c>
      <c r="B4416" s="2">
        <v>6.0</v>
      </c>
      <c r="C4416" s="4"/>
      <c r="E4416" s="4" t="str">
        <f t="array" ref="E4416">XLOOKUP(A4416,'Fintech, Regulatory Arbitrage, '!A:A,'Fintech, Regulatory Arbitrage, '!C:C,"")</f>
        <v/>
      </c>
    </row>
    <row r="4417">
      <c r="A4417" s="1" t="s">
        <v>4436</v>
      </c>
      <c r="B4417" s="2">
        <v>6.0</v>
      </c>
      <c r="C4417" s="4"/>
      <c r="E4417" s="4" t="str">
        <f t="array" ref="E4417">XLOOKUP(A4417,'Fintech, Regulatory Arbitrage, '!A:A,'Fintech, Regulatory Arbitrage, '!C:C,"")</f>
        <v/>
      </c>
    </row>
    <row r="4418">
      <c r="A4418" s="1" t="s">
        <v>4437</v>
      </c>
      <c r="B4418" s="2">
        <v>6.0</v>
      </c>
      <c r="C4418" s="4"/>
      <c r="E4418" s="4" t="str">
        <f t="array" ref="E4418">XLOOKUP(A4418,'Fintech, Regulatory Arbitrage, '!A:A,'Fintech, Regulatory Arbitrage, '!C:C,"")</f>
        <v/>
      </c>
    </row>
    <row r="4419">
      <c r="A4419" s="1" t="s">
        <v>4438</v>
      </c>
      <c r="B4419" s="2">
        <v>6.0</v>
      </c>
      <c r="C4419" s="4"/>
      <c r="E4419" s="4" t="str">
        <f t="array" ref="E4419">XLOOKUP(A4419,'Fintech, Regulatory Arbitrage, '!A:A,'Fintech, Regulatory Arbitrage, '!C:C,"")</f>
        <v/>
      </c>
    </row>
    <row r="4420">
      <c r="A4420" s="1" t="s">
        <v>4439</v>
      </c>
      <c r="B4420" s="2">
        <v>6.0</v>
      </c>
      <c r="C4420" s="4"/>
      <c r="E4420" s="4" t="str">
        <f t="array" ref="E4420">XLOOKUP(A4420,'Fintech, Regulatory Arbitrage, '!A:A,'Fintech, Regulatory Arbitrage, '!C:C,"")</f>
        <v/>
      </c>
    </row>
    <row r="4421">
      <c r="A4421" s="1" t="s">
        <v>4440</v>
      </c>
      <c r="B4421" s="2">
        <v>6.0</v>
      </c>
      <c r="C4421" s="4"/>
      <c r="E4421" s="4" t="str">
        <f t="array" ref="E4421">XLOOKUP(A4421,'Fintech, Regulatory Arbitrage, '!A:A,'Fintech, Regulatory Arbitrage, '!C:C,"")</f>
        <v/>
      </c>
    </row>
    <row r="4422">
      <c r="A4422" s="1" t="s">
        <v>4441</v>
      </c>
      <c r="B4422" s="2">
        <v>6.0</v>
      </c>
      <c r="C4422" s="4"/>
      <c r="E4422" s="4" t="str">
        <f t="array" ref="E4422">XLOOKUP(A4422,'Fintech, Regulatory Arbitrage, '!A:A,'Fintech, Regulatory Arbitrage, '!C:C,"")</f>
        <v/>
      </c>
    </row>
    <row r="4423">
      <c r="A4423" s="1" t="s">
        <v>4442</v>
      </c>
      <c r="B4423" s="2">
        <v>6.0</v>
      </c>
      <c r="C4423" s="4"/>
      <c r="E4423" s="4" t="str">
        <f t="array" ref="E4423">XLOOKUP(A4423,'Fintech, Regulatory Arbitrage, '!A:A,'Fintech, Regulatory Arbitrage, '!C:C,"")</f>
        <v/>
      </c>
    </row>
    <row r="4424">
      <c r="A4424" s="1" t="s">
        <v>4443</v>
      </c>
      <c r="B4424" s="2">
        <v>6.0</v>
      </c>
      <c r="C4424" s="4"/>
      <c r="E4424" s="4" t="str">
        <f t="array" ref="E4424">XLOOKUP(A4424,'Fintech, Regulatory Arbitrage, '!A:A,'Fintech, Regulatory Arbitrage, '!C:C,"")</f>
        <v/>
      </c>
    </row>
    <row r="4425">
      <c r="A4425" s="1" t="s">
        <v>4444</v>
      </c>
      <c r="B4425" s="2">
        <v>6.0</v>
      </c>
      <c r="C4425" s="4"/>
      <c r="E4425" s="4" t="str">
        <f t="array" ref="E4425">XLOOKUP(A4425,'Fintech, Regulatory Arbitrage, '!A:A,'Fintech, Regulatory Arbitrage, '!C:C,"")</f>
        <v/>
      </c>
    </row>
    <row r="4426">
      <c r="A4426" s="1" t="s">
        <v>4445</v>
      </c>
      <c r="B4426" s="2">
        <v>6.0</v>
      </c>
      <c r="C4426" s="4"/>
      <c r="E4426" s="4" t="str">
        <f t="array" ref="E4426">XLOOKUP(A4426,'Fintech, Regulatory Arbitrage, '!A:A,'Fintech, Regulatory Arbitrage, '!C:C,"")</f>
        <v/>
      </c>
    </row>
    <row r="4427">
      <c r="A4427" s="1" t="s">
        <v>4446</v>
      </c>
      <c r="B4427" s="2">
        <v>6.0</v>
      </c>
      <c r="C4427" s="4"/>
      <c r="E4427" s="4" t="str">
        <f t="array" ref="E4427">XLOOKUP(A4427,'Fintech, Regulatory Arbitrage, '!A:A,'Fintech, Regulatory Arbitrage, '!C:C,"")</f>
        <v/>
      </c>
    </row>
    <row r="4428">
      <c r="A4428" s="1" t="s">
        <v>4447</v>
      </c>
      <c r="B4428" s="2">
        <v>6.0</v>
      </c>
      <c r="C4428" s="4"/>
      <c r="E4428" s="4" t="str">
        <f t="array" ref="E4428">XLOOKUP(A4428,'Fintech, Regulatory Arbitrage, '!A:A,'Fintech, Regulatory Arbitrage, '!C:C,"")</f>
        <v/>
      </c>
    </row>
    <row r="4429">
      <c r="A4429" s="1" t="s">
        <v>4448</v>
      </c>
      <c r="B4429" s="2">
        <v>6.0</v>
      </c>
      <c r="C4429" s="4"/>
      <c r="E4429" s="4" t="str">
        <f t="array" ref="E4429">XLOOKUP(A4429,'Fintech, Regulatory Arbitrage, '!A:A,'Fintech, Regulatory Arbitrage, '!C:C,"")</f>
        <v/>
      </c>
    </row>
    <row r="4430">
      <c r="A4430" s="1" t="s">
        <v>4449</v>
      </c>
      <c r="B4430" s="2">
        <v>6.0</v>
      </c>
      <c r="C4430" s="4"/>
      <c r="E4430" s="4" t="str">
        <f t="array" ref="E4430">XLOOKUP(A4430,'Fintech, Regulatory Arbitrage, '!A:A,'Fintech, Regulatory Arbitrage, '!C:C,"")</f>
        <v/>
      </c>
    </row>
    <row r="4431">
      <c r="A4431" s="1" t="s">
        <v>4450</v>
      </c>
      <c r="B4431" s="2">
        <v>6.0</v>
      </c>
      <c r="C4431" s="4"/>
      <c r="E4431" s="4" t="str">
        <f t="array" ref="E4431">XLOOKUP(A4431,'Fintech, Regulatory Arbitrage, '!A:A,'Fintech, Regulatory Arbitrage, '!C:C,"")</f>
        <v/>
      </c>
    </row>
    <row r="4432">
      <c r="A4432" s="1" t="s">
        <v>4451</v>
      </c>
      <c r="B4432" s="2">
        <v>6.0</v>
      </c>
      <c r="C4432" s="4"/>
      <c r="E4432" s="4" t="str">
        <f t="array" ref="E4432">XLOOKUP(A4432,'Fintech, Regulatory Arbitrage, '!A:A,'Fintech, Regulatory Arbitrage, '!C:C,"")</f>
        <v/>
      </c>
    </row>
    <row r="4433">
      <c r="A4433" s="1" t="s">
        <v>4452</v>
      </c>
      <c r="B4433" s="2">
        <v>6.0</v>
      </c>
      <c r="C4433" s="4"/>
      <c r="E4433" s="4" t="str">
        <f t="array" ref="E4433">XLOOKUP(A4433,'Fintech, Regulatory Arbitrage, '!A:A,'Fintech, Regulatory Arbitrage, '!C:C,"")</f>
        <v/>
      </c>
    </row>
    <row r="4434">
      <c r="A4434" s="1" t="s">
        <v>4453</v>
      </c>
      <c r="B4434" s="2">
        <v>6.0</v>
      </c>
      <c r="C4434" s="4"/>
      <c r="E4434" s="4" t="str">
        <f t="array" ref="E4434">XLOOKUP(A4434,'Fintech, Regulatory Arbitrage, '!A:A,'Fintech, Regulatory Arbitrage, '!C:C,"")</f>
        <v/>
      </c>
    </row>
    <row r="4435">
      <c r="A4435" s="1" t="s">
        <v>4454</v>
      </c>
      <c r="B4435" s="2">
        <v>6.0</v>
      </c>
      <c r="C4435" s="4"/>
      <c r="E4435" s="4" t="str">
        <f t="array" ref="E4435">XLOOKUP(A4435,'Fintech, Regulatory Arbitrage, '!A:A,'Fintech, Regulatory Arbitrage, '!C:C,"")</f>
        <v/>
      </c>
    </row>
    <row r="4436">
      <c r="A4436" s="1" t="s">
        <v>4455</v>
      </c>
      <c r="B4436" s="2">
        <v>6.0</v>
      </c>
      <c r="C4436" s="4"/>
      <c r="E4436" s="4" t="str">
        <f t="array" ref="E4436">XLOOKUP(A4436,'Fintech, Regulatory Arbitrage, '!A:A,'Fintech, Regulatory Arbitrage, '!C:C,"")</f>
        <v/>
      </c>
    </row>
    <row r="4437">
      <c r="A4437" s="1" t="s">
        <v>4456</v>
      </c>
      <c r="B4437" s="2">
        <v>6.0</v>
      </c>
      <c r="C4437" s="4"/>
      <c r="E4437" s="4" t="str">
        <f t="array" ref="E4437">XLOOKUP(A4437,'Fintech, Regulatory Arbitrage, '!A:A,'Fintech, Regulatory Arbitrage, '!C:C,"")</f>
        <v/>
      </c>
    </row>
    <row r="4438">
      <c r="A4438" s="1" t="s">
        <v>4457</v>
      </c>
      <c r="B4438" s="2">
        <v>6.0</v>
      </c>
      <c r="C4438" s="4"/>
      <c r="E4438" s="4" t="str">
        <f t="array" ref="E4438">XLOOKUP(A4438,'Fintech, Regulatory Arbitrage, '!A:A,'Fintech, Regulatory Arbitrage, '!C:C,"")</f>
        <v/>
      </c>
    </row>
    <row r="4439">
      <c r="A4439" s="1" t="s">
        <v>4458</v>
      </c>
      <c r="B4439" s="2">
        <v>6.0</v>
      </c>
      <c r="C4439" s="4"/>
      <c r="E4439" s="4" t="str">
        <f t="array" ref="E4439">XLOOKUP(A4439,'Fintech, Regulatory Arbitrage, '!A:A,'Fintech, Regulatory Arbitrage, '!C:C,"")</f>
        <v/>
      </c>
    </row>
    <row r="4440">
      <c r="A4440" s="1" t="s">
        <v>4459</v>
      </c>
      <c r="B4440" s="2">
        <v>6.0</v>
      </c>
      <c r="C4440" s="4"/>
      <c r="E4440" s="4" t="str">
        <f t="array" ref="E4440">XLOOKUP(A4440,'Fintech, Regulatory Arbitrage, '!A:A,'Fintech, Regulatory Arbitrage, '!C:C,"")</f>
        <v/>
      </c>
    </row>
    <row r="4441">
      <c r="A4441" s="1" t="s">
        <v>4460</v>
      </c>
      <c r="B4441" s="2">
        <v>6.0</v>
      </c>
      <c r="C4441" s="4"/>
      <c r="E4441" s="4" t="str">
        <f t="array" ref="E4441">XLOOKUP(A4441,'Fintech, Regulatory Arbitrage, '!A:A,'Fintech, Regulatory Arbitrage, '!C:C,"")</f>
        <v/>
      </c>
    </row>
    <row r="4442">
      <c r="A4442" s="1" t="s">
        <v>4461</v>
      </c>
      <c r="B4442" s="2">
        <v>6.0</v>
      </c>
      <c r="C4442" s="4"/>
      <c r="E4442" s="4" t="str">
        <f t="array" ref="E4442">XLOOKUP(A4442,'Fintech, Regulatory Arbitrage, '!A:A,'Fintech, Regulatory Arbitrage, '!C:C,"")</f>
        <v/>
      </c>
    </row>
    <row r="4443">
      <c r="A4443" s="1" t="s">
        <v>4462</v>
      </c>
      <c r="B4443" s="2">
        <v>6.0</v>
      </c>
      <c r="C4443" s="4"/>
      <c r="E4443" s="4" t="str">
        <f t="array" ref="E4443">XLOOKUP(A4443,'Fintech, Regulatory Arbitrage, '!A:A,'Fintech, Regulatory Arbitrage, '!C:C,"")</f>
        <v/>
      </c>
    </row>
    <row r="4444">
      <c r="A4444" s="1" t="s">
        <v>4463</v>
      </c>
      <c r="B4444" s="2">
        <v>6.0</v>
      </c>
      <c r="C4444" s="4"/>
      <c r="E4444" s="4" t="str">
        <f t="array" ref="E4444">XLOOKUP(A4444,'Fintech, Regulatory Arbitrage, '!A:A,'Fintech, Regulatory Arbitrage, '!C:C,"")</f>
        <v/>
      </c>
    </row>
    <row r="4445">
      <c r="A4445" s="1" t="s">
        <v>4464</v>
      </c>
      <c r="B4445" s="2">
        <v>6.0</v>
      </c>
      <c r="C4445" s="4"/>
      <c r="E4445" s="4" t="str">
        <f t="array" ref="E4445">XLOOKUP(A4445,'Fintech, Regulatory Arbitrage, '!A:A,'Fintech, Regulatory Arbitrage, '!C:C,"")</f>
        <v/>
      </c>
    </row>
    <row r="4446">
      <c r="A4446" s="1" t="s">
        <v>4465</v>
      </c>
      <c r="B4446" s="2">
        <v>6.0</v>
      </c>
      <c r="C4446" s="4"/>
      <c r="E4446" s="4" t="str">
        <f t="array" ref="E4446">XLOOKUP(A4446,'Fintech, Regulatory Arbitrage, '!A:A,'Fintech, Regulatory Arbitrage, '!C:C,"")</f>
        <v/>
      </c>
    </row>
    <row r="4447">
      <c r="A4447" s="1" t="s">
        <v>4466</v>
      </c>
      <c r="B4447" s="2">
        <v>6.0</v>
      </c>
      <c r="C4447" s="4"/>
      <c r="E4447" s="4" t="str">
        <f t="array" ref="E4447">XLOOKUP(A4447,'Fintech, Regulatory Arbitrage, '!A:A,'Fintech, Regulatory Arbitrage, '!C:C,"")</f>
        <v/>
      </c>
    </row>
    <row r="4448">
      <c r="A4448" s="1" t="s">
        <v>4467</v>
      </c>
      <c r="B4448" s="2">
        <v>6.0</v>
      </c>
      <c r="C4448" s="4"/>
      <c r="E4448" s="4" t="str">
        <f t="array" ref="E4448">XLOOKUP(A4448,'Fintech, Regulatory Arbitrage, '!A:A,'Fintech, Regulatory Arbitrage, '!C:C,"")</f>
        <v/>
      </c>
    </row>
    <row r="4449">
      <c r="A4449" s="1" t="s">
        <v>4468</v>
      </c>
      <c r="B4449" s="2">
        <v>6.0</v>
      </c>
      <c r="C4449" s="4"/>
      <c r="E4449" s="4" t="str">
        <f t="array" ref="E4449">XLOOKUP(A4449,'Fintech, Regulatory Arbitrage, '!A:A,'Fintech, Regulatory Arbitrage, '!C:C,"")</f>
        <v/>
      </c>
    </row>
    <row r="4450">
      <c r="A4450" s="1" t="s">
        <v>4469</v>
      </c>
      <c r="B4450" s="2">
        <v>6.0</v>
      </c>
      <c r="C4450" s="4"/>
      <c r="E4450" s="4" t="str">
        <f t="array" ref="E4450">XLOOKUP(A4450,'Fintech, Regulatory Arbitrage, '!A:A,'Fintech, Regulatory Arbitrage, '!C:C,"")</f>
        <v/>
      </c>
    </row>
    <row r="4451">
      <c r="A4451" s="1" t="s">
        <v>4470</v>
      </c>
      <c r="B4451" s="2">
        <v>6.0</v>
      </c>
      <c r="C4451" s="4"/>
      <c r="E4451" s="4" t="str">
        <f t="array" ref="E4451">XLOOKUP(A4451,'Fintech, Regulatory Arbitrage, '!A:A,'Fintech, Regulatory Arbitrage, '!C:C,"")</f>
        <v/>
      </c>
    </row>
    <row r="4452">
      <c r="A4452" s="1" t="s">
        <v>4471</v>
      </c>
      <c r="B4452" s="2">
        <v>6.0</v>
      </c>
      <c r="C4452" s="4"/>
      <c r="E4452" s="4" t="str">
        <f t="array" ref="E4452">XLOOKUP(A4452,'Fintech, Regulatory Arbitrage, '!A:A,'Fintech, Regulatory Arbitrage, '!C:C,"")</f>
        <v/>
      </c>
    </row>
    <row r="4453">
      <c r="A4453" s="1" t="s">
        <v>4472</v>
      </c>
      <c r="B4453" s="2">
        <v>6.0</v>
      </c>
      <c r="C4453" s="4"/>
      <c r="E4453" s="4" t="str">
        <f t="array" ref="E4453">XLOOKUP(A4453,'Fintech, Regulatory Arbitrage, '!A:A,'Fintech, Regulatory Arbitrage, '!C:C,"")</f>
        <v/>
      </c>
    </row>
    <row r="4454">
      <c r="A4454" s="1" t="s">
        <v>4473</v>
      </c>
      <c r="B4454" s="2">
        <v>6.0</v>
      </c>
      <c r="C4454" s="4"/>
      <c r="E4454" s="4" t="str">
        <f t="array" ref="E4454">XLOOKUP(A4454,'Fintech, Regulatory Arbitrage, '!A:A,'Fintech, Regulatory Arbitrage, '!C:C,"")</f>
        <v/>
      </c>
    </row>
    <row r="4455">
      <c r="A4455" s="1" t="s">
        <v>4474</v>
      </c>
      <c r="B4455" s="2">
        <v>6.0</v>
      </c>
      <c r="C4455" s="4"/>
      <c r="E4455" s="4" t="str">
        <f t="array" ref="E4455">XLOOKUP(A4455,'Fintech, Regulatory Arbitrage, '!A:A,'Fintech, Regulatory Arbitrage, '!C:C,"")</f>
        <v/>
      </c>
    </row>
    <row r="4456">
      <c r="A4456" s="1" t="s">
        <v>4475</v>
      </c>
      <c r="B4456" s="2">
        <v>6.0</v>
      </c>
      <c r="C4456" s="4"/>
      <c r="E4456" s="4" t="str">
        <f t="array" ref="E4456">XLOOKUP(A4456,'Fintech, Regulatory Arbitrage, '!A:A,'Fintech, Regulatory Arbitrage, '!C:C,"")</f>
        <v/>
      </c>
    </row>
    <row r="4457">
      <c r="A4457" s="1" t="s">
        <v>4476</v>
      </c>
      <c r="B4457" s="2">
        <v>6.0</v>
      </c>
      <c r="C4457" s="4"/>
      <c r="E4457" s="4" t="str">
        <f t="array" ref="E4457">XLOOKUP(A4457,'Fintech, Regulatory Arbitrage, '!A:A,'Fintech, Regulatory Arbitrage, '!C:C,"")</f>
        <v/>
      </c>
    </row>
    <row r="4458">
      <c r="A4458" s="1" t="s">
        <v>4477</v>
      </c>
      <c r="B4458" s="2">
        <v>6.0</v>
      </c>
      <c r="C4458" s="4"/>
      <c r="E4458" s="4" t="str">
        <f t="array" ref="E4458">XLOOKUP(A4458,'Fintech, Regulatory Arbitrage, '!A:A,'Fintech, Regulatory Arbitrage, '!C:C,"")</f>
        <v/>
      </c>
    </row>
    <row r="4459">
      <c r="A4459" s="1" t="s">
        <v>4478</v>
      </c>
      <c r="B4459" s="2">
        <v>6.0</v>
      </c>
      <c r="C4459" s="4"/>
      <c r="E4459" s="4" t="str">
        <f t="array" ref="E4459">XLOOKUP(A4459,'Fintech, Regulatory Arbitrage, '!A:A,'Fintech, Regulatory Arbitrage, '!C:C,"")</f>
        <v/>
      </c>
    </row>
    <row r="4460">
      <c r="A4460" s="1" t="s">
        <v>4479</v>
      </c>
      <c r="B4460" s="2">
        <v>6.0</v>
      </c>
      <c r="C4460" s="4"/>
      <c r="E4460" s="4" t="str">
        <f t="array" ref="E4460">XLOOKUP(A4460,'Fintech, Regulatory Arbitrage, '!A:A,'Fintech, Regulatory Arbitrage, '!C:C,"")</f>
        <v/>
      </c>
    </row>
    <row r="4461">
      <c r="A4461" s="1" t="s">
        <v>4480</v>
      </c>
      <c r="B4461" s="2">
        <v>6.0</v>
      </c>
      <c r="C4461" s="4"/>
      <c r="E4461" s="4" t="str">
        <f t="array" ref="E4461">XLOOKUP(A4461,'Fintech, Regulatory Arbitrage, '!A:A,'Fintech, Regulatory Arbitrage, '!C:C,"")</f>
        <v/>
      </c>
    </row>
    <row r="4462">
      <c r="A4462" s="1" t="s">
        <v>4481</v>
      </c>
      <c r="B4462" s="2">
        <v>6.0</v>
      </c>
      <c r="C4462" s="4"/>
      <c r="E4462" s="4" t="str">
        <f t="array" ref="E4462">XLOOKUP(A4462,'Fintech, Regulatory Arbitrage, '!A:A,'Fintech, Regulatory Arbitrage, '!C:C,"")</f>
        <v/>
      </c>
    </row>
    <row r="4463">
      <c r="A4463" s="1" t="s">
        <v>4482</v>
      </c>
      <c r="B4463" s="2">
        <v>6.0</v>
      </c>
      <c r="C4463" s="4"/>
      <c r="E4463" s="4" t="str">
        <f t="array" ref="E4463">XLOOKUP(A4463,'Fintech, Regulatory Arbitrage, '!A:A,'Fintech, Regulatory Arbitrage, '!C:C,"")</f>
        <v/>
      </c>
    </row>
    <row r="4464">
      <c r="A4464" s="1" t="s">
        <v>4483</v>
      </c>
      <c r="B4464" s="2">
        <v>6.0</v>
      </c>
      <c r="C4464" s="4"/>
      <c r="E4464" s="4" t="str">
        <f t="array" ref="E4464">XLOOKUP(A4464,'Fintech, Regulatory Arbitrage, '!A:A,'Fintech, Regulatory Arbitrage, '!C:C,"")</f>
        <v/>
      </c>
    </row>
    <row r="4465">
      <c r="A4465" s="1" t="s">
        <v>4484</v>
      </c>
      <c r="B4465" s="2">
        <v>6.0</v>
      </c>
      <c r="C4465" s="4"/>
      <c r="E4465" s="4" t="str">
        <f t="array" ref="E4465">XLOOKUP(A4465,'Fintech, Regulatory Arbitrage, '!A:A,'Fintech, Regulatory Arbitrage, '!C:C,"")</f>
        <v/>
      </c>
    </row>
    <row r="4466">
      <c r="A4466" s="1" t="s">
        <v>4485</v>
      </c>
      <c r="B4466" s="2">
        <v>6.0</v>
      </c>
      <c r="C4466" s="4"/>
      <c r="E4466" s="4" t="str">
        <f t="array" ref="E4466">XLOOKUP(A4466,'Fintech, Regulatory Arbitrage, '!A:A,'Fintech, Regulatory Arbitrage, '!C:C,"")</f>
        <v/>
      </c>
    </row>
    <row r="4467">
      <c r="A4467" s="1" t="s">
        <v>4486</v>
      </c>
      <c r="B4467" s="2">
        <v>6.0</v>
      </c>
      <c r="C4467" s="4"/>
      <c r="E4467" s="4" t="str">
        <f t="array" ref="E4467">XLOOKUP(A4467,'Fintech, Regulatory Arbitrage, '!A:A,'Fintech, Regulatory Arbitrage, '!C:C,"")</f>
        <v/>
      </c>
    </row>
    <row r="4468">
      <c r="A4468" s="1" t="s">
        <v>4487</v>
      </c>
      <c r="B4468" s="2">
        <v>6.0</v>
      </c>
      <c r="C4468" s="4"/>
      <c r="E4468" s="4" t="str">
        <f t="array" ref="E4468">XLOOKUP(A4468,'Fintech, Regulatory Arbitrage, '!A:A,'Fintech, Regulatory Arbitrage, '!C:C,"")</f>
        <v/>
      </c>
    </row>
    <row r="4469">
      <c r="A4469" s="1" t="s">
        <v>4488</v>
      </c>
      <c r="B4469" s="2">
        <v>5.0</v>
      </c>
      <c r="C4469" s="4"/>
      <c r="E4469" s="4" t="str">
        <f t="array" ref="E4469">XLOOKUP(A4469,'Fintech, Regulatory Arbitrage, '!A:A,'Fintech, Regulatory Arbitrage, '!C:C,"")</f>
        <v/>
      </c>
    </row>
    <row r="4470">
      <c r="A4470" s="1" t="s">
        <v>4489</v>
      </c>
      <c r="B4470" s="2">
        <v>5.0</v>
      </c>
      <c r="C4470" s="4"/>
      <c r="E4470" s="4" t="str">
        <f t="array" ref="E4470">XLOOKUP(A4470,'Fintech, Regulatory Arbitrage, '!A:A,'Fintech, Regulatory Arbitrage, '!C:C,"")</f>
        <v/>
      </c>
    </row>
    <row r="4471">
      <c r="A4471" s="1" t="s">
        <v>4490</v>
      </c>
      <c r="B4471" s="2">
        <v>5.0</v>
      </c>
      <c r="C4471" s="4"/>
      <c r="E4471" s="4" t="str">
        <f t="array" ref="E4471">XLOOKUP(A4471,'Fintech, Regulatory Arbitrage, '!A:A,'Fintech, Regulatory Arbitrage, '!C:C,"")</f>
        <v/>
      </c>
    </row>
    <row r="4472">
      <c r="A4472" s="1" t="s">
        <v>4491</v>
      </c>
      <c r="B4472" s="2">
        <v>5.0</v>
      </c>
      <c r="C4472" s="4"/>
      <c r="E4472" s="4" t="str">
        <f t="array" ref="E4472">XLOOKUP(A4472,'Fintech, Regulatory Arbitrage, '!A:A,'Fintech, Regulatory Arbitrage, '!C:C,"")</f>
        <v/>
      </c>
    </row>
    <row r="4473">
      <c r="A4473" s="1" t="s">
        <v>4492</v>
      </c>
      <c r="B4473" s="2">
        <v>5.0</v>
      </c>
      <c r="C4473" s="4"/>
      <c r="E4473" s="4" t="str">
        <f t="array" ref="E4473">XLOOKUP(A4473,'Fintech, Regulatory Arbitrage, '!A:A,'Fintech, Regulatory Arbitrage, '!C:C,"")</f>
        <v/>
      </c>
    </row>
    <row r="4474">
      <c r="A4474" s="1" t="s">
        <v>4493</v>
      </c>
      <c r="B4474" s="2">
        <v>5.0</v>
      </c>
      <c r="C4474" s="4"/>
      <c r="E4474" s="4" t="str">
        <f t="array" ref="E4474">XLOOKUP(A4474,'Fintech, Regulatory Arbitrage, '!A:A,'Fintech, Regulatory Arbitrage, '!C:C,"")</f>
        <v/>
      </c>
    </row>
    <row r="4475">
      <c r="A4475" s="1" t="s">
        <v>4494</v>
      </c>
      <c r="B4475" s="2">
        <v>5.0</v>
      </c>
      <c r="C4475" s="4"/>
      <c r="E4475" s="4" t="str">
        <f t="array" ref="E4475">XLOOKUP(A4475,'Fintech, Regulatory Arbitrage, '!A:A,'Fintech, Regulatory Arbitrage, '!C:C,"")</f>
        <v/>
      </c>
    </row>
    <row r="4476">
      <c r="A4476" s="1" t="s">
        <v>4495</v>
      </c>
      <c r="B4476" s="2">
        <v>5.0</v>
      </c>
      <c r="C4476" s="4"/>
      <c r="E4476" s="4" t="str">
        <f t="array" ref="E4476">XLOOKUP(A4476,'Fintech, Regulatory Arbitrage, '!A:A,'Fintech, Regulatory Arbitrage, '!C:C,"")</f>
        <v/>
      </c>
    </row>
    <row r="4477">
      <c r="A4477" s="1" t="s">
        <v>4496</v>
      </c>
      <c r="B4477" s="2">
        <v>5.0</v>
      </c>
      <c r="C4477" s="4"/>
      <c r="E4477" s="4" t="str">
        <f t="array" ref="E4477">XLOOKUP(A4477,'Fintech, Regulatory Arbitrage, '!A:A,'Fintech, Regulatory Arbitrage, '!C:C,"")</f>
        <v/>
      </c>
    </row>
    <row r="4478">
      <c r="A4478" s="1" t="s">
        <v>4497</v>
      </c>
      <c r="B4478" s="2">
        <v>5.0</v>
      </c>
      <c r="C4478" s="4"/>
      <c r="E4478" s="4" t="str">
        <f t="array" ref="E4478">XLOOKUP(A4478,'Fintech, Regulatory Arbitrage, '!A:A,'Fintech, Regulatory Arbitrage, '!C:C,"")</f>
        <v/>
      </c>
    </row>
    <row r="4479">
      <c r="A4479" s="1" t="s">
        <v>4498</v>
      </c>
      <c r="B4479" s="2">
        <v>5.0</v>
      </c>
      <c r="C4479" s="4"/>
      <c r="E4479" s="4" t="str">
        <f t="array" ref="E4479">XLOOKUP(A4479,'Fintech, Regulatory Arbitrage, '!A:A,'Fintech, Regulatory Arbitrage, '!C:C,"")</f>
        <v/>
      </c>
    </row>
    <row r="4480">
      <c r="A4480" s="1" t="s">
        <v>4499</v>
      </c>
      <c r="B4480" s="2">
        <v>5.0</v>
      </c>
      <c r="C4480" s="4"/>
      <c r="E4480" s="4" t="str">
        <f t="array" ref="E4480">XLOOKUP(A4480,'Fintech, Regulatory Arbitrage, '!A:A,'Fintech, Regulatory Arbitrage, '!C:C,"")</f>
        <v/>
      </c>
    </row>
    <row r="4481">
      <c r="A4481" s="1" t="s">
        <v>4500</v>
      </c>
      <c r="B4481" s="2">
        <v>5.0</v>
      </c>
      <c r="C4481" s="4"/>
      <c r="E4481" s="4" t="str">
        <f t="array" ref="E4481">XLOOKUP(A4481,'Fintech, Regulatory Arbitrage, '!A:A,'Fintech, Regulatory Arbitrage, '!C:C,"")</f>
        <v/>
      </c>
    </row>
    <row r="4482">
      <c r="A4482" s="1" t="s">
        <v>4501</v>
      </c>
      <c r="B4482" s="2">
        <v>5.0</v>
      </c>
      <c r="C4482" s="4"/>
      <c r="E4482" s="4" t="str">
        <f t="array" ref="E4482">XLOOKUP(A4482,'Fintech, Regulatory Arbitrage, '!A:A,'Fintech, Regulatory Arbitrage, '!C:C,"")</f>
        <v/>
      </c>
    </row>
    <row r="4483">
      <c r="A4483" s="1" t="s">
        <v>4502</v>
      </c>
      <c r="B4483" s="2">
        <v>5.0</v>
      </c>
      <c r="C4483" s="4"/>
      <c r="E4483" s="4" t="str">
        <f t="array" ref="E4483">XLOOKUP(A4483,'Fintech, Regulatory Arbitrage, '!A:A,'Fintech, Regulatory Arbitrage, '!C:C,"")</f>
        <v/>
      </c>
    </row>
    <row r="4484">
      <c r="A4484" s="1" t="s">
        <v>4503</v>
      </c>
      <c r="B4484" s="2">
        <v>5.0</v>
      </c>
      <c r="C4484" s="4"/>
      <c r="E4484" s="4" t="str">
        <f t="array" ref="E4484">XLOOKUP(A4484,'Fintech, Regulatory Arbitrage, '!A:A,'Fintech, Regulatory Arbitrage, '!C:C,"")</f>
        <v/>
      </c>
    </row>
    <row r="4485">
      <c r="A4485" s="1" t="s">
        <v>4504</v>
      </c>
      <c r="B4485" s="2">
        <v>5.0</v>
      </c>
      <c r="C4485" s="4"/>
      <c r="E4485" s="4" t="str">
        <f t="array" ref="E4485">XLOOKUP(A4485,'Fintech, Regulatory Arbitrage, '!A:A,'Fintech, Regulatory Arbitrage, '!C:C,"")</f>
        <v/>
      </c>
    </row>
    <row r="4486">
      <c r="A4486" s="1" t="s">
        <v>4505</v>
      </c>
      <c r="B4486" s="2">
        <v>5.0</v>
      </c>
      <c r="C4486" s="4"/>
      <c r="E4486" s="4" t="str">
        <f t="array" ref="E4486">XLOOKUP(A4486,'Fintech, Regulatory Arbitrage, '!A:A,'Fintech, Regulatory Arbitrage, '!C:C,"")</f>
        <v/>
      </c>
    </row>
    <row r="4487">
      <c r="A4487" s="1" t="s">
        <v>4506</v>
      </c>
      <c r="B4487" s="2">
        <v>5.0</v>
      </c>
      <c r="C4487" s="4"/>
      <c r="E4487" s="4" t="str">
        <f t="array" ref="E4487">XLOOKUP(A4487,'Fintech, Regulatory Arbitrage, '!A:A,'Fintech, Regulatory Arbitrage, '!C:C,"")</f>
        <v/>
      </c>
    </row>
    <row r="4488">
      <c r="A4488" s="1" t="s">
        <v>4507</v>
      </c>
      <c r="B4488" s="2">
        <v>5.0</v>
      </c>
      <c r="C4488" s="4"/>
      <c r="E4488" s="4" t="str">
        <f t="array" ref="E4488">XLOOKUP(A4488,'Fintech, Regulatory Arbitrage, '!A:A,'Fintech, Regulatory Arbitrage, '!C:C,"")</f>
        <v/>
      </c>
    </row>
    <row r="4489">
      <c r="A4489" s="1" t="s">
        <v>4508</v>
      </c>
      <c r="B4489" s="2">
        <v>5.0</v>
      </c>
      <c r="C4489" s="4"/>
      <c r="E4489" s="4" t="str">
        <f t="array" ref="E4489">XLOOKUP(A4489,'Fintech, Regulatory Arbitrage, '!A:A,'Fintech, Regulatory Arbitrage, '!C:C,"")</f>
        <v/>
      </c>
    </row>
    <row r="4490">
      <c r="A4490" s="1" t="s">
        <v>4509</v>
      </c>
      <c r="B4490" s="2">
        <v>5.0</v>
      </c>
      <c r="C4490" s="4"/>
      <c r="E4490" s="4" t="str">
        <f t="array" ref="E4490">XLOOKUP(A4490,'Fintech, Regulatory Arbitrage, '!A:A,'Fintech, Regulatory Arbitrage, '!C:C,"")</f>
        <v/>
      </c>
    </row>
    <row r="4491">
      <c r="A4491" s="1" t="s">
        <v>4510</v>
      </c>
      <c r="B4491" s="2">
        <v>5.0</v>
      </c>
      <c r="C4491" s="4"/>
      <c r="E4491" s="4" t="str">
        <f t="array" ref="E4491">XLOOKUP(A4491,'Fintech, Regulatory Arbitrage, '!A:A,'Fintech, Regulatory Arbitrage, '!C:C,"")</f>
        <v/>
      </c>
    </row>
    <row r="4492">
      <c r="A4492" s="1" t="s">
        <v>4511</v>
      </c>
      <c r="B4492" s="2">
        <v>5.0</v>
      </c>
      <c r="C4492" s="4"/>
      <c r="E4492" s="4" t="str">
        <f t="array" ref="E4492">XLOOKUP(A4492,'Fintech, Regulatory Arbitrage, '!A:A,'Fintech, Regulatory Arbitrage, '!C:C,"")</f>
        <v/>
      </c>
    </row>
    <row r="4493">
      <c r="A4493" s="1" t="s">
        <v>4512</v>
      </c>
      <c r="B4493" s="2">
        <v>5.0</v>
      </c>
      <c r="C4493" s="4"/>
      <c r="E4493" s="4" t="str">
        <f t="array" ref="E4493">XLOOKUP(A4493,'Fintech, Regulatory Arbitrage, '!A:A,'Fintech, Regulatory Arbitrage, '!C:C,"")</f>
        <v/>
      </c>
    </row>
    <row r="4494">
      <c r="A4494" s="1" t="s">
        <v>4513</v>
      </c>
      <c r="B4494" s="2">
        <v>5.0</v>
      </c>
      <c r="C4494" s="4"/>
      <c r="E4494" s="4" t="str">
        <f t="array" ref="E4494">XLOOKUP(A4494,'Fintech, Regulatory Arbitrage, '!A:A,'Fintech, Regulatory Arbitrage, '!C:C,"")</f>
        <v/>
      </c>
    </row>
    <row r="4495">
      <c r="A4495" s="1" t="s">
        <v>4514</v>
      </c>
      <c r="B4495" s="2">
        <v>5.0</v>
      </c>
      <c r="C4495" s="4"/>
      <c r="E4495" s="4" t="str">
        <f t="array" ref="E4495">XLOOKUP(A4495,'Fintech, Regulatory Arbitrage, '!A:A,'Fintech, Regulatory Arbitrage, '!C:C,"")</f>
        <v/>
      </c>
    </row>
    <row r="4496">
      <c r="A4496" s="1" t="s">
        <v>4515</v>
      </c>
      <c r="B4496" s="2">
        <v>5.0</v>
      </c>
      <c r="C4496" s="4"/>
      <c r="E4496" s="4" t="str">
        <f t="array" ref="E4496">XLOOKUP(A4496,'Fintech, Regulatory Arbitrage, '!A:A,'Fintech, Regulatory Arbitrage, '!C:C,"")</f>
        <v/>
      </c>
    </row>
    <row r="4497">
      <c r="A4497" s="1" t="s">
        <v>4516</v>
      </c>
      <c r="B4497" s="2">
        <v>5.0</v>
      </c>
      <c r="C4497" s="4"/>
      <c r="E4497" s="4" t="str">
        <f t="array" ref="E4497">XLOOKUP(A4497,'Fintech, Regulatory Arbitrage, '!A:A,'Fintech, Regulatory Arbitrage, '!C:C,"")</f>
        <v/>
      </c>
    </row>
    <row r="4498">
      <c r="A4498" s="1" t="s">
        <v>4517</v>
      </c>
      <c r="B4498" s="2">
        <v>5.0</v>
      </c>
      <c r="C4498" s="4"/>
      <c r="E4498" s="4" t="str">
        <f t="array" ref="E4498">XLOOKUP(A4498,'Fintech, Regulatory Arbitrage, '!A:A,'Fintech, Regulatory Arbitrage, '!C:C,"")</f>
        <v/>
      </c>
    </row>
    <row r="4499">
      <c r="A4499" s="1" t="s">
        <v>4518</v>
      </c>
      <c r="B4499" s="2">
        <v>5.0</v>
      </c>
      <c r="C4499" s="4"/>
      <c r="E4499" s="4" t="str">
        <f t="array" ref="E4499">XLOOKUP(A4499,'Fintech, Regulatory Arbitrage, '!A:A,'Fintech, Regulatory Arbitrage, '!C:C,"")</f>
        <v/>
      </c>
    </row>
    <row r="4500">
      <c r="A4500" s="1" t="s">
        <v>4519</v>
      </c>
      <c r="B4500" s="2">
        <v>5.0</v>
      </c>
      <c r="C4500" s="4"/>
      <c r="E4500" s="4" t="str">
        <f t="array" ref="E4500">XLOOKUP(A4500,'Fintech, Regulatory Arbitrage, '!A:A,'Fintech, Regulatory Arbitrage, '!C:C,"")</f>
        <v/>
      </c>
    </row>
    <row r="4501">
      <c r="A4501" s="1" t="s">
        <v>4520</v>
      </c>
      <c r="B4501" s="2">
        <v>5.0</v>
      </c>
      <c r="C4501" s="4"/>
      <c r="E4501" s="4" t="str">
        <f t="array" ref="E4501">XLOOKUP(A4501,'Fintech, Regulatory Arbitrage, '!A:A,'Fintech, Regulatory Arbitrage, '!C:C,"")</f>
        <v/>
      </c>
    </row>
    <row r="4502">
      <c r="A4502" s="1" t="s">
        <v>4521</v>
      </c>
      <c r="B4502" s="2">
        <v>5.0</v>
      </c>
      <c r="C4502" s="4"/>
      <c r="E4502" s="4" t="str">
        <f t="array" ref="E4502">XLOOKUP(A4502,'Fintech, Regulatory Arbitrage, '!A:A,'Fintech, Regulatory Arbitrage, '!C:C,"")</f>
        <v/>
      </c>
    </row>
    <row r="4503">
      <c r="A4503" s="1" t="s">
        <v>4522</v>
      </c>
      <c r="B4503" s="2">
        <v>5.0</v>
      </c>
      <c r="C4503" s="4"/>
      <c r="E4503" s="4" t="str">
        <f t="array" ref="E4503">XLOOKUP(A4503,'Fintech, Regulatory Arbitrage, '!A:A,'Fintech, Regulatory Arbitrage, '!C:C,"")</f>
        <v/>
      </c>
    </row>
    <row r="4504">
      <c r="A4504" s="1" t="s">
        <v>4523</v>
      </c>
      <c r="B4504" s="2">
        <v>5.0</v>
      </c>
      <c r="C4504" s="4"/>
      <c r="E4504" s="4" t="str">
        <f t="array" ref="E4504">XLOOKUP(A4504,'Fintech, Regulatory Arbitrage, '!A:A,'Fintech, Regulatory Arbitrage, '!C:C,"")</f>
        <v/>
      </c>
    </row>
    <row r="4505">
      <c r="A4505" s="1" t="s">
        <v>4524</v>
      </c>
      <c r="B4505" s="2">
        <v>5.0</v>
      </c>
      <c r="C4505" s="4"/>
      <c r="E4505" s="4" t="str">
        <f t="array" ref="E4505">XLOOKUP(A4505,'Fintech, Regulatory Arbitrage, '!A:A,'Fintech, Regulatory Arbitrage, '!C:C,"")</f>
        <v/>
      </c>
    </row>
    <row r="4506">
      <c r="A4506" s="1" t="s">
        <v>4525</v>
      </c>
      <c r="B4506" s="2">
        <v>5.0</v>
      </c>
      <c r="C4506" s="4"/>
      <c r="E4506" s="4" t="str">
        <f t="array" ref="E4506">XLOOKUP(A4506,'Fintech, Regulatory Arbitrage, '!A:A,'Fintech, Regulatory Arbitrage, '!C:C,"")</f>
        <v/>
      </c>
    </row>
    <row r="4507">
      <c r="A4507" s="1" t="s">
        <v>4526</v>
      </c>
      <c r="B4507" s="2">
        <v>5.0</v>
      </c>
      <c r="C4507" s="4"/>
      <c r="E4507" s="4" t="str">
        <f t="array" ref="E4507">XLOOKUP(A4507,'Fintech, Regulatory Arbitrage, '!A:A,'Fintech, Regulatory Arbitrage, '!C:C,"")</f>
        <v/>
      </c>
    </row>
    <row r="4508">
      <c r="A4508" s="1" t="s">
        <v>4527</v>
      </c>
      <c r="B4508" s="2">
        <v>5.0</v>
      </c>
      <c r="C4508" s="4"/>
      <c r="E4508" s="4" t="str">
        <f t="array" ref="E4508">XLOOKUP(A4508,'Fintech, Regulatory Arbitrage, '!A:A,'Fintech, Regulatory Arbitrage, '!C:C,"")</f>
        <v/>
      </c>
    </row>
    <row r="4509">
      <c r="A4509" s="1" t="s">
        <v>4528</v>
      </c>
      <c r="B4509" s="2">
        <v>5.0</v>
      </c>
      <c r="C4509" s="4"/>
      <c r="E4509" s="4" t="str">
        <f t="array" ref="E4509">XLOOKUP(A4509,'Fintech, Regulatory Arbitrage, '!A:A,'Fintech, Regulatory Arbitrage, '!C:C,"")</f>
        <v/>
      </c>
    </row>
    <row r="4510">
      <c r="A4510" s="1" t="s">
        <v>4529</v>
      </c>
      <c r="B4510" s="2">
        <v>5.0</v>
      </c>
      <c r="C4510" s="4"/>
      <c r="E4510" s="4" t="str">
        <f t="array" ref="E4510">XLOOKUP(A4510,'Fintech, Regulatory Arbitrage, '!A:A,'Fintech, Regulatory Arbitrage, '!C:C,"")</f>
        <v/>
      </c>
    </row>
    <row r="4511">
      <c r="A4511" s="1" t="s">
        <v>4530</v>
      </c>
      <c r="B4511" s="2">
        <v>5.0</v>
      </c>
      <c r="C4511" s="4"/>
      <c r="E4511" s="4" t="str">
        <f t="array" ref="E4511">XLOOKUP(A4511,'Fintech, Regulatory Arbitrage, '!A:A,'Fintech, Regulatory Arbitrage, '!C:C,"")</f>
        <v/>
      </c>
    </row>
    <row r="4512">
      <c r="A4512" s="1" t="s">
        <v>4531</v>
      </c>
      <c r="B4512" s="2">
        <v>5.0</v>
      </c>
      <c r="C4512" s="4"/>
      <c r="E4512" s="4" t="str">
        <f t="array" ref="E4512">XLOOKUP(A4512,'Fintech, Regulatory Arbitrage, '!A:A,'Fintech, Regulatory Arbitrage, '!C:C,"")</f>
        <v/>
      </c>
    </row>
    <row r="4513">
      <c r="A4513" s="1" t="s">
        <v>4532</v>
      </c>
      <c r="B4513" s="2">
        <v>5.0</v>
      </c>
      <c r="C4513" s="4"/>
      <c r="E4513" s="4" t="str">
        <f t="array" ref="E4513">XLOOKUP(A4513,'Fintech, Regulatory Arbitrage, '!A:A,'Fintech, Regulatory Arbitrage, '!C:C,"")</f>
        <v/>
      </c>
    </row>
    <row r="4514">
      <c r="A4514" s="1" t="s">
        <v>4533</v>
      </c>
      <c r="B4514" s="2">
        <v>5.0</v>
      </c>
      <c r="C4514" s="4"/>
      <c r="E4514" s="4" t="str">
        <f t="array" ref="E4514">XLOOKUP(A4514,'Fintech, Regulatory Arbitrage, '!A:A,'Fintech, Regulatory Arbitrage, '!C:C,"")</f>
        <v/>
      </c>
    </row>
    <row r="4515">
      <c r="A4515" s="1" t="s">
        <v>4534</v>
      </c>
      <c r="B4515" s="2">
        <v>5.0</v>
      </c>
      <c r="C4515" s="4"/>
      <c r="E4515" s="4" t="str">
        <f t="array" ref="E4515">XLOOKUP(A4515,'Fintech, Regulatory Arbitrage, '!A:A,'Fintech, Regulatory Arbitrage, '!C:C,"")</f>
        <v/>
      </c>
    </row>
    <row r="4516">
      <c r="A4516" s="1" t="s">
        <v>4535</v>
      </c>
      <c r="B4516" s="2">
        <v>5.0</v>
      </c>
      <c r="C4516" s="4"/>
      <c r="E4516" s="4" t="str">
        <f t="array" ref="E4516">XLOOKUP(A4516,'Fintech, Regulatory Arbitrage, '!A:A,'Fintech, Regulatory Arbitrage, '!C:C,"")</f>
        <v/>
      </c>
    </row>
    <row r="4517">
      <c r="A4517" s="1" t="s">
        <v>4536</v>
      </c>
      <c r="B4517" s="2">
        <v>5.0</v>
      </c>
      <c r="C4517" s="4"/>
      <c r="E4517" s="4" t="str">
        <f t="array" ref="E4517">XLOOKUP(A4517,'Fintech, Regulatory Arbitrage, '!A:A,'Fintech, Regulatory Arbitrage, '!C:C,"")</f>
        <v/>
      </c>
    </row>
    <row r="4518">
      <c r="A4518" s="1" t="s">
        <v>4537</v>
      </c>
      <c r="B4518" s="2">
        <v>5.0</v>
      </c>
      <c r="C4518" s="4"/>
      <c r="E4518" s="4" t="str">
        <f t="array" ref="E4518">XLOOKUP(A4518,'Fintech, Regulatory Arbitrage, '!A:A,'Fintech, Regulatory Arbitrage, '!C:C,"")</f>
        <v/>
      </c>
    </row>
    <row r="4519">
      <c r="A4519" s="1" t="s">
        <v>4538</v>
      </c>
      <c r="B4519" s="2">
        <v>5.0</v>
      </c>
      <c r="C4519" s="4"/>
      <c r="E4519" s="4" t="str">
        <f t="array" ref="E4519">XLOOKUP(A4519,'Fintech, Regulatory Arbitrage, '!A:A,'Fintech, Regulatory Arbitrage, '!C:C,"")</f>
        <v/>
      </c>
    </row>
    <row r="4520">
      <c r="A4520" s="1" t="s">
        <v>4539</v>
      </c>
      <c r="B4520" s="2">
        <v>5.0</v>
      </c>
      <c r="C4520" s="4"/>
      <c r="E4520" s="4" t="str">
        <f t="array" ref="E4520">XLOOKUP(A4520,'Fintech, Regulatory Arbitrage, '!A:A,'Fintech, Regulatory Arbitrage, '!C:C,"")</f>
        <v/>
      </c>
    </row>
    <row r="4521">
      <c r="A4521" s="1" t="s">
        <v>4540</v>
      </c>
      <c r="B4521" s="2">
        <v>5.0</v>
      </c>
      <c r="C4521" s="4"/>
      <c r="E4521" s="4" t="str">
        <f t="array" ref="E4521">XLOOKUP(A4521,'Fintech, Regulatory Arbitrage, '!A:A,'Fintech, Regulatory Arbitrage, '!C:C,"")</f>
        <v/>
      </c>
    </row>
    <row r="4522">
      <c r="A4522" s="1" t="s">
        <v>4541</v>
      </c>
      <c r="B4522" s="2">
        <v>5.0</v>
      </c>
      <c r="C4522" s="4"/>
      <c r="E4522" s="4" t="str">
        <f t="array" ref="E4522">XLOOKUP(A4522,'Fintech, Regulatory Arbitrage, '!A:A,'Fintech, Regulatory Arbitrage, '!C:C,"")</f>
        <v/>
      </c>
    </row>
    <row r="4523">
      <c r="A4523" s="1" t="s">
        <v>4542</v>
      </c>
      <c r="B4523" s="2">
        <v>5.0</v>
      </c>
      <c r="C4523" s="4"/>
      <c r="E4523" s="4" t="str">
        <f t="array" ref="E4523">XLOOKUP(A4523,'Fintech, Regulatory Arbitrage, '!A:A,'Fintech, Regulatory Arbitrage, '!C:C,"")</f>
        <v/>
      </c>
    </row>
    <row r="4524">
      <c r="A4524" s="1" t="s">
        <v>4543</v>
      </c>
      <c r="B4524" s="2">
        <v>5.0</v>
      </c>
      <c r="C4524" s="4"/>
      <c r="E4524" s="4" t="str">
        <f t="array" ref="E4524">XLOOKUP(A4524,'Fintech, Regulatory Arbitrage, '!A:A,'Fintech, Regulatory Arbitrage, '!C:C,"")</f>
        <v/>
      </c>
    </row>
    <row r="4525">
      <c r="A4525" s="1" t="s">
        <v>4544</v>
      </c>
      <c r="B4525" s="2">
        <v>5.0</v>
      </c>
      <c r="C4525" s="4"/>
      <c r="E4525" s="4" t="str">
        <f t="array" ref="E4525">XLOOKUP(A4525,'Fintech, Regulatory Arbitrage, '!A:A,'Fintech, Regulatory Arbitrage, '!C:C,"")</f>
        <v/>
      </c>
    </row>
    <row r="4526">
      <c r="A4526" s="1" t="s">
        <v>4545</v>
      </c>
      <c r="B4526" s="2">
        <v>5.0</v>
      </c>
      <c r="C4526" s="4"/>
      <c r="E4526" s="4" t="str">
        <f t="array" ref="E4526">XLOOKUP(A4526,'Fintech, Regulatory Arbitrage, '!A:A,'Fintech, Regulatory Arbitrage, '!C:C,"")</f>
        <v/>
      </c>
    </row>
    <row r="4527">
      <c r="A4527" s="1" t="s">
        <v>4546</v>
      </c>
      <c r="B4527" s="2">
        <v>5.0</v>
      </c>
      <c r="C4527" s="4"/>
      <c r="E4527" s="4" t="str">
        <f t="array" ref="E4527">XLOOKUP(A4527,'Fintech, Regulatory Arbitrage, '!A:A,'Fintech, Regulatory Arbitrage, '!C:C,"")</f>
        <v/>
      </c>
    </row>
    <row r="4528">
      <c r="A4528" s="1" t="s">
        <v>4547</v>
      </c>
      <c r="B4528" s="2">
        <v>5.0</v>
      </c>
      <c r="C4528" s="4"/>
      <c r="E4528" s="4" t="str">
        <f t="array" ref="E4528">XLOOKUP(A4528,'Fintech, Regulatory Arbitrage, '!A:A,'Fintech, Regulatory Arbitrage, '!C:C,"")</f>
        <v/>
      </c>
    </row>
    <row r="4529">
      <c r="A4529" s="1" t="s">
        <v>4548</v>
      </c>
      <c r="B4529" s="2">
        <v>5.0</v>
      </c>
      <c r="C4529" s="4"/>
      <c r="E4529" s="4" t="str">
        <f t="array" ref="E4529">XLOOKUP(A4529,'Fintech, Regulatory Arbitrage, '!A:A,'Fintech, Regulatory Arbitrage, '!C:C,"")</f>
        <v/>
      </c>
    </row>
    <row r="4530">
      <c r="A4530" s="1" t="s">
        <v>4549</v>
      </c>
      <c r="B4530" s="2">
        <v>5.0</v>
      </c>
      <c r="C4530" s="4"/>
      <c r="E4530" s="4" t="str">
        <f t="array" ref="E4530">XLOOKUP(A4530,'Fintech, Regulatory Arbitrage, '!A:A,'Fintech, Regulatory Arbitrage, '!C:C,"")</f>
        <v/>
      </c>
    </row>
    <row r="4531">
      <c r="A4531" s="1" t="s">
        <v>4550</v>
      </c>
      <c r="B4531" s="2">
        <v>5.0</v>
      </c>
      <c r="C4531" s="4"/>
      <c r="E4531" s="4" t="str">
        <f t="array" ref="E4531">XLOOKUP(A4531,'Fintech, Regulatory Arbitrage, '!A:A,'Fintech, Regulatory Arbitrage, '!C:C,"")</f>
        <v/>
      </c>
    </row>
    <row r="4532">
      <c r="A4532" s="1" t="s">
        <v>4551</v>
      </c>
      <c r="B4532" s="2">
        <v>5.0</v>
      </c>
      <c r="C4532" s="4"/>
      <c r="E4532" s="4" t="str">
        <f t="array" ref="E4532">XLOOKUP(A4532,'Fintech, Regulatory Arbitrage, '!A:A,'Fintech, Regulatory Arbitrage, '!C:C,"")</f>
        <v/>
      </c>
    </row>
    <row r="4533">
      <c r="A4533" s="1" t="s">
        <v>4552</v>
      </c>
      <c r="B4533" s="2">
        <v>5.0</v>
      </c>
      <c r="C4533" s="4"/>
      <c r="E4533" s="4" t="str">
        <f t="array" ref="E4533">XLOOKUP(A4533,'Fintech, Regulatory Arbitrage, '!A:A,'Fintech, Regulatory Arbitrage, '!C:C,"")</f>
        <v/>
      </c>
    </row>
    <row r="4534">
      <c r="A4534" s="1" t="s">
        <v>4553</v>
      </c>
      <c r="B4534" s="2">
        <v>5.0</v>
      </c>
      <c r="C4534" s="4"/>
      <c r="E4534" s="4" t="str">
        <f t="array" ref="E4534">XLOOKUP(A4534,'Fintech, Regulatory Arbitrage, '!A:A,'Fintech, Regulatory Arbitrage, '!C:C,"")</f>
        <v/>
      </c>
    </row>
    <row r="4535">
      <c r="A4535" s="1" t="s">
        <v>4554</v>
      </c>
      <c r="B4535" s="2">
        <v>5.0</v>
      </c>
      <c r="C4535" s="4"/>
      <c r="E4535" s="4" t="str">
        <f t="array" ref="E4535">XLOOKUP(A4535,'Fintech, Regulatory Arbitrage, '!A:A,'Fintech, Regulatory Arbitrage, '!C:C,"")</f>
        <v/>
      </c>
    </row>
    <row r="4536">
      <c r="A4536" s="1" t="s">
        <v>4555</v>
      </c>
      <c r="B4536" s="2">
        <v>5.0</v>
      </c>
      <c r="C4536" s="4"/>
      <c r="E4536" s="4" t="str">
        <f t="array" ref="E4536">XLOOKUP(A4536,'Fintech, Regulatory Arbitrage, '!A:A,'Fintech, Regulatory Arbitrage, '!C:C,"")</f>
        <v/>
      </c>
    </row>
    <row r="4537">
      <c r="A4537" s="1" t="s">
        <v>4556</v>
      </c>
      <c r="B4537" s="2">
        <v>5.0</v>
      </c>
      <c r="C4537" s="4"/>
      <c r="E4537" s="4" t="str">
        <f t="array" ref="E4537">XLOOKUP(A4537,'Fintech, Regulatory Arbitrage, '!A:A,'Fintech, Regulatory Arbitrage, '!C:C,"")</f>
        <v/>
      </c>
    </row>
    <row r="4538">
      <c r="A4538" s="1" t="s">
        <v>4557</v>
      </c>
      <c r="B4538" s="2">
        <v>5.0</v>
      </c>
      <c r="C4538" s="4"/>
      <c r="E4538" s="4" t="str">
        <f t="array" ref="E4538">XLOOKUP(A4538,'Fintech, Regulatory Arbitrage, '!A:A,'Fintech, Regulatory Arbitrage, '!C:C,"")</f>
        <v/>
      </c>
    </row>
    <row r="4539">
      <c r="A4539" s="1" t="s">
        <v>4558</v>
      </c>
      <c r="B4539" s="2">
        <v>5.0</v>
      </c>
      <c r="C4539" s="4"/>
      <c r="E4539" s="4" t="str">
        <f t="array" ref="E4539">XLOOKUP(A4539,'Fintech, Regulatory Arbitrage, '!A:A,'Fintech, Regulatory Arbitrage, '!C:C,"")</f>
        <v/>
      </c>
    </row>
    <row r="4540">
      <c r="A4540" s="1" t="s">
        <v>4559</v>
      </c>
      <c r="B4540" s="2">
        <v>5.0</v>
      </c>
      <c r="C4540" s="4"/>
      <c r="E4540" s="4" t="str">
        <f t="array" ref="E4540">XLOOKUP(A4540,'Fintech, Regulatory Arbitrage, '!A:A,'Fintech, Regulatory Arbitrage, '!C:C,"")</f>
        <v/>
      </c>
    </row>
    <row r="4541">
      <c r="A4541" s="1" t="s">
        <v>4560</v>
      </c>
      <c r="B4541" s="2">
        <v>5.0</v>
      </c>
      <c r="C4541" s="4"/>
      <c r="E4541" s="4" t="str">
        <f t="array" ref="E4541">XLOOKUP(A4541,'Fintech, Regulatory Arbitrage, '!A:A,'Fintech, Regulatory Arbitrage, '!C:C,"")</f>
        <v/>
      </c>
    </row>
    <row r="4542">
      <c r="A4542" s="1" t="s">
        <v>4561</v>
      </c>
      <c r="B4542" s="2">
        <v>5.0</v>
      </c>
      <c r="C4542" s="4"/>
      <c r="E4542" s="4" t="str">
        <f t="array" ref="E4542">XLOOKUP(A4542,'Fintech, Regulatory Arbitrage, '!A:A,'Fintech, Regulatory Arbitrage, '!C:C,"")</f>
        <v/>
      </c>
    </row>
    <row r="4543">
      <c r="A4543" s="1" t="s">
        <v>4562</v>
      </c>
      <c r="B4543" s="2">
        <v>5.0</v>
      </c>
      <c r="C4543" s="4"/>
      <c r="E4543" s="4" t="str">
        <f t="array" ref="E4543">XLOOKUP(A4543,'Fintech, Regulatory Arbitrage, '!A:A,'Fintech, Regulatory Arbitrage, '!C:C,"")</f>
        <v/>
      </c>
    </row>
    <row r="4544">
      <c r="A4544" s="1" t="s">
        <v>4563</v>
      </c>
      <c r="B4544" s="2">
        <v>5.0</v>
      </c>
      <c r="C4544" s="4"/>
      <c r="E4544" s="4" t="str">
        <f t="array" ref="E4544">XLOOKUP(A4544,'Fintech, Regulatory Arbitrage, '!A:A,'Fintech, Regulatory Arbitrage, '!C:C,"")</f>
        <v/>
      </c>
    </row>
    <row r="4545">
      <c r="A4545" s="1" t="s">
        <v>4564</v>
      </c>
      <c r="B4545" s="2">
        <v>5.0</v>
      </c>
      <c r="C4545" s="4"/>
      <c r="E4545" s="4" t="str">
        <f t="array" ref="E4545">XLOOKUP(A4545,'Fintech, Regulatory Arbitrage, '!A:A,'Fintech, Regulatory Arbitrage, '!C:C,"")</f>
        <v/>
      </c>
    </row>
    <row r="4546">
      <c r="A4546" s="1" t="s">
        <v>4565</v>
      </c>
      <c r="B4546" s="2">
        <v>5.0</v>
      </c>
      <c r="C4546" s="4"/>
      <c r="E4546" s="4" t="str">
        <f t="array" ref="E4546">XLOOKUP(A4546,'Fintech, Regulatory Arbitrage, '!A:A,'Fintech, Regulatory Arbitrage, '!C:C,"")</f>
        <v/>
      </c>
    </row>
    <row r="4547">
      <c r="A4547" s="1" t="s">
        <v>4566</v>
      </c>
      <c r="B4547" s="2">
        <v>5.0</v>
      </c>
      <c r="C4547" s="4"/>
      <c r="E4547" s="4" t="str">
        <f t="array" ref="E4547">XLOOKUP(A4547,'Fintech, Regulatory Arbitrage, '!A:A,'Fintech, Regulatory Arbitrage, '!C:C,"")</f>
        <v/>
      </c>
    </row>
    <row r="4548">
      <c r="A4548" s="1" t="s">
        <v>4567</v>
      </c>
      <c r="B4548" s="2">
        <v>5.0</v>
      </c>
      <c r="C4548" s="4"/>
      <c r="E4548" s="4" t="str">
        <f t="array" ref="E4548">XLOOKUP(A4548,'Fintech, Regulatory Arbitrage, '!A:A,'Fintech, Regulatory Arbitrage, '!C:C,"")</f>
        <v/>
      </c>
    </row>
    <row r="4549">
      <c r="A4549" s="1" t="s">
        <v>4568</v>
      </c>
      <c r="B4549" s="2">
        <v>5.0</v>
      </c>
      <c r="C4549" s="4"/>
      <c r="E4549" s="4" t="str">
        <f t="array" ref="E4549">XLOOKUP(A4549,'Fintech, Regulatory Arbitrage, '!A:A,'Fintech, Regulatory Arbitrage, '!C:C,"")</f>
        <v/>
      </c>
    </row>
    <row r="4550">
      <c r="A4550" s="1" t="s">
        <v>4569</v>
      </c>
      <c r="B4550" s="2">
        <v>5.0</v>
      </c>
      <c r="C4550" s="4"/>
      <c r="E4550" s="4" t="str">
        <f t="array" ref="E4550">XLOOKUP(A4550,'Fintech, Regulatory Arbitrage, '!A:A,'Fintech, Regulatory Arbitrage, '!C:C,"")</f>
        <v/>
      </c>
    </row>
    <row r="4551">
      <c r="A4551" s="1" t="s">
        <v>4570</v>
      </c>
      <c r="B4551" s="2">
        <v>5.0</v>
      </c>
      <c r="C4551" s="4"/>
      <c r="E4551" s="4" t="str">
        <f t="array" ref="E4551">XLOOKUP(A4551,'Fintech, Regulatory Arbitrage, '!A:A,'Fintech, Regulatory Arbitrage, '!C:C,"")</f>
        <v/>
      </c>
    </row>
    <row r="4552">
      <c r="A4552" s="1" t="s">
        <v>4571</v>
      </c>
      <c r="B4552" s="2">
        <v>5.0</v>
      </c>
      <c r="C4552" s="4"/>
      <c r="E4552" s="4" t="str">
        <f t="array" ref="E4552">XLOOKUP(A4552,'Fintech, Regulatory Arbitrage, '!A:A,'Fintech, Regulatory Arbitrage, '!C:C,"")</f>
        <v/>
      </c>
    </row>
    <row r="4553">
      <c r="A4553" s="1" t="s">
        <v>4572</v>
      </c>
      <c r="B4553" s="2">
        <v>5.0</v>
      </c>
      <c r="C4553" s="4"/>
      <c r="E4553" s="4" t="str">
        <f t="array" ref="E4553">XLOOKUP(A4553,'Fintech, Regulatory Arbitrage, '!A:A,'Fintech, Regulatory Arbitrage, '!C:C,"")</f>
        <v/>
      </c>
    </row>
    <row r="4554">
      <c r="A4554" s="1" t="s">
        <v>4573</v>
      </c>
      <c r="B4554" s="2">
        <v>5.0</v>
      </c>
      <c r="C4554" s="4"/>
      <c r="E4554" s="4" t="str">
        <f t="array" ref="E4554">XLOOKUP(A4554,'Fintech, Regulatory Arbitrage, '!A:A,'Fintech, Regulatory Arbitrage, '!C:C,"")</f>
        <v/>
      </c>
    </row>
    <row r="4555">
      <c r="A4555" s="1" t="s">
        <v>4574</v>
      </c>
      <c r="B4555" s="2">
        <v>5.0</v>
      </c>
      <c r="C4555" s="4"/>
      <c r="E4555" s="4" t="str">
        <f t="array" ref="E4555">XLOOKUP(A4555,'Fintech, Regulatory Arbitrage, '!A:A,'Fintech, Regulatory Arbitrage, '!C:C,"")</f>
        <v/>
      </c>
    </row>
    <row r="4556">
      <c r="A4556" s="1" t="s">
        <v>4575</v>
      </c>
      <c r="B4556" s="2">
        <v>5.0</v>
      </c>
      <c r="C4556" s="4"/>
      <c r="E4556" s="4" t="str">
        <f t="array" ref="E4556">XLOOKUP(A4556,'Fintech, Regulatory Arbitrage, '!A:A,'Fintech, Regulatory Arbitrage, '!C:C,"")</f>
        <v/>
      </c>
    </row>
    <row r="4557">
      <c r="A4557" s="1" t="s">
        <v>4576</v>
      </c>
      <c r="B4557" s="2">
        <v>5.0</v>
      </c>
      <c r="C4557" s="4"/>
      <c r="E4557" s="4" t="str">
        <f t="array" ref="E4557">XLOOKUP(A4557,'Fintech, Regulatory Arbitrage, '!A:A,'Fintech, Regulatory Arbitrage, '!C:C,"")</f>
        <v/>
      </c>
    </row>
    <row r="4558">
      <c r="A4558" s="1" t="s">
        <v>4577</v>
      </c>
      <c r="B4558" s="2">
        <v>5.0</v>
      </c>
      <c r="C4558" s="4"/>
      <c r="E4558" s="4" t="str">
        <f t="array" ref="E4558">XLOOKUP(A4558,'Fintech, Regulatory Arbitrage, '!A:A,'Fintech, Regulatory Arbitrage, '!C:C,"")</f>
        <v/>
      </c>
    </row>
    <row r="4559">
      <c r="A4559" s="1" t="s">
        <v>4578</v>
      </c>
      <c r="B4559" s="2">
        <v>5.0</v>
      </c>
      <c r="C4559" s="4"/>
      <c r="E4559" s="4" t="str">
        <f t="array" ref="E4559">XLOOKUP(A4559,'Fintech, Regulatory Arbitrage, '!A:A,'Fintech, Regulatory Arbitrage, '!C:C,"")</f>
        <v/>
      </c>
    </row>
    <row r="4560">
      <c r="A4560" s="1" t="s">
        <v>4579</v>
      </c>
      <c r="B4560" s="2">
        <v>5.0</v>
      </c>
      <c r="C4560" s="4"/>
      <c r="E4560" s="4" t="str">
        <f t="array" ref="E4560">XLOOKUP(A4560,'Fintech, Regulatory Arbitrage, '!A:A,'Fintech, Regulatory Arbitrage, '!C:C,"")</f>
        <v/>
      </c>
    </row>
    <row r="4561">
      <c r="A4561" s="1" t="s">
        <v>4580</v>
      </c>
      <c r="B4561" s="2">
        <v>5.0</v>
      </c>
      <c r="C4561" s="4"/>
      <c r="E4561" s="4" t="str">
        <f t="array" ref="E4561">XLOOKUP(A4561,'Fintech, Regulatory Arbitrage, '!A:A,'Fintech, Regulatory Arbitrage, '!C:C,"")</f>
        <v/>
      </c>
    </row>
    <row r="4562">
      <c r="A4562" s="1" t="s">
        <v>4581</v>
      </c>
      <c r="B4562" s="2">
        <v>5.0</v>
      </c>
      <c r="C4562" s="4"/>
      <c r="E4562" s="4" t="str">
        <f t="array" ref="E4562">XLOOKUP(A4562,'Fintech, Regulatory Arbitrage, '!A:A,'Fintech, Regulatory Arbitrage, '!C:C,"")</f>
        <v/>
      </c>
    </row>
    <row r="4563">
      <c r="A4563" s="1" t="s">
        <v>4582</v>
      </c>
      <c r="B4563" s="2">
        <v>5.0</v>
      </c>
      <c r="C4563" s="4"/>
      <c r="E4563" s="4" t="str">
        <f t="array" ref="E4563">XLOOKUP(A4563,'Fintech, Regulatory Arbitrage, '!A:A,'Fintech, Regulatory Arbitrage, '!C:C,"")</f>
        <v/>
      </c>
    </row>
    <row r="4564">
      <c r="A4564" s="1" t="s">
        <v>4583</v>
      </c>
      <c r="B4564" s="2">
        <v>5.0</v>
      </c>
      <c r="C4564" s="4"/>
      <c r="E4564" s="4" t="str">
        <f t="array" ref="E4564">XLOOKUP(A4564,'Fintech, Regulatory Arbitrage, '!A:A,'Fintech, Regulatory Arbitrage, '!C:C,"")</f>
        <v/>
      </c>
    </row>
    <row r="4565">
      <c r="A4565" s="1" t="s">
        <v>4584</v>
      </c>
      <c r="B4565" s="2">
        <v>5.0</v>
      </c>
      <c r="C4565" s="4"/>
      <c r="E4565" s="4" t="str">
        <f t="array" ref="E4565">XLOOKUP(A4565,'Fintech, Regulatory Arbitrage, '!A:A,'Fintech, Regulatory Arbitrage, '!C:C,"")</f>
        <v/>
      </c>
    </row>
    <row r="4566">
      <c r="A4566" s="1" t="s">
        <v>4585</v>
      </c>
      <c r="B4566" s="2">
        <v>5.0</v>
      </c>
      <c r="C4566" s="4"/>
      <c r="E4566" s="4" t="str">
        <f t="array" ref="E4566">XLOOKUP(A4566,'Fintech, Regulatory Arbitrage, '!A:A,'Fintech, Regulatory Arbitrage, '!C:C,"")</f>
        <v/>
      </c>
    </row>
    <row r="4567">
      <c r="A4567" s="1" t="s">
        <v>4586</v>
      </c>
      <c r="B4567" s="2">
        <v>5.0</v>
      </c>
      <c r="C4567" s="4"/>
      <c r="E4567" s="4" t="str">
        <f t="array" ref="E4567">XLOOKUP(A4567,'Fintech, Regulatory Arbitrage, '!A:A,'Fintech, Regulatory Arbitrage, '!C:C,"")</f>
        <v/>
      </c>
    </row>
    <row r="4568">
      <c r="A4568" s="1" t="s">
        <v>4587</v>
      </c>
      <c r="B4568" s="2">
        <v>5.0</v>
      </c>
      <c r="C4568" s="4"/>
      <c r="E4568" s="4" t="str">
        <f t="array" ref="E4568">XLOOKUP(A4568,'Fintech, Regulatory Arbitrage, '!A:A,'Fintech, Regulatory Arbitrage, '!C:C,"")</f>
        <v/>
      </c>
    </row>
    <row r="4569">
      <c r="A4569" s="1" t="s">
        <v>4588</v>
      </c>
      <c r="B4569" s="2">
        <v>5.0</v>
      </c>
      <c r="C4569" s="4"/>
      <c r="E4569" s="4" t="str">
        <f t="array" ref="E4569">XLOOKUP(A4569,'Fintech, Regulatory Arbitrage, '!A:A,'Fintech, Regulatory Arbitrage, '!C:C,"")</f>
        <v/>
      </c>
    </row>
    <row r="4570">
      <c r="A4570" s="1" t="s">
        <v>4589</v>
      </c>
      <c r="B4570" s="2">
        <v>5.0</v>
      </c>
      <c r="C4570" s="4"/>
      <c r="E4570" s="4" t="str">
        <f t="array" ref="E4570">XLOOKUP(A4570,'Fintech, Regulatory Arbitrage, '!A:A,'Fintech, Regulatory Arbitrage, '!C:C,"")</f>
        <v/>
      </c>
    </row>
    <row r="4571">
      <c r="A4571" s="1" t="s">
        <v>4590</v>
      </c>
      <c r="B4571" s="2">
        <v>5.0</v>
      </c>
      <c r="C4571" s="4"/>
      <c r="E4571" s="4" t="str">
        <f t="array" ref="E4571">XLOOKUP(A4571,'Fintech, Regulatory Arbitrage, '!A:A,'Fintech, Regulatory Arbitrage, '!C:C,"")</f>
        <v/>
      </c>
    </row>
    <row r="4572">
      <c r="A4572" s="1" t="s">
        <v>4591</v>
      </c>
      <c r="B4572" s="2">
        <v>5.0</v>
      </c>
      <c r="C4572" s="4"/>
      <c r="E4572" s="4" t="str">
        <f t="array" ref="E4572">XLOOKUP(A4572,'Fintech, Regulatory Arbitrage, '!A:A,'Fintech, Regulatory Arbitrage, '!C:C,"")</f>
        <v/>
      </c>
    </row>
    <row r="4573">
      <c r="A4573" s="1" t="s">
        <v>4592</v>
      </c>
      <c r="B4573" s="2">
        <v>5.0</v>
      </c>
      <c r="C4573" s="4"/>
      <c r="E4573" s="4" t="str">
        <f t="array" ref="E4573">XLOOKUP(A4573,'Fintech, Regulatory Arbitrage, '!A:A,'Fintech, Regulatory Arbitrage, '!C:C,"")</f>
        <v/>
      </c>
    </row>
    <row r="4574">
      <c r="A4574" s="1" t="s">
        <v>4593</v>
      </c>
      <c r="B4574" s="2">
        <v>5.0</v>
      </c>
      <c r="C4574" s="4"/>
      <c r="E4574" s="4" t="str">
        <f t="array" ref="E4574">XLOOKUP(A4574,'Fintech, Regulatory Arbitrage, '!A:A,'Fintech, Regulatory Arbitrage, '!C:C,"")</f>
        <v/>
      </c>
    </row>
    <row r="4575">
      <c r="A4575" s="1" t="s">
        <v>4594</v>
      </c>
      <c r="B4575" s="2">
        <v>5.0</v>
      </c>
      <c r="C4575" s="4"/>
      <c r="E4575" s="4" t="str">
        <f t="array" ref="E4575">XLOOKUP(A4575,'Fintech, Regulatory Arbitrage, '!A:A,'Fintech, Regulatory Arbitrage, '!C:C,"")</f>
        <v/>
      </c>
    </row>
    <row r="4576">
      <c r="A4576" s="1" t="s">
        <v>4595</v>
      </c>
      <c r="B4576" s="2">
        <v>5.0</v>
      </c>
      <c r="C4576" s="4"/>
      <c r="E4576" s="4" t="str">
        <f t="array" ref="E4576">XLOOKUP(A4576,'Fintech, Regulatory Arbitrage, '!A:A,'Fintech, Regulatory Arbitrage, '!C:C,"")</f>
        <v/>
      </c>
    </row>
    <row r="4577">
      <c r="A4577" s="1" t="s">
        <v>4596</v>
      </c>
      <c r="B4577" s="2">
        <v>5.0</v>
      </c>
      <c r="C4577" s="4"/>
      <c r="E4577" s="4" t="str">
        <f t="array" ref="E4577">XLOOKUP(A4577,'Fintech, Regulatory Arbitrage, '!A:A,'Fintech, Regulatory Arbitrage, '!C:C,"")</f>
        <v/>
      </c>
    </row>
    <row r="4578">
      <c r="A4578" s="1" t="s">
        <v>4597</v>
      </c>
      <c r="B4578" s="2">
        <v>5.0</v>
      </c>
      <c r="C4578" s="4"/>
      <c r="E4578" s="4" t="str">
        <f t="array" ref="E4578">XLOOKUP(A4578,'Fintech, Regulatory Arbitrage, '!A:A,'Fintech, Regulatory Arbitrage, '!C:C,"")</f>
        <v/>
      </c>
    </row>
    <row r="4579">
      <c r="A4579" s="1" t="s">
        <v>4598</v>
      </c>
      <c r="B4579" s="2">
        <v>5.0</v>
      </c>
      <c r="C4579" s="4"/>
      <c r="E4579" s="4" t="str">
        <f t="array" ref="E4579">XLOOKUP(A4579,'Fintech, Regulatory Arbitrage, '!A:A,'Fintech, Regulatory Arbitrage, '!C:C,"")</f>
        <v/>
      </c>
    </row>
    <row r="4580">
      <c r="A4580" s="1" t="s">
        <v>4599</v>
      </c>
      <c r="B4580" s="2">
        <v>5.0</v>
      </c>
      <c r="C4580" s="4"/>
      <c r="E4580" s="4" t="str">
        <f t="array" ref="E4580">XLOOKUP(A4580,'Fintech, Regulatory Arbitrage, '!A:A,'Fintech, Regulatory Arbitrage, '!C:C,"")</f>
        <v/>
      </c>
    </row>
    <row r="4581">
      <c r="A4581" s="1" t="s">
        <v>4600</v>
      </c>
      <c r="B4581" s="2">
        <v>5.0</v>
      </c>
      <c r="C4581" s="4"/>
      <c r="E4581" s="4" t="str">
        <f t="array" ref="E4581">XLOOKUP(A4581,'Fintech, Regulatory Arbitrage, '!A:A,'Fintech, Regulatory Arbitrage, '!C:C,"")</f>
        <v/>
      </c>
    </row>
    <row r="4582">
      <c r="A4582" s="1" t="s">
        <v>4601</v>
      </c>
      <c r="B4582" s="2">
        <v>5.0</v>
      </c>
      <c r="C4582" s="4"/>
      <c r="E4582" s="4" t="str">
        <f t="array" ref="E4582">XLOOKUP(A4582,'Fintech, Regulatory Arbitrage, '!A:A,'Fintech, Regulatory Arbitrage, '!C:C,"")</f>
        <v/>
      </c>
    </row>
    <row r="4583">
      <c r="A4583" s="1" t="s">
        <v>4602</v>
      </c>
      <c r="B4583" s="2">
        <v>5.0</v>
      </c>
      <c r="C4583" s="4"/>
      <c r="E4583" s="4" t="str">
        <f t="array" ref="E4583">XLOOKUP(A4583,'Fintech, Regulatory Arbitrage, '!A:A,'Fintech, Regulatory Arbitrage, '!C:C,"")</f>
        <v/>
      </c>
    </row>
    <row r="4584">
      <c r="A4584" s="1" t="s">
        <v>4603</v>
      </c>
      <c r="B4584" s="2">
        <v>5.0</v>
      </c>
      <c r="C4584" s="4"/>
      <c r="E4584" s="4" t="str">
        <f t="array" ref="E4584">XLOOKUP(A4584,'Fintech, Regulatory Arbitrage, '!A:A,'Fintech, Regulatory Arbitrage, '!C:C,"")</f>
        <v/>
      </c>
    </row>
    <row r="4585">
      <c r="A4585" s="1" t="s">
        <v>4604</v>
      </c>
      <c r="B4585" s="2">
        <v>5.0</v>
      </c>
      <c r="C4585" s="4"/>
      <c r="E4585" s="4" t="str">
        <f t="array" ref="E4585">XLOOKUP(A4585,'Fintech, Regulatory Arbitrage, '!A:A,'Fintech, Regulatory Arbitrage, '!C:C,"")</f>
        <v/>
      </c>
    </row>
    <row r="4586">
      <c r="A4586" s="1" t="s">
        <v>4605</v>
      </c>
      <c r="B4586" s="2">
        <v>5.0</v>
      </c>
      <c r="C4586" s="4"/>
      <c r="E4586" s="4" t="str">
        <f t="array" ref="E4586">XLOOKUP(A4586,'Fintech, Regulatory Arbitrage, '!A:A,'Fintech, Regulatory Arbitrage, '!C:C,"")</f>
        <v/>
      </c>
    </row>
    <row r="4587">
      <c r="A4587" s="1" t="s">
        <v>4606</v>
      </c>
      <c r="B4587" s="2">
        <v>5.0</v>
      </c>
      <c r="C4587" s="4"/>
      <c r="E4587" s="4" t="str">
        <f t="array" ref="E4587">XLOOKUP(A4587,'Fintech, Regulatory Arbitrage, '!A:A,'Fintech, Regulatory Arbitrage, '!C:C,"")</f>
        <v/>
      </c>
    </row>
    <row r="4588">
      <c r="A4588" s="1" t="s">
        <v>4607</v>
      </c>
      <c r="B4588" s="2">
        <v>5.0</v>
      </c>
      <c r="C4588" s="4"/>
      <c r="E4588" s="4" t="str">
        <f t="array" ref="E4588">XLOOKUP(A4588,'Fintech, Regulatory Arbitrage, '!A:A,'Fintech, Regulatory Arbitrage, '!C:C,"")</f>
        <v/>
      </c>
    </row>
    <row r="4589">
      <c r="A4589" s="1" t="s">
        <v>4608</v>
      </c>
      <c r="B4589" s="2">
        <v>5.0</v>
      </c>
      <c r="C4589" s="4"/>
      <c r="E4589" s="4" t="str">
        <f t="array" ref="E4589">XLOOKUP(A4589,'Fintech, Regulatory Arbitrage, '!A:A,'Fintech, Regulatory Arbitrage, '!C:C,"")</f>
        <v/>
      </c>
    </row>
    <row r="4590">
      <c r="A4590" s="1" t="s">
        <v>4609</v>
      </c>
      <c r="B4590" s="2">
        <v>5.0</v>
      </c>
      <c r="C4590" s="4"/>
      <c r="E4590" s="4" t="str">
        <f t="array" ref="E4590">XLOOKUP(A4590,'Fintech, Regulatory Arbitrage, '!A:A,'Fintech, Regulatory Arbitrage, '!C:C,"")</f>
        <v/>
      </c>
    </row>
    <row r="4591">
      <c r="A4591" s="1" t="s">
        <v>4610</v>
      </c>
      <c r="B4591" s="2">
        <v>5.0</v>
      </c>
      <c r="C4591" s="4"/>
      <c r="E4591" s="4" t="str">
        <f t="array" ref="E4591">XLOOKUP(A4591,'Fintech, Regulatory Arbitrage, '!A:A,'Fintech, Regulatory Arbitrage, '!C:C,"")</f>
        <v/>
      </c>
    </row>
    <row r="4592">
      <c r="A4592" s="1" t="s">
        <v>4611</v>
      </c>
      <c r="B4592" s="2">
        <v>5.0</v>
      </c>
      <c r="C4592" s="4"/>
      <c r="E4592" s="4" t="str">
        <f t="array" ref="E4592">XLOOKUP(A4592,'Fintech, Regulatory Arbitrage, '!A:A,'Fintech, Regulatory Arbitrage, '!C:C,"")</f>
        <v/>
      </c>
    </row>
    <row r="4593">
      <c r="A4593" s="1" t="s">
        <v>4612</v>
      </c>
      <c r="B4593" s="2">
        <v>5.0</v>
      </c>
      <c r="C4593" s="4"/>
      <c r="E4593" s="4" t="str">
        <f t="array" ref="E4593">XLOOKUP(A4593,'Fintech, Regulatory Arbitrage, '!A:A,'Fintech, Regulatory Arbitrage, '!C:C,"")</f>
        <v/>
      </c>
    </row>
    <row r="4594">
      <c r="A4594" s="1" t="s">
        <v>4613</v>
      </c>
      <c r="B4594" s="2">
        <v>5.0</v>
      </c>
      <c r="C4594" s="4"/>
      <c r="E4594" s="4" t="str">
        <f t="array" ref="E4594">XLOOKUP(A4594,'Fintech, Regulatory Arbitrage, '!A:A,'Fintech, Regulatory Arbitrage, '!C:C,"")</f>
        <v/>
      </c>
    </row>
    <row r="4595">
      <c r="A4595" s="1" t="s">
        <v>4614</v>
      </c>
      <c r="B4595" s="2">
        <v>5.0</v>
      </c>
      <c r="C4595" s="4"/>
      <c r="E4595" s="4" t="str">
        <f t="array" ref="E4595">XLOOKUP(A4595,'Fintech, Regulatory Arbitrage, '!A:A,'Fintech, Regulatory Arbitrage, '!C:C,"")</f>
        <v/>
      </c>
    </row>
    <row r="4596">
      <c r="A4596" s="1" t="s">
        <v>4615</v>
      </c>
      <c r="B4596" s="2">
        <v>5.0</v>
      </c>
      <c r="C4596" s="4"/>
      <c r="E4596" s="4" t="str">
        <f t="array" ref="E4596">XLOOKUP(A4596,'Fintech, Regulatory Arbitrage, '!A:A,'Fintech, Regulatory Arbitrage, '!C:C,"")</f>
        <v/>
      </c>
    </row>
    <row r="4597">
      <c r="A4597" s="1" t="s">
        <v>4616</v>
      </c>
      <c r="B4597" s="2">
        <v>5.0</v>
      </c>
      <c r="C4597" s="4"/>
      <c r="E4597" s="4" t="str">
        <f t="array" ref="E4597">XLOOKUP(A4597,'Fintech, Regulatory Arbitrage, '!A:A,'Fintech, Regulatory Arbitrage, '!C:C,"")</f>
        <v/>
      </c>
    </row>
    <row r="4598">
      <c r="A4598" s="1" t="s">
        <v>4617</v>
      </c>
      <c r="B4598" s="2">
        <v>5.0</v>
      </c>
      <c r="C4598" s="4"/>
      <c r="E4598" s="4" t="str">
        <f t="array" ref="E4598">XLOOKUP(A4598,'Fintech, Regulatory Arbitrage, '!A:A,'Fintech, Regulatory Arbitrage, '!C:C,"")</f>
        <v/>
      </c>
    </row>
    <row r="4599">
      <c r="A4599" s="1" t="s">
        <v>4618</v>
      </c>
      <c r="B4599" s="2">
        <v>5.0</v>
      </c>
      <c r="C4599" s="4"/>
      <c r="E4599" s="4" t="str">
        <f t="array" ref="E4599">XLOOKUP(A4599,'Fintech, Regulatory Arbitrage, '!A:A,'Fintech, Regulatory Arbitrage, '!C:C,"")</f>
        <v/>
      </c>
    </row>
    <row r="4600">
      <c r="A4600" s="1" t="s">
        <v>4619</v>
      </c>
      <c r="B4600" s="2">
        <v>5.0</v>
      </c>
      <c r="C4600" s="4"/>
      <c r="E4600" s="4" t="str">
        <f t="array" ref="E4600">XLOOKUP(A4600,'Fintech, Regulatory Arbitrage, '!A:A,'Fintech, Regulatory Arbitrage, '!C:C,"")</f>
        <v/>
      </c>
    </row>
    <row r="4601">
      <c r="A4601" s="1" t="s">
        <v>4620</v>
      </c>
      <c r="B4601" s="2">
        <v>5.0</v>
      </c>
      <c r="C4601" s="4"/>
      <c r="E4601" s="4" t="str">
        <f t="array" ref="E4601">XLOOKUP(A4601,'Fintech, Regulatory Arbitrage, '!A:A,'Fintech, Regulatory Arbitrage, '!C:C,"")</f>
        <v/>
      </c>
    </row>
    <row r="4602">
      <c r="A4602" s="1" t="s">
        <v>4621</v>
      </c>
      <c r="B4602" s="2">
        <v>5.0</v>
      </c>
      <c r="C4602" s="4"/>
      <c r="E4602" s="4" t="str">
        <f t="array" ref="E4602">XLOOKUP(A4602,'Fintech, Regulatory Arbitrage, '!A:A,'Fintech, Regulatory Arbitrage, '!C:C,"")</f>
        <v/>
      </c>
    </row>
    <row r="4603">
      <c r="A4603" s="1" t="s">
        <v>4622</v>
      </c>
      <c r="B4603" s="2">
        <v>5.0</v>
      </c>
      <c r="C4603" s="4"/>
      <c r="E4603" s="4" t="str">
        <f t="array" ref="E4603">XLOOKUP(A4603,'Fintech, Regulatory Arbitrage, '!A:A,'Fintech, Regulatory Arbitrage, '!C:C,"")</f>
        <v/>
      </c>
    </row>
    <row r="4604">
      <c r="A4604" s="1" t="s">
        <v>4623</v>
      </c>
      <c r="B4604" s="2">
        <v>5.0</v>
      </c>
      <c r="C4604" s="4"/>
      <c r="E4604" s="4" t="str">
        <f t="array" ref="E4604">XLOOKUP(A4604,'Fintech, Regulatory Arbitrage, '!A:A,'Fintech, Regulatory Arbitrage, '!C:C,"")</f>
        <v/>
      </c>
    </row>
    <row r="4605">
      <c r="A4605" s="1" t="s">
        <v>4624</v>
      </c>
      <c r="B4605" s="2">
        <v>5.0</v>
      </c>
      <c r="C4605" s="4"/>
      <c r="E4605" s="4" t="str">
        <f t="array" ref="E4605">XLOOKUP(A4605,'Fintech, Regulatory Arbitrage, '!A:A,'Fintech, Regulatory Arbitrage, '!C:C,"")</f>
        <v/>
      </c>
    </row>
    <row r="4606">
      <c r="A4606" s="1" t="s">
        <v>4625</v>
      </c>
      <c r="B4606" s="2">
        <v>5.0</v>
      </c>
      <c r="C4606" s="4"/>
      <c r="E4606" s="4" t="str">
        <f t="array" ref="E4606">XLOOKUP(A4606,'Fintech, Regulatory Arbitrage, '!A:A,'Fintech, Regulatory Arbitrage, '!C:C,"")</f>
        <v/>
      </c>
    </row>
    <row r="4607">
      <c r="A4607" s="1" t="s">
        <v>4626</v>
      </c>
      <c r="B4607" s="2">
        <v>5.0</v>
      </c>
      <c r="C4607" s="4"/>
      <c r="E4607" s="4" t="str">
        <f t="array" ref="E4607">XLOOKUP(A4607,'Fintech, Regulatory Arbitrage, '!A:A,'Fintech, Regulatory Arbitrage, '!C:C,"")</f>
        <v/>
      </c>
    </row>
    <row r="4608">
      <c r="A4608" s="1" t="s">
        <v>4627</v>
      </c>
      <c r="B4608" s="2">
        <v>5.0</v>
      </c>
      <c r="C4608" s="4"/>
      <c r="E4608" s="4" t="str">
        <f t="array" ref="E4608">XLOOKUP(A4608,'Fintech, Regulatory Arbitrage, '!A:A,'Fintech, Regulatory Arbitrage, '!C:C,"")</f>
        <v/>
      </c>
    </row>
    <row r="4609">
      <c r="A4609" s="1" t="s">
        <v>4628</v>
      </c>
      <c r="B4609" s="2">
        <v>5.0</v>
      </c>
      <c r="C4609" s="4"/>
      <c r="E4609" s="4" t="str">
        <f t="array" ref="E4609">XLOOKUP(A4609,'Fintech, Regulatory Arbitrage, '!A:A,'Fintech, Regulatory Arbitrage, '!C:C,"")</f>
        <v/>
      </c>
    </row>
    <row r="4610">
      <c r="A4610" s="1" t="s">
        <v>4629</v>
      </c>
      <c r="B4610" s="2">
        <v>5.0</v>
      </c>
      <c r="C4610" s="4"/>
      <c r="E4610" s="4" t="str">
        <f t="array" ref="E4610">XLOOKUP(A4610,'Fintech, Regulatory Arbitrage, '!A:A,'Fintech, Regulatory Arbitrage, '!C:C,"")</f>
        <v/>
      </c>
    </row>
    <row r="4611">
      <c r="A4611" s="1" t="s">
        <v>4630</v>
      </c>
      <c r="B4611" s="2">
        <v>5.0</v>
      </c>
      <c r="C4611" s="4"/>
      <c r="E4611" s="4" t="str">
        <f t="array" ref="E4611">XLOOKUP(A4611,'Fintech, Regulatory Arbitrage, '!A:A,'Fintech, Regulatory Arbitrage, '!C:C,"")</f>
        <v/>
      </c>
    </row>
    <row r="4612">
      <c r="A4612" s="1" t="s">
        <v>4631</v>
      </c>
      <c r="B4612" s="2">
        <v>5.0</v>
      </c>
      <c r="C4612" s="4"/>
      <c r="E4612" s="4" t="str">
        <f t="array" ref="E4612">XLOOKUP(A4612,'Fintech, Regulatory Arbitrage, '!A:A,'Fintech, Regulatory Arbitrage, '!C:C,"")</f>
        <v/>
      </c>
    </row>
    <row r="4613">
      <c r="A4613" s="1" t="s">
        <v>4632</v>
      </c>
      <c r="B4613" s="2">
        <v>5.0</v>
      </c>
      <c r="C4613" s="4"/>
      <c r="E4613" s="4" t="str">
        <f t="array" ref="E4613">XLOOKUP(A4613,'Fintech, Regulatory Arbitrage, '!A:A,'Fintech, Regulatory Arbitrage, '!C:C,"")</f>
        <v/>
      </c>
    </row>
    <row r="4614">
      <c r="A4614" s="1" t="s">
        <v>4633</v>
      </c>
      <c r="B4614" s="2">
        <v>5.0</v>
      </c>
      <c r="C4614" s="4"/>
      <c r="E4614" s="4" t="str">
        <f t="array" ref="E4614">XLOOKUP(A4614,'Fintech, Regulatory Arbitrage, '!A:A,'Fintech, Regulatory Arbitrage, '!C:C,"")</f>
        <v/>
      </c>
    </row>
    <row r="4615">
      <c r="A4615" s="1" t="s">
        <v>4634</v>
      </c>
      <c r="B4615" s="2">
        <v>5.0</v>
      </c>
      <c r="C4615" s="4"/>
      <c r="E4615" s="4" t="str">
        <f t="array" ref="E4615">XLOOKUP(A4615,'Fintech, Regulatory Arbitrage, '!A:A,'Fintech, Regulatory Arbitrage, '!C:C,"")</f>
        <v/>
      </c>
    </row>
    <row r="4616">
      <c r="A4616" s="1" t="s">
        <v>4635</v>
      </c>
      <c r="B4616" s="2">
        <v>5.0</v>
      </c>
      <c r="C4616" s="4"/>
      <c r="E4616" s="4" t="str">
        <f t="array" ref="E4616">XLOOKUP(A4616,'Fintech, Regulatory Arbitrage, '!A:A,'Fintech, Regulatory Arbitrage, '!C:C,"")</f>
        <v/>
      </c>
    </row>
    <row r="4617">
      <c r="A4617" s="1" t="s">
        <v>4636</v>
      </c>
      <c r="B4617" s="2">
        <v>5.0</v>
      </c>
      <c r="C4617" s="4"/>
      <c r="E4617" s="4" t="str">
        <f t="array" ref="E4617">XLOOKUP(A4617,'Fintech, Regulatory Arbitrage, '!A:A,'Fintech, Regulatory Arbitrage, '!C:C,"")</f>
        <v/>
      </c>
    </row>
    <row r="4618">
      <c r="A4618" s="1" t="s">
        <v>4637</v>
      </c>
      <c r="B4618" s="2">
        <v>5.0</v>
      </c>
      <c r="C4618" s="4"/>
      <c r="E4618" s="4" t="str">
        <f t="array" ref="E4618">XLOOKUP(A4618,'Fintech, Regulatory Arbitrage, '!A:A,'Fintech, Regulatory Arbitrage, '!C:C,"")</f>
        <v/>
      </c>
    </row>
    <row r="4619">
      <c r="A4619" s="1" t="s">
        <v>4638</v>
      </c>
      <c r="B4619" s="2">
        <v>5.0</v>
      </c>
      <c r="C4619" s="4"/>
      <c r="E4619" s="4" t="str">
        <f t="array" ref="E4619">XLOOKUP(A4619,'Fintech, Regulatory Arbitrage, '!A:A,'Fintech, Regulatory Arbitrage, '!C:C,"")</f>
        <v/>
      </c>
    </row>
    <row r="4620">
      <c r="A4620" s="1" t="s">
        <v>4639</v>
      </c>
      <c r="B4620" s="2">
        <v>5.0</v>
      </c>
      <c r="C4620" s="4"/>
      <c r="E4620" s="4" t="str">
        <f t="array" ref="E4620">XLOOKUP(A4620,'Fintech, Regulatory Arbitrage, '!A:A,'Fintech, Regulatory Arbitrage, '!C:C,"")</f>
        <v/>
      </c>
    </row>
    <row r="4621">
      <c r="A4621" s="1" t="s">
        <v>4640</v>
      </c>
      <c r="B4621" s="2">
        <v>5.0</v>
      </c>
      <c r="C4621" s="4"/>
      <c r="E4621" s="4" t="str">
        <f t="array" ref="E4621">XLOOKUP(A4621,'Fintech, Regulatory Arbitrage, '!A:A,'Fintech, Regulatory Arbitrage, '!C:C,"")</f>
        <v/>
      </c>
    </row>
    <row r="4622">
      <c r="A4622" s="1" t="s">
        <v>4641</v>
      </c>
      <c r="B4622" s="2">
        <v>5.0</v>
      </c>
      <c r="C4622" s="4"/>
      <c r="E4622" s="4" t="str">
        <f t="array" ref="E4622">XLOOKUP(A4622,'Fintech, Regulatory Arbitrage, '!A:A,'Fintech, Regulatory Arbitrage, '!C:C,"")</f>
        <v/>
      </c>
    </row>
    <row r="4623">
      <c r="A4623" s="1" t="s">
        <v>4642</v>
      </c>
      <c r="B4623" s="2">
        <v>5.0</v>
      </c>
      <c r="C4623" s="4"/>
      <c r="E4623" s="4" t="str">
        <f t="array" ref="E4623">XLOOKUP(A4623,'Fintech, Regulatory Arbitrage, '!A:A,'Fintech, Regulatory Arbitrage, '!C:C,"")</f>
        <v/>
      </c>
    </row>
    <row r="4624">
      <c r="A4624" s="1" t="s">
        <v>4643</v>
      </c>
      <c r="B4624" s="2">
        <v>5.0</v>
      </c>
      <c r="C4624" s="4"/>
      <c r="E4624" s="4" t="str">
        <f t="array" ref="E4624">XLOOKUP(A4624,'Fintech, Regulatory Arbitrage, '!A:A,'Fintech, Regulatory Arbitrage, '!C:C,"")</f>
        <v/>
      </c>
    </row>
    <row r="4625">
      <c r="A4625" s="1" t="s">
        <v>4644</v>
      </c>
      <c r="B4625" s="2">
        <v>5.0</v>
      </c>
      <c r="C4625" s="4"/>
      <c r="E4625" s="4" t="str">
        <f t="array" ref="E4625">XLOOKUP(A4625,'Fintech, Regulatory Arbitrage, '!A:A,'Fintech, Regulatory Arbitrage, '!C:C,"")</f>
        <v/>
      </c>
    </row>
    <row r="4626">
      <c r="A4626" s="1" t="s">
        <v>4645</v>
      </c>
      <c r="B4626" s="2">
        <v>5.0</v>
      </c>
      <c r="C4626" s="4"/>
      <c r="E4626" s="4" t="str">
        <f t="array" ref="E4626">XLOOKUP(A4626,'Fintech, Regulatory Arbitrage, '!A:A,'Fintech, Regulatory Arbitrage, '!C:C,"")</f>
        <v/>
      </c>
    </row>
    <row r="4627">
      <c r="A4627" s="1" t="s">
        <v>4646</v>
      </c>
      <c r="B4627" s="2">
        <v>5.0</v>
      </c>
      <c r="C4627" s="4"/>
      <c r="E4627" s="4" t="str">
        <f t="array" ref="E4627">XLOOKUP(A4627,'Fintech, Regulatory Arbitrage, '!A:A,'Fintech, Regulatory Arbitrage, '!C:C,"")</f>
        <v/>
      </c>
    </row>
    <row r="4628">
      <c r="A4628" s="1" t="s">
        <v>4647</v>
      </c>
      <c r="B4628" s="2">
        <v>5.0</v>
      </c>
      <c r="C4628" s="4"/>
      <c r="E4628" s="4" t="str">
        <f t="array" ref="E4628">XLOOKUP(A4628,'Fintech, Regulatory Arbitrage, '!A:A,'Fintech, Regulatory Arbitrage, '!C:C,"")</f>
        <v/>
      </c>
    </row>
    <row r="4629">
      <c r="A4629" s="1" t="s">
        <v>4648</v>
      </c>
      <c r="B4629" s="2">
        <v>5.0</v>
      </c>
      <c r="C4629" s="4"/>
      <c r="E4629" s="4" t="str">
        <f t="array" ref="E4629">XLOOKUP(A4629,'Fintech, Regulatory Arbitrage, '!A:A,'Fintech, Regulatory Arbitrage, '!C:C,"")</f>
        <v/>
      </c>
    </row>
    <row r="4630">
      <c r="A4630" s="1" t="s">
        <v>4649</v>
      </c>
      <c r="B4630" s="2">
        <v>5.0</v>
      </c>
      <c r="C4630" s="4"/>
      <c r="E4630" s="4" t="str">
        <f t="array" ref="E4630">XLOOKUP(A4630,'Fintech, Regulatory Arbitrage, '!A:A,'Fintech, Regulatory Arbitrage, '!C:C,"")</f>
        <v/>
      </c>
    </row>
    <row r="4631">
      <c r="A4631" s="1" t="s">
        <v>4650</v>
      </c>
      <c r="B4631" s="2">
        <v>5.0</v>
      </c>
      <c r="C4631" s="4"/>
      <c r="E4631" s="4" t="str">
        <f t="array" ref="E4631">XLOOKUP(A4631,'Fintech, Regulatory Arbitrage, '!A:A,'Fintech, Regulatory Arbitrage, '!C:C,"")</f>
        <v/>
      </c>
    </row>
    <row r="4632">
      <c r="A4632" s="1" t="s">
        <v>4651</v>
      </c>
      <c r="B4632" s="2">
        <v>5.0</v>
      </c>
      <c r="C4632" s="4"/>
      <c r="E4632" s="4" t="str">
        <f t="array" ref="E4632">XLOOKUP(A4632,'Fintech, Regulatory Arbitrage, '!A:A,'Fintech, Regulatory Arbitrage, '!C:C,"")</f>
        <v/>
      </c>
    </row>
    <row r="4633">
      <c r="A4633" s="1" t="s">
        <v>4652</v>
      </c>
      <c r="B4633" s="2">
        <v>5.0</v>
      </c>
      <c r="C4633" s="4"/>
      <c r="E4633" s="4" t="str">
        <f t="array" ref="E4633">XLOOKUP(A4633,'Fintech, Regulatory Arbitrage, '!A:A,'Fintech, Regulatory Arbitrage, '!C:C,"")</f>
        <v/>
      </c>
    </row>
    <row r="4634">
      <c r="A4634" s="1" t="s">
        <v>4653</v>
      </c>
      <c r="B4634" s="2">
        <v>5.0</v>
      </c>
      <c r="C4634" s="4"/>
      <c r="E4634" s="4" t="str">
        <f t="array" ref="E4634">XLOOKUP(A4634,'Fintech, Regulatory Arbitrage, '!A:A,'Fintech, Regulatory Arbitrage, '!C:C,"")</f>
        <v/>
      </c>
    </row>
    <row r="4635">
      <c r="A4635" s="1" t="s">
        <v>4654</v>
      </c>
      <c r="B4635" s="2">
        <v>5.0</v>
      </c>
      <c r="C4635" s="4"/>
      <c r="E4635" s="4" t="str">
        <f t="array" ref="E4635">XLOOKUP(A4635,'Fintech, Regulatory Arbitrage, '!A:A,'Fintech, Regulatory Arbitrage, '!C:C,"")</f>
        <v/>
      </c>
    </row>
    <row r="4636">
      <c r="A4636" s="1" t="s">
        <v>4655</v>
      </c>
      <c r="B4636" s="2">
        <v>5.0</v>
      </c>
      <c r="C4636" s="4"/>
      <c r="E4636" s="4" t="str">
        <f t="array" ref="E4636">XLOOKUP(A4636,'Fintech, Regulatory Arbitrage, '!A:A,'Fintech, Regulatory Arbitrage, '!C:C,"")</f>
        <v/>
      </c>
    </row>
    <row r="4637">
      <c r="A4637" s="1" t="s">
        <v>4656</v>
      </c>
      <c r="B4637" s="2">
        <v>5.0</v>
      </c>
      <c r="C4637" s="4"/>
      <c r="E4637" s="4" t="str">
        <f t="array" ref="E4637">XLOOKUP(A4637,'Fintech, Regulatory Arbitrage, '!A:A,'Fintech, Regulatory Arbitrage, '!C:C,"")</f>
        <v/>
      </c>
    </row>
    <row r="4638">
      <c r="A4638" s="1" t="s">
        <v>4657</v>
      </c>
      <c r="B4638" s="2">
        <v>5.0</v>
      </c>
      <c r="C4638" s="4"/>
      <c r="E4638" s="4" t="str">
        <f t="array" ref="E4638">XLOOKUP(A4638,'Fintech, Regulatory Arbitrage, '!A:A,'Fintech, Regulatory Arbitrage, '!C:C,"")</f>
        <v/>
      </c>
    </row>
    <row r="4639">
      <c r="A4639" s="1" t="s">
        <v>4658</v>
      </c>
      <c r="B4639" s="2">
        <v>5.0</v>
      </c>
      <c r="C4639" s="4"/>
      <c r="E4639" s="4" t="str">
        <f t="array" ref="E4639">XLOOKUP(A4639,'Fintech, Regulatory Arbitrage, '!A:A,'Fintech, Regulatory Arbitrage, '!C:C,"")</f>
        <v/>
      </c>
    </row>
    <row r="4640">
      <c r="A4640" s="1" t="s">
        <v>4659</v>
      </c>
      <c r="B4640" s="2">
        <v>5.0</v>
      </c>
      <c r="C4640" s="4"/>
      <c r="E4640" s="4" t="str">
        <f t="array" ref="E4640">XLOOKUP(A4640,'Fintech, Regulatory Arbitrage, '!A:A,'Fintech, Regulatory Arbitrage, '!C:C,"")</f>
        <v/>
      </c>
    </row>
    <row r="4641">
      <c r="A4641" s="1" t="s">
        <v>4660</v>
      </c>
      <c r="B4641" s="2">
        <v>5.0</v>
      </c>
      <c r="C4641" s="4"/>
      <c r="E4641" s="4" t="str">
        <f t="array" ref="E4641">XLOOKUP(A4641,'Fintech, Regulatory Arbitrage, '!A:A,'Fintech, Regulatory Arbitrage, '!C:C,"")</f>
        <v/>
      </c>
    </row>
    <row r="4642">
      <c r="A4642" s="1" t="s">
        <v>4661</v>
      </c>
      <c r="B4642" s="2">
        <v>5.0</v>
      </c>
      <c r="C4642" s="4"/>
      <c r="E4642" s="4" t="str">
        <f t="array" ref="E4642">XLOOKUP(A4642,'Fintech, Regulatory Arbitrage, '!A:A,'Fintech, Regulatory Arbitrage, '!C:C,"")</f>
        <v/>
      </c>
    </row>
    <row r="4643">
      <c r="A4643" s="1" t="s">
        <v>4662</v>
      </c>
      <c r="B4643" s="2">
        <v>5.0</v>
      </c>
      <c r="C4643" s="4"/>
      <c r="E4643" s="4" t="str">
        <f t="array" ref="E4643">XLOOKUP(A4643,'Fintech, Regulatory Arbitrage, '!A:A,'Fintech, Regulatory Arbitrage, '!C:C,"")</f>
        <v/>
      </c>
    </row>
    <row r="4644">
      <c r="A4644" s="1" t="s">
        <v>4663</v>
      </c>
      <c r="B4644" s="2">
        <v>5.0</v>
      </c>
      <c r="C4644" s="4"/>
      <c r="E4644" s="4" t="str">
        <f t="array" ref="E4644">XLOOKUP(A4644,'Fintech, Regulatory Arbitrage, '!A:A,'Fintech, Regulatory Arbitrage, '!C:C,"")</f>
        <v/>
      </c>
    </row>
    <row r="4645">
      <c r="A4645" s="1" t="s">
        <v>4664</v>
      </c>
      <c r="B4645" s="2">
        <v>5.0</v>
      </c>
      <c r="C4645" s="4"/>
      <c r="E4645" s="4" t="str">
        <f t="array" ref="E4645">XLOOKUP(A4645,'Fintech, Regulatory Arbitrage, '!A:A,'Fintech, Regulatory Arbitrage, '!C:C,"")</f>
        <v/>
      </c>
    </row>
    <row r="4646">
      <c r="A4646" s="1" t="s">
        <v>4665</v>
      </c>
      <c r="B4646" s="2">
        <v>5.0</v>
      </c>
      <c r="C4646" s="4"/>
      <c r="E4646" s="4" t="str">
        <f t="array" ref="E4646">XLOOKUP(A4646,'Fintech, Regulatory Arbitrage, '!A:A,'Fintech, Regulatory Arbitrage, '!C:C,"")</f>
        <v/>
      </c>
    </row>
    <row r="4647">
      <c r="A4647" s="1" t="s">
        <v>4666</v>
      </c>
      <c r="B4647" s="2">
        <v>5.0</v>
      </c>
      <c r="C4647" s="4"/>
      <c r="E4647" s="4" t="str">
        <f t="array" ref="E4647">XLOOKUP(A4647,'Fintech, Regulatory Arbitrage, '!A:A,'Fintech, Regulatory Arbitrage, '!C:C,"")</f>
        <v/>
      </c>
    </row>
    <row r="4648">
      <c r="A4648" s="1" t="s">
        <v>4667</v>
      </c>
      <c r="B4648" s="2">
        <v>5.0</v>
      </c>
      <c r="C4648" s="4"/>
      <c r="E4648" s="4" t="str">
        <f t="array" ref="E4648">XLOOKUP(A4648,'Fintech, Regulatory Arbitrage, '!A:A,'Fintech, Regulatory Arbitrage, '!C:C,"")</f>
        <v/>
      </c>
    </row>
    <row r="4649">
      <c r="A4649" s="1" t="s">
        <v>4668</v>
      </c>
      <c r="B4649" s="2">
        <v>5.0</v>
      </c>
      <c r="C4649" s="4"/>
      <c r="E4649" s="4" t="str">
        <f t="array" ref="E4649">XLOOKUP(A4649,'Fintech, Regulatory Arbitrage, '!A:A,'Fintech, Regulatory Arbitrage, '!C:C,"")</f>
        <v/>
      </c>
    </row>
    <row r="4650">
      <c r="A4650" s="1" t="s">
        <v>4669</v>
      </c>
      <c r="B4650" s="2">
        <v>5.0</v>
      </c>
      <c r="C4650" s="4"/>
      <c r="E4650" s="4" t="str">
        <f t="array" ref="E4650">XLOOKUP(A4650,'Fintech, Regulatory Arbitrage, '!A:A,'Fintech, Regulatory Arbitrage, '!C:C,"")</f>
        <v/>
      </c>
    </row>
    <row r="4651">
      <c r="A4651" s="1" t="s">
        <v>4670</v>
      </c>
      <c r="B4651" s="2">
        <v>5.0</v>
      </c>
      <c r="C4651" s="4"/>
      <c r="E4651" s="4" t="str">
        <f t="array" ref="E4651">XLOOKUP(A4651,'Fintech, Regulatory Arbitrage, '!A:A,'Fintech, Regulatory Arbitrage, '!C:C,"")</f>
        <v/>
      </c>
    </row>
    <row r="4652">
      <c r="A4652" s="1" t="s">
        <v>4671</v>
      </c>
      <c r="B4652" s="2">
        <v>5.0</v>
      </c>
      <c r="C4652" s="4"/>
      <c r="E4652" s="4" t="str">
        <f t="array" ref="E4652">XLOOKUP(A4652,'Fintech, Regulatory Arbitrage, '!A:A,'Fintech, Regulatory Arbitrage, '!C:C,"")</f>
        <v/>
      </c>
    </row>
    <row r="4653">
      <c r="A4653" s="1" t="s">
        <v>4672</v>
      </c>
      <c r="B4653" s="2">
        <v>5.0</v>
      </c>
      <c r="C4653" s="4"/>
      <c r="E4653" s="4" t="str">
        <f t="array" ref="E4653">XLOOKUP(A4653,'Fintech, Regulatory Arbitrage, '!A:A,'Fintech, Regulatory Arbitrage, '!C:C,"")</f>
        <v/>
      </c>
    </row>
    <row r="4654">
      <c r="A4654" s="1" t="s">
        <v>4673</v>
      </c>
      <c r="B4654" s="2">
        <v>5.0</v>
      </c>
      <c r="C4654" s="4"/>
      <c r="E4654" s="4" t="str">
        <f t="array" ref="E4654">XLOOKUP(A4654,'Fintech, Regulatory Arbitrage, '!A:A,'Fintech, Regulatory Arbitrage, '!C:C,"")</f>
        <v/>
      </c>
    </row>
    <row r="4655">
      <c r="A4655" s="1" t="s">
        <v>4674</v>
      </c>
      <c r="B4655" s="2">
        <v>5.0</v>
      </c>
      <c r="C4655" s="4"/>
      <c r="E4655" s="4" t="str">
        <f t="array" ref="E4655">XLOOKUP(A4655,'Fintech, Regulatory Arbitrage, '!A:A,'Fintech, Regulatory Arbitrage, '!C:C,"")</f>
        <v/>
      </c>
    </row>
    <row r="4656">
      <c r="A4656" s="1" t="s">
        <v>4675</v>
      </c>
      <c r="B4656" s="2">
        <v>5.0</v>
      </c>
      <c r="C4656" s="4"/>
      <c r="E4656" s="4" t="str">
        <f t="array" ref="E4656">XLOOKUP(A4656,'Fintech, Regulatory Arbitrage, '!A:A,'Fintech, Regulatory Arbitrage, '!C:C,"")</f>
        <v/>
      </c>
    </row>
    <row r="4657">
      <c r="A4657" s="1" t="s">
        <v>4676</v>
      </c>
      <c r="B4657" s="2">
        <v>5.0</v>
      </c>
      <c r="C4657" s="4"/>
      <c r="E4657" s="4" t="str">
        <f t="array" ref="E4657">XLOOKUP(A4657,'Fintech, Regulatory Arbitrage, '!A:A,'Fintech, Regulatory Arbitrage, '!C:C,"")</f>
        <v/>
      </c>
    </row>
    <row r="4658">
      <c r="A4658" s="1" t="s">
        <v>4677</v>
      </c>
      <c r="B4658" s="2">
        <v>5.0</v>
      </c>
      <c r="C4658" s="4"/>
      <c r="E4658" s="4" t="str">
        <f t="array" ref="E4658">XLOOKUP(A4658,'Fintech, Regulatory Arbitrage, '!A:A,'Fintech, Regulatory Arbitrage, '!C:C,"")</f>
        <v/>
      </c>
    </row>
    <row r="4659">
      <c r="A4659" s="1" t="s">
        <v>4678</v>
      </c>
      <c r="B4659" s="2">
        <v>5.0</v>
      </c>
      <c r="C4659" s="4"/>
      <c r="E4659" s="4" t="str">
        <f t="array" ref="E4659">XLOOKUP(A4659,'Fintech, Regulatory Arbitrage, '!A:A,'Fintech, Regulatory Arbitrage, '!C:C,"")</f>
        <v/>
      </c>
    </row>
    <row r="4660">
      <c r="A4660" s="1" t="s">
        <v>4679</v>
      </c>
      <c r="B4660" s="2">
        <v>5.0</v>
      </c>
      <c r="C4660" s="4"/>
      <c r="E4660" s="4" t="str">
        <f t="array" ref="E4660">XLOOKUP(A4660,'Fintech, Regulatory Arbitrage, '!A:A,'Fintech, Regulatory Arbitrage, '!C:C,"")</f>
        <v/>
      </c>
    </row>
    <row r="4661">
      <c r="A4661" s="1" t="s">
        <v>4680</v>
      </c>
      <c r="B4661" s="2">
        <v>5.0</v>
      </c>
      <c r="C4661" s="4"/>
      <c r="E4661" s="4" t="str">
        <f t="array" ref="E4661">XLOOKUP(A4661,'Fintech, Regulatory Arbitrage, '!A:A,'Fintech, Regulatory Arbitrage, '!C:C,"")</f>
        <v/>
      </c>
    </row>
    <row r="4662">
      <c r="A4662" s="1" t="s">
        <v>4681</v>
      </c>
      <c r="B4662" s="2">
        <v>5.0</v>
      </c>
      <c r="C4662" s="4"/>
      <c r="E4662" s="4" t="str">
        <f t="array" ref="E4662">XLOOKUP(A4662,'Fintech, Regulatory Arbitrage, '!A:A,'Fintech, Regulatory Arbitrage, '!C:C,"")</f>
        <v/>
      </c>
    </row>
    <row r="4663">
      <c r="A4663" s="1" t="s">
        <v>4682</v>
      </c>
      <c r="B4663" s="2">
        <v>5.0</v>
      </c>
      <c r="C4663" s="4"/>
      <c r="E4663" s="4" t="str">
        <f t="array" ref="E4663">XLOOKUP(A4663,'Fintech, Regulatory Arbitrage, '!A:A,'Fintech, Regulatory Arbitrage, '!C:C,"")</f>
        <v/>
      </c>
    </row>
    <row r="4664">
      <c r="A4664" s="1" t="s">
        <v>4683</v>
      </c>
      <c r="B4664" s="2">
        <v>5.0</v>
      </c>
      <c r="C4664" s="4"/>
      <c r="E4664" s="4" t="str">
        <f t="array" ref="E4664">XLOOKUP(A4664,'Fintech, Regulatory Arbitrage, '!A:A,'Fintech, Regulatory Arbitrage, '!C:C,"")</f>
        <v/>
      </c>
    </row>
    <row r="4665">
      <c r="A4665" s="1" t="s">
        <v>4684</v>
      </c>
      <c r="B4665" s="2">
        <v>5.0</v>
      </c>
      <c r="C4665" s="4"/>
      <c r="E4665" s="4" t="str">
        <f t="array" ref="E4665">XLOOKUP(A4665,'Fintech, Regulatory Arbitrage, '!A:A,'Fintech, Regulatory Arbitrage, '!C:C,"")</f>
        <v/>
      </c>
    </row>
    <row r="4666">
      <c r="A4666" s="1" t="s">
        <v>4685</v>
      </c>
      <c r="B4666" s="2">
        <v>5.0</v>
      </c>
      <c r="C4666" s="4"/>
      <c r="E4666" s="4" t="str">
        <f t="array" ref="E4666">XLOOKUP(A4666,'Fintech, Regulatory Arbitrage, '!A:A,'Fintech, Regulatory Arbitrage, '!C:C,"")</f>
        <v/>
      </c>
    </row>
    <row r="4667">
      <c r="A4667" s="1" t="s">
        <v>4686</v>
      </c>
      <c r="B4667" s="2">
        <v>5.0</v>
      </c>
      <c r="C4667" s="4"/>
      <c r="E4667" s="4" t="str">
        <f t="array" ref="E4667">XLOOKUP(A4667,'Fintech, Regulatory Arbitrage, '!A:A,'Fintech, Regulatory Arbitrage, '!C:C,"")</f>
        <v/>
      </c>
    </row>
    <row r="4668">
      <c r="A4668" s="1" t="s">
        <v>4687</v>
      </c>
      <c r="B4668" s="2">
        <v>5.0</v>
      </c>
      <c r="C4668" s="4"/>
      <c r="E4668" s="4" t="str">
        <f t="array" ref="E4668">XLOOKUP(A4668,'Fintech, Regulatory Arbitrage, '!A:A,'Fintech, Regulatory Arbitrage, '!C:C,"")</f>
        <v/>
      </c>
    </row>
    <row r="4669">
      <c r="A4669" s="1" t="s">
        <v>4688</v>
      </c>
      <c r="B4669" s="2">
        <v>5.0</v>
      </c>
      <c r="C4669" s="4"/>
      <c r="E4669" s="4" t="str">
        <f t="array" ref="E4669">XLOOKUP(A4669,'Fintech, Regulatory Arbitrage, '!A:A,'Fintech, Regulatory Arbitrage, '!C:C,"")</f>
        <v/>
      </c>
    </row>
    <row r="4670">
      <c r="A4670" s="1" t="s">
        <v>4689</v>
      </c>
      <c r="B4670" s="2">
        <v>5.0</v>
      </c>
      <c r="C4670" s="4"/>
      <c r="E4670" s="4" t="str">
        <f t="array" ref="E4670">XLOOKUP(A4670,'Fintech, Regulatory Arbitrage, '!A:A,'Fintech, Regulatory Arbitrage, '!C:C,"")</f>
        <v/>
      </c>
    </row>
    <row r="4671">
      <c r="A4671" s="1" t="s">
        <v>4690</v>
      </c>
      <c r="B4671" s="2">
        <v>5.0</v>
      </c>
      <c r="C4671" s="4"/>
      <c r="E4671" s="4" t="str">
        <f t="array" ref="E4671">XLOOKUP(A4671,'Fintech, Regulatory Arbitrage, '!A:A,'Fintech, Regulatory Arbitrage, '!C:C,"")</f>
        <v/>
      </c>
    </row>
    <row r="4672">
      <c r="A4672" s="1" t="s">
        <v>4691</v>
      </c>
      <c r="B4672" s="2">
        <v>5.0</v>
      </c>
      <c r="C4672" s="4"/>
      <c r="E4672" s="4" t="str">
        <f t="array" ref="E4672">XLOOKUP(A4672,'Fintech, Regulatory Arbitrage, '!A:A,'Fintech, Regulatory Arbitrage, '!C:C,"")</f>
        <v/>
      </c>
    </row>
    <row r="4673">
      <c r="A4673" s="1" t="s">
        <v>4692</v>
      </c>
      <c r="B4673" s="2">
        <v>5.0</v>
      </c>
      <c r="C4673" s="4"/>
      <c r="E4673" s="4" t="str">
        <f t="array" ref="E4673">XLOOKUP(A4673,'Fintech, Regulatory Arbitrage, '!A:A,'Fintech, Regulatory Arbitrage, '!C:C,"")</f>
        <v/>
      </c>
    </row>
    <row r="4674">
      <c r="A4674" s="1" t="s">
        <v>4693</v>
      </c>
      <c r="B4674" s="2">
        <v>5.0</v>
      </c>
      <c r="C4674" s="4"/>
      <c r="E4674" s="4" t="str">
        <f t="array" ref="E4674">XLOOKUP(A4674,'Fintech, Regulatory Arbitrage, '!A:A,'Fintech, Regulatory Arbitrage, '!C:C,"")</f>
        <v/>
      </c>
    </row>
    <row r="4675">
      <c r="A4675" s="1" t="s">
        <v>4694</v>
      </c>
      <c r="B4675" s="2">
        <v>5.0</v>
      </c>
      <c r="C4675" s="4"/>
      <c r="E4675" s="4" t="str">
        <f t="array" ref="E4675">XLOOKUP(A4675,'Fintech, Regulatory Arbitrage, '!A:A,'Fintech, Regulatory Arbitrage, '!C:C,"")</f>
        <v/>
      </c>
    </row>
    <row r="4676">
      <c r="A4676" s="1" t="s">
        <v>4695</v>
      </c>
      <c r="B4676" s="2">
        <v>5.0</v>
      </c>
      <c r="C4676" s="4"/>
      <c r="E4676" s="4" t="str">
        <f t="array" ref="E4676">XLOOKUP(A4676,'Fintech, Regulatory Arbitrage, '!A:A,'Fintech, Regulatory Arbitrage, '!C:C,"")</f>
        <v/>
      </c>
    </row>
    <row r="4677">
      <c r="A4677" s="1" t="s">
        <v>4696</v>
      </c>
      <c r="B4677" s="2">
        <v>5.0</v>
      </c>
      <c r="C4677" s="4"/>
      <c r="E4677" s="4" t="str">
        <f t="array" ref="E4677">XLOOKUP(A4677,'Fintech, Regulatory Arbitrage, '!A:A,'Fintech, Regulatory Arbitrage, '!C:C,"")</f>
        <v/>
      </c>
    </row>
    <row r="4678">
      <c r="A4678" s="1" t="s">
        <v>4697</v>
      </c>
      <c r="B4678" s="2">
        <v>5.0</v>
      </c>
      <c r="C4678" s="4"/>
      <c r="E4678" s="4" t="str">
        <f t="array" ref="E4678">XLOOKUP(A4678,'Fintech, Regulatory Arbitrage, '!A:A,'Fintech, Regulatory Arbitrage, '!C:C,"")</f>
        <v/>
      </c>
    </row>
    <row r="4679">
      <c r="A4679" s="1" t="s">
        <v>4698</v>
      </c>
      <c r="B4679" s="2">
        <v>5.0</v>
      </c>
      <c r="C4679" s="4"/>
      <c r="E4679" s="4" t="str">
        <f t="array" ref="E4679">XLOOKUP(A4679,'Fintech, Regulatory Arbitrage, '!A:A,'Fintech, Regulatory Arbitrage, '!C:C,"")</f>
        <v/>
      </c>
    </row>
    <row r="4680">
      <c r="A4680" s="1" t="s">
        <v>4699</v>
      </c>
      <c r="B4680" s="2">
        <v>5.0</v>
      </c>
      <c r="C4680" s="4"/>
      <c r="E4680" s="4" t="str">
        <f t="array" ref="E4680">XLOOKUP(A4680,'Fintech, Regulatory Arbitrage, '!A:A,'Fintech, Regulatory Arbitrage, '!C:C,"")</f>
        <v/>
      </c>
    </row>
    <row r="4681">
      <c r="A4681" s="1" t="s">
        <v>4700</v>
      </c>
      <c r="B4681" s="2">
        <v>5.0</v>
      </c>
      <c r="C4681" s="4"/>
      <c r="E4681" s="4" t="str">
        <f t="array" ref="E4681">XLOOKUP(A4681,'Fintech, Regulatory Arbitrage, '!A:A,'Fintech, Regulatory Arbitrage, '!C:C,"")</f>
        <v/>
      </c>
    </row>
    <row r="4682">
      <c r="A4682" s="1" t="s">
        <v>4701</v>
      </c>
      <c r="B4682" s="2">
        <v>5.0</v>
      </c>
      <c r="C4682" s="4"/>
      <c r="E4682" s="4" t="str">
        <f t="array" ref="E4682">XLOOKUP(A4682,'Fintech, Regulatory Arbitrage, '!A:A,'Fintech, Regulatory Arbitrage, '!C:C,"")</f>
        <v/>
      </c>
    </row>
    <row r="4683">
      <c r="A4683" s="1" t="s">
        <v>4702</v>
      </c>
      <c r="B4683" s="2">
        <v>5.0</v>
      </c>
      <c r="C4683" s="4"/>
      <c r="E4683" s="4" t="str">
        <f t="array" ref="E4683">XLOOKUP(A4683,'Fintech, Regulatory Arbitrage, '!A:A,'Fintech, Regulatory Arbitrage, '!C:C,"")</f>
        <v/>
      </c>
    </row>
    <row r="4684">
      <c r="A4684" s="1" t="s">
        <v>4703</v>
      </c>
      <c r="B4684" s="2">
        <v>5.0</v>
      </c>
      <c r="C4684" s="4"/>
      <c r="E4684" s="4" t="str">
        <f t="array" ref="E4684">XLOOKUP(A4684,'Fintech, Regulatory Arbitrage, '!A:A,'Fintech, Regulatory Arbitrage, '!C:C,"")</f>
        <v/>
      </c>
    </row>
    <row r="4685">
      <c r="A4685" s="1" t="s">
        <v>4704</v>
      </c>
      <c r="B4685" s="2">
        <v>5.0</v>
      </c>
      <c r="C4685" s="4"/>
      <c r="E4685" s="4" t="str">
        <f t="array" ref="E4685">XLOOKUP(A4685,'Fintech, Regulatory Arbitrage, '!A:A,'Fintech, Regulatory Arbitrage, '!C:C,"")</f>
        <v/>
      </c>
    </row>
    <row r="4686">
      <c r="A4686" s="1" t="s">
        <v>4705</v>
      </c>
      <c r="B4686" s="2">
        <v>5.0</v>
      </c>
      <c r="C4686" s="4"/>
      <c r="E4686" s="4" t="str">
        <f t="array" ref="E4686">XLOOKUP(A4686,'Fintech, Regulatory Arbitrage, '!A:A,'Fintech, Regulatory Arbitrage, '!C:C,"")</f>
        <v/>
      </c>
    </row>
    <row r="4687">
      <c r="A4687" s="1" t="s">
        <v>4706</v>
      </c>
      <c r="B4687" s="2">
        <v>5.0</v>
      </c>
      <c r="C4687" s="4"/>
      <c r="E4687" s="4" t="str">
        <f t="array" ref="E4687">XLOOKUP(A4687,'Fintech, Regulatory Arbitrage, '!A:A,'Fintech, Regulatory Arbitrage, '!C:C,"")</f>
        <v/>
      </c>
    </row>
    <row r="4688">
      <c r="A4688" s="1" t="s">
        <v>4707</v>
      </c>
      <c r="B4688" s="2">
        <v>5.0</v>
      </c>
      <c r="C4688" s="4"/>
      <c r="E4688" s="4" t="str">
        <f t="array" ref="E4688">XLOOKUP(A4688,'Fintech, Regulatory Arbitrage, '!A:A,'Fintech, Regulatory Arbitrage, '!C:C,"")</f>
        <v/>
      </c>
    </row>
    <row r="4689">
      <c r="A4689" s="1" t="s">
        <v>4708</v>
      </c>
      <c r="B4689" s="2">
        <v>5.0</v>
      </c>
      <c r="C4689" s="4"/>
      <c r="E4689" s="4" t="str">
        <f t="array" ref="E4689">XLOOKUP(A4689,'Fintech, Regulatory Arbitrage, '!A:A,'Fintech, Regulatory Arbitrage, '!C:C,"")</f>
        <v/>
      </c>
    </row>
    <row r="4690">
      <c r="A4690" s="1" t="s">
        <v>4709</v>
      </c>
      <c r="B4690" s="2">
        <v>5.0</v>
      </c>
      <c r="C4690" s="4"/>
      <c r="E4690" s="4" t="str">
        <f t="array" ref="E4690">XLOOKUP(A4690,'Fintech, Regulatory Arbitrage, '!A:A,'Fintech, Regulatory Arbitrage, '!C:C,"")</f>
        <v/>
      </c>
    </row>
    <row r="4691">
      <c r="A4691" s="1" t="s">
        <v>4710</v>
      </c>
      <c r="B4691" s="2">
        <v>5.0</v>
      </c>
      <c r="C4691" s="4"/>
      <c r="E4691" s="4" t="str">
        <f t="array" ref="E4691">XLOOKUP(A4691,'Fintech, Regulatory Arbitrage, '!A:A,'Fintech, Regulatory Arbitrage, '!C:C,"")</f>
        <v/>
      </c>
    </row>
    <row r="4692">
      <c r="A4692" s="1" t="s">
        <v>4711</v>
      </c>
      <c r="B4692" s="2">
        <v>5.0</v>
      </c>
      <c r="C4692" s="4"/>
      <c r="E4692" s="4" t="str">
        <f t="array" ref="E4692">XLOOKUP(A4692,'Fintech, Regulatory Arbitrage, '!A:A,'Fintech, Regulatory Arbitrage, '!C:C,"")</f>
        <v/>
      </c>
    </row>
    <row r="4693">
      <c r="A4693" s="1" t="s">
        <v>4712</v>
      </c>
      <c r="B4693" s="2">
        <v>5.0</v>
      </c>
      <c r="C4693" s="4"/>
      <c r="E4693" s="4" t="str">
        <f t="array" ref="E4693">XLOOKUP(A4693,'Fintech, Regulatory Arbitrage, '!A:A,'Fintech, Regulatory Arbitrage, '!C:C,"")</f>
        <v/>
      </c>
    </row>
    <row r="4694">
      <c r="A4694" s="1" t="s">
        <v>4713</v>
      </c>
      <c r="B4694" s="2">
        <v>5.0</v>
      </c>
      <c r="C4694" s="4"/>
      <c r="E4694" s="4" t="str">
        <f t="array" ref="E4694">XLOOKUP(A4694,'Fintech, Regulatory Arbitrage, '!A:A,'Fintech, Regulatory Arbitrage, '!C:C,"")</f>
        <v/>
      </c>
    </row>
    <row r="4695">
      <c r="A4695" s="1" t="s">
        <v>4714</v>
      </c>
      <c r="B4695" s="2">
        <v>5.0</v>
      </c>
      <c r="C4695" s="4"/>
      <c r="E4695" s="4" t="str">
        <f t="array" ref="E4695">XLOOKUP(A4695,'Fintech, Regulatory Arbitrage, '!A:A,'Fintech, Regulatory Arbitrage, '!C:C,"")</f>
        <v/>
      </c>
    </row>
    <row r="4696">
      <c r="A4696" s="1" t="s">
        <v>4715</v>
      </c>
      <c r="B4696" s="2">
        <v>5.0</v>
      </c>
      <c r="C4696" s="4"/>
      <c r="E4696" s="4" t="str">
        <f t="array" ref="E4696">XLOOKUP(A4696,'Fintech, Regulatory Arbitrage, '!A:A,'Fintech, Regulatory Arbitrage, '!C:C,"")</f>
        <v/>
      </c>
    </row>
    <row r="4697">
      <c r="A4697" s="1" t="s">
        <v>4716</v>
      </c>
      <c r="B4697" s="2">
        <v>5.0</v>
      </c>
      <c r="C4697" s="4"/>
      <c r="E4697" s="4" t="str">
        <f t="array" ref="E4697">XLOOKUP(A4697,'Fintech, Regulatory Arbitrage, '!A:A,'Fintech, Regulatory Arbitrage, '!C:C,"")</f>
        <v/>
      </c>
    </row>
    <row r="4698">
      <c r="A4698" s="1" t="s">
        <v>4717</v>
      </c>
      <c r="B4698" s="2">
        <v>5.0</v>
      </c>
      <c r="C4698" s="4"/>
      <c r="E4698" s="4" t="str">
        <f t="array" ref="E4698">XLOOKUP(A4698,'Fintech, Regulatory Arbitrage, '!A:A,'Fintech, Regulatory Arbitrage, '!C:C,"")</f>
        <v/>
      </c>
    </row>
    <row r="4699">
      <c r="A4699" s="1" t="s">
        <v>4718</v>
      </c>
      <c r="B4699" s="2">
        <v>5.0</v>
      </c>
      <c r="C4699" s="4"/>
      <c r="E4699" s="4" t="str">
        <f t="array" ref="E4699">XLOOKUP(A4699,'Fintech, Regulatory Arbitrage, '!A:A,'Fintech, Regulatory Arbitrage, '!C:C,"")</f>
        <v/>
      </c>
    </row>
    <row r="4700">
      <c r="A4700" s="1" t="s">
        <v>4719</v>
      </c>
      <c r="B4700" s="2">
        <v>5.0</v>
      </c>
      <c r="C4700" s="4"/>
      <c r="E4700" s="4" t="str">
        <f t="array" ref="E4700">XLOOKUP(A4700,'Fintech, Regulatory Arbitrage, '!A:A,'Fintech, Regulatory Arbitrage, '!C:C,"")</f>
        <v/>
      </c>
    </row>
    <row r="4701">
      <c r="A4701" s="1" t="s">
        <v>4720</v>
      </c>
      <c r="B4701" s="2">
        <v>5.0</v>
      </c>
      <c r="C4701" s="4"/>
      <c r="E4701" s="4" t="str">
        <f t="array" ref="E4701">XLOOKUP(A4701,'Fintech, Regulatory Arbitrage, '!A:A,'Fintech, Regulatory Arbitrage, '!C:C,"")</f>
        <v/>
      </c>
    </row>
    <row r="4702">
      <c r="A4702" s="1" t="s">
        <v>4721</v>
      </c>
      <c r="B4702" s="2">
        <v>5.0</v>
      </c>
      <c r="C4702" s="4"/>
      <c r="E4702" s="4" t="str">
        <f t="array" ref="E4702">XLOOKUP(A4702,'Fintech, Regulatory Arbitrage, '!A:A,'Fintech, Regulatory Arbitrage, '!C:C,"")</f>
        <v/>
      </c>
    </row>
    <row r="4703">
      <c r="A4703" s="1" t="s">
        <v>4722</v>
      </c>
      <c r="B4703" s="2">
        <v>5.0</v>
      </c>
      <c r="C4703" s="4"/>
      <c r="E4703" s="4" t="str">
        <f t="array" ref="E4703">XLOOKUP(A4703,'Fintech, Regulatory Arbitrage, '!A:A,'Fintech, Regulatory Arbitrage, '!C:C,"")</f>
        <v/>
      </c>
    </row>
    <row r="4704">
      <c r="A4704" s="1" t="s">
        <v>4723</v>
      </c>
      <c r="B4704" s="2">
        <v>5.0</v>
      </c>
      <c r="C4704" s="4"/>
      <c r="E4704" s="4" t="str">
        <f t="array" ref="E4704">XLOOKUP(A4704,'Fintech, Regulatory Arbitrage, '!A:A,'Fintech, Regulatory Arbitrage, '!C:C,"")</f>
        <v/>
      </c>
    </row>
    <row r="4705">
      <c r="A4705" s="1" t="s">
        <v>4724</v>
      </c>
      <c r="B4705" s="2">
        <v>5.0</v>
      </c>
      <c r="C4705" s="4"/>
      <c r="E4705" s="4" t="str">
        <f t="array" ref="E4705">XLOOKUP(A4705,'Fintech, Regulatory Arbitrage, '!A:A,'Fintech, Regulatory Arbitrage, '!C:C,"")</f>
        <v/>
      </c>
    </row>
    <row r="4706">
      <c r="A4706" s="1" t="s">
        <v>4725</v>
      </c>
      <c r="B4706" s="2">
        <v>5.0</v>
      </c>
      <c r="C4706" s="4"/>
      <c r="E4706" s="4" t="str">
        <f t="array" ref="E4706">XLOOKUP(A4706,'Fintech, Regulatory Arbitrage, '!A:A,'Fintech, Regulatory Arbitrage, '!C:C,"")</f>
        <v/>
      </c>
    </row>
    <row r="4707">
      <c r="A4707" s="1" t="s">
        <v>4726</v>
      </c>
      <c r="B4707" s="2">
        <v>5.0</v>
      </c>
      <c r="C4707" s="4"/>
      <c r="E4707" s="4" t="str">
        <f t="array" ref="E4707">XLOOKUP(A4707,'Fintech, Regulatory Arbitrage, '!A:A,'Fintech, Regulatory Arbitrage, '!C:C,"")</f>
        <v/>
      </c>
    </row>
    <row r="4708">
      <c r="A4708" s="1" t="s">
        <v>4727</v>
      </c>
      <c r="B4708" s="2">
        <v>5.0</v>
      </c>
      <c r="C4708" s="4"/>
      <c r="E4708" s="4" t="str">
        <f t="array" ref="E4708">XLOOKUP(A4708,'Fintech, Regulatory Arbitrage, '!A:A,'Fintech, Regulatory Arbitrage, '!C:C,"")</f>
        <v/>
      </c>
    </row>
    <row r="4709">
      <c r="A4709" s="1" t="s">
        <v>4728</v>
      </c>
      <c r="B4709" s="2">
        <v>5.0</v>
      </c>
      <c r="C4709" s="4"/>
      <c r="E4709" s="4" t="str">
        <f t="array" ref="E4709">XLOOKUP(A4709,'Fintech, Regulatory Arbitrage, '!A:A,'Fintech, Regulatory Arbitrage, '!C:C,"")</f>
        <v/>
      </c>
    </row>
    <row r="4710">
      <c r="A4710" s="1" t="s">
        <v>4729</v>
      </c>
      <c r="B4710" s="2">
        <v>5.0</v>
      </c>
      <c r="C4710" s="4"/>
      <c r="E4710" s="4" t="str">
        <f t="array" ref="E4710">XLOOKUP(A4710,'Fintech, Regulatory Arbitrage, '!A:A,'Fintech, Regulatory Arbitrage, '!C:C,"")</f>
        <v/>
      </c>
    </row>
    <row r="4711">
      <c r="A4711" s="1" t="s">
        <v>4730</v>
      </c>
      <c r="B4711" s="2">
        <v>5.0</v>
      </c>
      <c r="C4711" s="4"/>
      <c r="E4711" s="4" t="str">
        <f t="array" ref="E4711">XLOOKUP(A4711,'Fintech, Regulatory Arbitrage, '!A:A,'Fintech, Regulatory Arbitrage, '!C:C,"")</f>
        <v/>
      </c>
    </row>
    <row r="4712">
      <c r="A4712" s="1" t="s">
        <v>4731</v>
      </c>
      <c r="B4712" s="2">
        <v>5.0</v>
      </c>
      <c r="C4712" s="4"/>
      <c r="E4712" s="4" t="str">
        <f t="array" ref="E4712">XLOOKUP(A4712,'Fintech, Regulatory Arbitrage, '!A:A,'Fintech, Regulatory Arbitrage, '!C:C,"")</f>
        <v/>
      </c>
    </row>
    <row r="4713">
      <c r="A4713" s="1" t="s">
        <v>4732</v>
      </c>
      <c r="B4713" s="2">
        <v>5.0</v>
      </c>
      <c r="C4713" s="4"/>
      <c r="E4713" s="4" t="str">
        <f t="array" ref="E4713">XLOOKUP(A4713,'Fintech, Regulatory Arbitrage, '!A:A,'Fintech, Regulatory Arbitrage, '!C:C,"")</f>
        <v/>
      </c>
    </row>
    <row r="4714">
      <c r="A4714" s="1" t="s">
        <v>4733</v>
      </c>
      <c r="B4714" s="2">
        <v>5.0</v>
      </c>
      <c r="C4714" s="4"/>
      <c r="E4714" s="4" t="str">
        <f t="array" ref="E4714">XLOOKUP(A4714,'Fintech, Regulatory Arbitrage, '!A:A,'Fintech, Regulatory Arbitrage, '!C:C,"")</f>
        <v/>
      </c>
    </row>
    <row r="4715">
      <c r="A4715" s="1" t="s">
        <v>4734</v>
      </c>
      <c r="B4715" s="2">
        <v>5.0</v>
      </c>
      <c r="C4715" s="4"/>
      <c r="E4715" s="4" t="str">
        <f t="array" ref="E4715">XLOOKUP(A4715,'Fintech, Regulatory Arbitrage, '!A:A,'Fintech, Regulatory Arbitrage, '!C:C,"")</f>
        <v/>
      </c>
    </row>
    <row r="4716">
      <c r="A4716" s="1" t="s">
        <v>4735</v>
      </c>
      <c r="B4716" s="2">
        <v>5.0</v>
      </c>
      <c r="C4716" s="4"/>
      <c r="E4716" s="4" t="str">
        <f t="array" ref="E4716">XLOOKUP(A4716,'Fintech, Regulatory Arbitrage, '!A:A,'Fintech, Regulatory Arbitrage, '!C:C,"")</f>
        <v/>
      </c>
    </row>
    <row r="4717">
      <c r="A4717" s="1" t="s">
        <v>4736</v>
      </c>
      <c r="B4717" s="2">
        <v>5.0</v>
      </c>
      <c r="C4717" s="4"/>
      <c r="E4717" s="4" t="str">
        <f t="array" ref="E4717">XLOOKUP(A4717,'Fintech, Regulatory Arbitrage, '!A:A,'Fintech, Regulatory Arbitrage, '!C:C,"")</f>
        <v/>
      </c>
    </row>
    <row r="4718">
      <c r="A4718" s="1" t="s">
        <v>4737</v>
      </c>
      <c r="B4718" s="2">
        <v>5.0</v>
      </c>
      <c r="C4718" s="4"/>
      <c r="E4718" s="4" t="str">
        <f t="array" ref="E4718">XLOOKUP(A4718,'Fintech, Regulatory Arbitrage, '!A:A,'Fintech, Regulatory Arbitrage, '!C:C,"")</f>
        <v/>
      </c>
    </row>
    <row r="4719">
      <c r="A4719" s="1" t="s">
        <v>4738</v>
      </c>
      <c r="B4719" s="2">
        <v>5.0</v>
      </c>
      <c r="C4719" s="4"/>
      <c r="E4719" s="4" t="str">
        <f t="array" ref="E4719">XLOOKUP(A4719,'Fintech, Regulatory Arbitrage, '!A:A,'Fintech, Regulatory Arbitrage, '!C:C,"")</f>
        <v/>
      </c>
    </row>
    <row r="4720">
      <c r="A4720" s="1" t="s">
        <v>4739</v>
      </c>
      <c r="B4720" s="2">
        <v>5.0</v>
      </c>
      <c r="C4720" s="4"/>
      <c r="E4720" s="4" t="str">
        <f t="array" ref="E4720">XLOOKUP(A4720,'Fintech, Regulatory Arbitrage, '!A:A,'Fintech, Regulatory Arbitrage, '!C:C,"")</f>
        <v/>
      </c>
    </row>
    <row r="4721">
      <c r="A4721" s="1" t="s">
        <v>4740</v>
      </c>
      <c r="B4721" s="2">
        <v>5.0</v>
      </c>
      <c r="C4721" s="4"/>
      <c r="E4721" s="4" t="str">
        <f t="array" ref="E4721">XLOOKUP(A4721,'Fintech, Regulatory Arbitrage, '!A:A,'Fintech, Regulatory Arbitrage, '!C:C,"")</f>
        <v/>
      </c>
    </row>
    <row r="4722">
      <c r="A4722" s="1" t="s">
        <v>4741</v>
      </c>
      <c r="B4722" s="2">
        <v>4.0</v>
      </c>
      <c r="C4722" s="4"/>
      <c r="E4722" s="4" t="str">
        <f t="array" ref="E4722">XLOOKUP(A4722,'Fintech, Regulatory Arbitrage, '!A:A,'Fintech, Regulatory Arbitrage, '!C:C,"")</f>
        <v/>
      </c>
    </row>
    <row r="4723">
      <c r="A4723" s="1" t="s">
        <v>4742</v>
      </c>
      <c r="B4723" s="2">
        <v>4.0</v>
      </c>
      <c r="C4723" s="4"/>
      <c r="E4723" s="4" t="str">
        <f t="array" ref="E4723">XLOOKUP(A4723,'Fintech, Regulatory Arbitrage, '!A:A,'Fintech, Regulatory Arbitrage, '!C:C,"")</f>
        <v/>
      </c>
    </row>
    <row r="4724">
      <c r="A4724" s="1" t="s">
        <v>4743</v>
      </c>
      <c r="B4724" s="2">
        <v>4.0</v>
      </c>
      <c r="C4724" s="4"/>
      <c r="E4724" s="4" t="str">
        <f t="array" ref="E4724">XLOOKUP(A4724,'Fintech, Regulatory Arbitrage, '!A:A,'Fintech, Regulatory Arbitrage, '!C:C,"")</f>
        <v/>
      </c>
    </row>
    <row r="4725">
      <c r="A4725" s="1" t="s">
        <v>4744</v>
      </c>
      <c r="B4725" s="2">
        <v>4.0</v>
      </c>
      <c r="C4725" s="4"/>
      <c r="E4725" s="4" t="str">
        <f t="array" ref="E4725">XLOOKUP(A4725,'Fintech, Regulatory Arbitrage, '!A:A,'Fintech, Regulatory Arbitrage, '!C:C,"")</f>
        <v/>
      </c>
    </row>
    <row r="4726">
      <c r="A4726" s="1" t="s">
        <v>4745</v>
      </c>
      <c r="B4726" s="2">
        <v>4.0</v>
      </c>
      <c r="C4726" s="4"/>
      <c r="E4726" s="4" t="str">
        <f t="array" ref="E4726">XLOOKUP(A4726,'Fintech, Regulatory Arbitrage, '!A:A,'Fintech, Regulatory Arbitrage, '!C:C,"")</f>
        <v/>
      </c>
    </row>
    <row r="4727">
      <c r="A4727" s="1" t="s">
        <v>4746</v>
      </c>
      <c r="B4727" s="2">
        <v>4.0</v>
      </c>
      <c r="C4727" s="4"/>
      <c r="E4727" s="4" t="str">
        <f t="array" ref="E4727">XLOOKUP(A4727,'Fintech, Regulatory Arbitrage, '!A:A,'Fintech, Regulatory Arbitrage, '!C:C,"")</f>
        <v/>
      </c>
    </row>
    <row r="4728">
      <c r="A4728" s="1" t="s">
        <v>4747</v>
      </c>
      <c r="B4728" s="2">
        <v>4.0</v>
      </c>
      <c r="C4728" s="4"/>
      <c r="E4728" s="4" t="str">
        <f t="array" ref="E4728">XLOOKUP(A4728,'Fintech, Regulatory Arbitrage, '!A:A,'Fintech, Regulatory Arbitrage, '!C:C,"")</f>
        <v/>
      </c>
    </row>
    <row r="4729">
      <c r="A4729" s="1" t="s">
        <v>4748</v>
      </c>
      <c r="B4729" s="2">
        <v>4.0</v>
      </c>
      <c r="C4729" s="4"/>
      <c r="E4729" s="4" t="str">
        <f t="array" ref="E4729">XLOOKUP(A4729,'Fintech, Regulatory Arbitrage, '!A:A,'Fintech, Regulatory Arbitrage, '!C:C,"")</f>
        <v/>
      </c>
    </row>
    <row r="4730">
      <c r="A4730" s="1" t="s">
        <v>4749</v>
      </c>
      <c r="B4730" s="2">
        <v>4.0</v>
      </c>
      <c r="C4730" s="4"/>
      <c r="E4730" s="4" t="str">
        <f t="array" ref="E4730">XLOOKUP(A4730,'Fintech, Regulatory Arbitrage, '!A:A,'Fintech, Regulatory Arbitrage, '!C:C,"")</f>
        <v/>
      </c>
    </row>
    <row r="4731">
      <c r="A4731" s="1" t="s">
        <v>4750</v>
      </c>
      <c r="B4731" s="2">
        <v>4.0</v>
      </c>
      <c r="C4731" s="4"/>
      <c r="E4731" s="4" t="str">
        <f t="array" ref="E4731">XLOOKUP(A4731,'Fintech, Regulatory Arbitrage, '!A:A,'Fintech, Regulatory Arbitrage, '!C:C,"")</f>
        <v/>
      </c>
    </row>
    <row r="4732">
      <c r="A4732" s="1" t="s">
        <v>4751</v>
      </c>
      <c r="B4732" s="2">
        <v>4.0</v>
      </c>
      <c r="C4732" s="4"/>
      <c r="E4732" s="4" t="str">
        <f t="array" ref="E4732">XLOOKUP(A4732,'Fintech, Regulatory Arbitrage, '!A:A,'Fintech, Regulatory Arbitrage, '!C:C,"")</f>
        <v/>
      </c>
    </row>
    <row r="4733">
      <c r="A4733" s="1" t="s">
        <v>4752</v>
      </c>
      <c r="B4733" s="2">
        <v>4.0</v>
      </c>
      <c r="C4733" s="4"/>
      <c r="E4733" s="4" t="str">
        <f t="array" ref="E4733">XLOOKUP(A4733,'Fintech, Regulatory Arbitrage, '!A:A,'Fintech, Regulatory Arbitrage, '!C:C,"")</f>
        <v/>
      </c>
    </row>
    <row r="4734">
      <c r="A4734" s="1" t="s">
        <v>4753</v>
      </c>
      <c r="B4734" s="2">
        <v>4.0</v>
      </c>
      <c r="C4734" s="4"/>
      <c r="E4734" s="4" t="str">
        <f t="array" ref="E4734">XLOOKUP(A4734,'Fintech, Regulatory Arbitrage, '!A:A,'Fintech, Regulatory Arbitrage, '!C:C,"")</f>
        <v/>
      </c>
    </row>
    <row r="4735">
      <c r="A4735" s="1" t="s">
        <v>4754</v>
      </c>
      <c r="B4735" s="2">
        <v>4.0</v>
      </c>
      <c r="C4735" s="4"/>
      <c r="E4735" s="4" t="str">
        <f t="array" ref="E4735">XLOOKUP(A4735,'Fintech, Regulatory Arbitrage, '!A:A,'Fintech, Regulatory Arbitrage, '!C:C,"")</f>
        <v/>
      </c>
    </row>
    <row r="4736">
      <c r="A4736" s="1" t="s">
        <v>4755</v>
      </c>
      <c r="B4736" s="2">
        <v>4.0</v>
      </c>
      <c r="C4736" s="4"/>
      <c r="E4736" s="4" t="str">
        <f t="array" ref="E4736">XLOOKUP(A4736,'Fintech, Regulatory Arbitrage, '!A:A,'Fintech, Regulatory Arbitrage, '!C:C,"")</f>
        <v/>
      </c>
    </row>
    <row r="4737">
      <c r="A4737" s="1" t="s">
        <v>4756</v>
      </c>
      <c r="B4737" s="2">
        <v>4.0</v>
      </c>
      <c r="C4737" s="4"/>
      <c r="E4737" s="4" t="str">
        <f t="array" ref="E4737">XLOOKUP(A4737,'Fintech, Regulatory Arbitrage, '!A:A,'Fintech, Regulatory Arbitrage, '!C:C,"")</f>
        <v/>
      </c>
    </row>
    <row r="4738">
      <c r="A4738" s="1" t="s">
        <v>4757</v>
      </c>
      <c r="B4738" s="2">
        <v>4.0</v>
      </c>
      <c r="C4738" s="4"/>
      <c r="E4738" s="4" t="str">
        <f t="array" ref="E4738">XLOOKUP(A4738,'Fintech, Regulatory Arbitrage, '!A:A,'Fintech, Regulatory Arbitrage, '!C:C,"")</f>
        <v/>
      </c>
    </row>
    <row r="4739">
      <c r="A4739" s="1" t="s">
        <v>4758</v>
      </c>
      <c r="B4739" s="2">
        <v>4.0</v>
      </c>
      <c r="C4739" s="4"/>
      <c r="E4739" s="4" t="str">
        <f t="array" ref="E4739">XLOOKUP(A4739,'Fintech, Regulatory Arbitrage, '!A:A,'Fintech, Regulatory Arbitrage, '!C:C,"")</f>
        <v/>
      </c>
    </row>
    <row r="4740">
      <c r="A4740" s="1" t="s">
        <v>4759</v>
      </c>
      <c r="B4740" s="2">
        <v>4.0</v>
      </c>
      <c r="C4740" s="4"/>
      <c r="E4740" s="4" t="str">
        <f t="array" ref="E4740">XLOOKUP(A4740,'Fintech, Regulatory Arbitrage, '!A:A,'Fintech, Regulatory Arbitrage, '!C:C,"")</f>
        <v/>
      </c>
    </row>
    <row r="4741">
      <c r="A4741" s="1" t="s">
        <v>4760</v>
      </c>
      <c r="B4741" s="2">
        <v>4.0</v>
      </c>
      <c r="C4741" s="4"/>
      <c r="E4741" s="4" t="str">
        <f t="array" ref="E4741">XLOOKUP(A4741,'Fintech, Regulatory Arbitrage, '!A:A,'Fintech, Regulatory Arbitrage, '!C:C,"")</f>
        <v/>
      </c>
    </row>
    <row r="4742">
      <c r="A4742" s="1" t="s">
        <v>4761</v>
      </c>
      <c r="B4742" s="2">
        <v>4.0</v>
      </c>
      <c r="C4742" s="4"/>
      <c r="E4742" s="4" t="str">
        <f t="array" ref="E4742">XLOOKUP(A4742,'Fintech, Regulatory Arbitrage, '!A:A,'Fintech, Regulatory Arbitrage, '!C:C,"")</f>
        <v/>
      </c>
    </row>
    <row r="4743">
      <c r="A4743" s="1" t="s">
        <v>4762</v>
      </c>
      <c r="B4743" s="2">
        <v>4.0</v>
      </c>
      <c r="C4743" s="4"/>
      <c r="E4743" s="4" t="str">
        <f t="array" ref="E4743">XLOOKUP(A4743,'Fintech, Regulatory Arbitrage, '!A:A,'Fintech, Regulatory Arbitrage, '!C:C,"")</f>
        <v/>
      </c>
    </row>
    <row r="4744">
      <c r="A4744" s="1" t="s">
        <v>4763</v>
      </c>
      <c r="B4744" s="2">
        <v>4.0</v>
      </c>
      <c r="C4744" s="4"/>
      <c r="E4744" s="4" t="str">
        <f t="array" ref="E4744">XLOOKUP(A4744,'Fintech, Regulatory Arbitrage, '!A:A,'Fintech, Regulatory Arbitrage, '!C:C,"")</f>
        <v/>
      </c>
    </row>
    <row r="4745">
      <c r="A4745" s="1" t="s">
        <v>4764</v>
      </c>
      <c r="B4745" s="2">
        <v>4.0</v>
      </c>
      <c r="C4745" s="4"/>
      <c r="E4745" s="4" t="str">
        <f t="array" ref="E4745">XLOOKUP(A4745,'Fintech, Regulatory Arbitrage, '!A:A,'Fintech, Regulatory Arbitrage, '!C:C,"")</f>
        <v/>
      </c>
    </row>
    <row r="4746">
      <c r="A4746" s="1" t="s">
        <v>4765</v>
      </c>
      <c r="B4746" s="2">
        <v>4.0</v>
      </c>
      <c r="C4746" s="4"/>
      <c r="E4746" s="4" t="str">
        <f t="array" ref="E4746">XLOOKUP(A4746,'Fintech, Regulatory Arbitrage, '!A:A,'Fintech, Regulatory Arbitrage, '!C:C,"")</f>
        <v/>
      </c>
    </row>
    <row r="4747">
      <c r="A4747" s="1" t="s">
        <v>4766</v>
      </c>
      <c r="B4747" s="2">
        <v>4.0</v>
      </c>
      <c r="C4747" s="4"/>
      <c r="E4747" s="4" t="str">
        <f t="array" ref="E4747">XLOOKUP(A4747,'Fintech, Regulatory Arbitrage, '!A:A,'Fintech, Regulatory Arbitrage, '!C:C,"")</f>
        <v/>
      </c>
    </row>
    <row r="4748">
      <c r="A4748" s="1" t="s">
        <v>4767</v>
      </c>
      <c r="B4748" s="2">
        <v>4.0</v>
      </c>
      <c r="C4748" s="4"/>
      <c r="E4748" s="4" t="str">
        <f t="array" ref="E4748">XLOOKUP(A4748,'Fintech, Regulatory Arbitrage, '!A:A,'Fintech, Regulatory Arbitrage, '!C:C,"")</f>
        <v/>
      </c>
    </row>
    <row r="4749">
      <c r="A4749" s="1" t="s">
        <v>4768</v>
      </c>
      <c r="B4749" s="2">
        <v>4.0</v>
      </c>
      <c r="C4749" s="4"/>
      <c r="E4749" s="4" t="str">
        <f t="array" ref="E4749">XLOOKUP(A4749,'Fintech, Regulatory Arbitrage, '!A:A,'Fintech, Regulatory Arbitrage, '!C:C,"")</f>
        <v/>
      </c>
    </row>
    <row r="4750">
      <c r="A4750" s="1" t="s">
        <v>4769</v>
      </c>
      <c r="B4750" s="2">
        <v>4.0</v>
      </c>
      <c r="C4750" s="4"/>
      <c r="E4750" s="4" t="str">
        <f t="array" ref="E4750">XLOOKUP(A4750,'Fintech, Regulatory Arbitrage, '!A:A,'Fintech, Regulatory Arbitrage, '!C:C,"")</f>
        <v/>
      </c>
    </row>
    <row r="4751">
      <c r="A4751" s="1" t="s">
        <v>4770</v>
      </c>
      <c r="B4751" s="2">
        <v>4.0</v>
      </c>
      <c r="C4751" s="4"/>
      <c r="E4751" s="4" t="str">
        <f t="array" ref="E4751">XLOOKUP(A4751,'Fintech, Regulatory Arbitrage, '!A:A,'Fintech, Regulatory Arbitrage, '!C:C,"")</f>
        <v/>
      </c>
    </row>
    <row r="4752">
      <c r="A4752" s="1" t="s">
        <v>4771</v>
      </c>
      <c r="B4752" s="2">
        <v>4.0</v>
      </c>
      <c r="C4752" s="4"/>
      <c r="E4752" s="4" t="str">
        <f t="array" ref="E4752">XLOOKUP(A4752,'Fintech, Regulatory Arbitrage, '!A:A,'Fintech, Regulatory Arbitrage, '!C:C,"")</f>
        <v/>
      </c>
    </row>
    <row r="4753">
      <c r="A4753" s="1" t="s">
        <v>4772</v>
      </c>
      <c r="B4753" s="2">
        <v>4.0</v>
      </c>
      <c r="C4753" s="4"/>
      <c r="E4753" s="4" t="str">
        <f t="array" ref="E4753">XLOOKUP(A4753,'Fintech, Regulatory Arbitrage, '!A:A,'Fintech, Regulatory Arbitrage, '!C:C,"")</f>
        <v/>
      </c>
    </row>
    <row r="4754">
      <c r="A4754" s="1" t="s">
        <v>4773</v>
      </c>
      <c r="B4754" s="2">
        <v>4.0</v>
      </c>
      <c r="C4754" s="4"/>
      <c r="E4754" s="4" t="str">
        <f t="array" ref="E4754">XLOOKUP(A4754,'Fintech, Regulatory Arbitrage, '!A:A,'Fintech, Regulatory Arbitrage, '!C:C,"")</f>
        <v/>
      </c>
    </row>
    <row r="4755">
      <c r="A4755" s="1" t="s">
        <v>4774</v>
      </c>
      <c r="B4755" s="2">
        <v>4.0</v>
      </c>
      <c r="C4755" s="4"/>
      <c r="E4755" s="4" t="str">
        <f t="array" ref="E4755">XLOOKUP(A4755,'Fintech, Regulatory Arbitrage, '!A:A,'Fintech, Regulatory Arbitrage, '!C:C,"")</f>
        <v/>
      </c>
    </row>
    <row r="4756">
      <c r="A4756" s="1" t="s">
        <v>4775</v>
      </c>
      <c r="B4756" s="2">
        <v>4.0</v>
      </c>
      <c r="C4756" s="4"/>
      <c r="E4756" s="4" t="str">
        <f t="array" ref="E4756">XLOOKUP(A4756,'Fintech, Regulatory Arbitrage, '!A:A,'Fintech, Regulatory Arbitrage, '!C:C,"")</f>
        <v/>
      </c>
    </row>
    <row r="4757">
      <c r="A4757" s="1" t="s">
        <v>4776</v>
      </c>
      <c r="B4757" s="2">
        <v>4.0</v>
      </c>
      <c r="C4757" s="4"/>
      <c r="E4757" s="4" t="str">
        <f t="array" ref="E4757">XLOOKUP(A4757,'Fintech, Regulatory Arbitrage, '!A:A,'Fintech, Regulatory Arbitrage, '!C:C,"")</f>
        <v/>
      </c>
    </row>
    <row r="4758">
      <c r="A4758" s="1" t="s">
        <v>4777</v>
      </c>
      <c r="B4758" s="2">
        <v>4.0</v>
      </c>
      <c r="C4758" s="4"/>
      <c r="E4758" s="4" t="str">
        <f t="array" ref="E4758">XLOOKUP(A4758,'Fintech, Regulatory Arbitrage, '!A:A,'Fintech, Regulatory Arbitrage, '!C:C,"")</f>
        <v/>
      </c>
    </row>
    <row r="4759">
      <c r="A4759" s="1" t="s">
        <v>4778</v>
      </c>
      <c r="B4759" s="2">
        <v>4.0</v>
      </c>
      <c r="C4759" s="4"/>
      <c r="E4759" s="4" t="str">
        <f t="array" ref="E4759">XLOOKUP(A4759,'Fintech, Regulatory Arbitrage, '!A:A,'Fintech, Regulatory Arbitrage, '!C:C,"")</f>
        <v/>
      </c>
    </row>
    <row r="4760">
      <c r="A4760" s="1" t="s">
        <v>4779</v>
      </c>
      <c r="B4760" s="2">
        <v>4.0</v>
      </c>
      <c r="C4760" s="4"/>
      <c r="E4760" s="4" t="str">
        <f t="array" ref="E4760">XLOOKUP(A4760,'Fintech, Regulatory Arbitrage, '!A:A,'Fintech, Regulatory Arbitrage, '!C:C,"")</f>
        <v/>
      </c>
    </row>
    <row r="4761">
      <c r="A4761" s="1" t="s">
        <v>4780</v>
      </c>
      <c r="B4761" s="2">
        <v>4.0</v>
      </c>
      <c r="C4761" s="4"/>
      <c r="E4761" s="4" t="str">
        <f t="array" ref="E4761">XLOOKUP(A4761,'Fintech, Regulatory Arbitrage, '!A:A,'Fintech, Regulatory Arbitrage, '!C:C,"")</f>
        <v/>
      </c>
    </row>
    <row r="4762">
      <c r="A4762" s="1" t="s">
        <v>4781</v>
      </c>
      <c r="B4762" s="2">
        <v>4.0</v>
      </c>
      <c r="C4762" s="4"/>
      <c r="E4762" s="4" t="str">
        <f t="array" ref="E4762">XLOOKUP(A4762,'Fintech, Regulatory Arbitrage, '!A:A,'Fintech, Regulatory Arbitrage, '!C:C,"")</f>
        <v/>
      </c>
    </row>
    <row r="4763">
      <c r="A4763" s="1" t="s">
        <v>4782</v>
      </c>
      <c r="B4763" s="2">
        <v>4.0</v>
      </c>
      <c r="C4763" s="4"/>
      <c r="E4763" s="4" t="str">
        <f t="array" ref="E4763">XLOOKUP(A4763,'Fintech, Regulatory Arbitrage, '!A:A,'Fintech, Regulatory Arbitrage, '!C:C,"")</f>
        <v/>
      </c>
    </row>
    <row r="4764">
      <c r="A4764" s="1" t="s">
        <v>4783</v>
      </c>
      <c r="B4764" s="2">
        <v>4.0</v>
      </c>
      <c r="C4764" s="4"/>
      <c r="E4764" s="4" t="str">
        <f t="array" ref="E4764">XLOOKUP(A4764,'Fintech, Regulatory Arbitrage, '!A:A,'Fintech, Regulatory Arbitrage, '!C:C,"")</f>
        <v/>
      </c>
    </row>
    <row r="4765">
      <c r="A4765" s="1" t="s">
        <v>4784</v>
      </c>
      <c r="B4765" s="2">
        <v>4.0</v>
      </c>
      <c r="C4765" s="4"/>
      <c r="E4765" s="4" t="str">
        <f t="array" ref="E4765">XLOOKUP(A4765,'Fintech, Regulatory Arbitrage, '!A:A,'Fintech, Regulatory Arbitrage, '!C:C,"")</f>
        <v/>
      </c>
    </row>
    <row r="4766">
      <c r="A4766" s="1" t="s">
        <v>4785</v>
      </c>
      <c r="B4766" s="2">
        <v>4.0</v>
      </c>
      <c r="C4766" s="4"/>
      <c r="E4766" s="4" t="str">
        <f t="array" ref="E4766">XLOOKUP(A4766,'Fintech, Regulatory Arbitrage, '!A:A,'Fintech, Regulatory Arbitrage, '!C:C,"")</f>
        <v/>
      </c>
    </row>
    <row r="4767">
      <c r="A4767" s="1" t="s">
        <v>4786</v>
      </c>
      <c r="B4767" s="2">
        <v>4.0</v>
      </c>
      <c r="C4767" s="4"/>
      <c r="E4767" s="4" t="str">
        <f t="array" ref="E4767">XLOOKUP(A4767,'Fintech, Regulatory Arbitrage, '!A:A,'Fintech, Regulatory Arbitrage, '!C:C,"")</f>
        <v/>
      </c>
    </row>
    <row r="4768">
      <c r="A4768" s="1" t="s">
        <v>4787</v>
      </c>
      <c r="B4768" s="2">
        <v>4.0</v>
      </c>
      <c r="C4768" s="4"/>
      <c r="E4768" s="4" t="str">
        <f t="array" ref="E4768">XLOOKUP(A4768,'Fintech, Regulatory Arbitrage, '!A:A,'Fintech, Regulatory Arbitrage, '!C:C,"")</f>
        <v/>
      </c>
    </row>
    <row r="4769">
      <c r="A4769" s="1" t="s">
        <v>4788</v>
      </c>
      <c r="B4769" s="2">
        <v>4.0</v>
      </c>
      <c r="C4769" s="4"/>
      <c r="E4769" s="4" t="str">
        <f t="array" ref="E4769">XLOOKUP(A4769,'Fintech, Regulatory Arbitrage, '!A:A,'Fintech, Regulatory Arbitrage, '!C:C,"")</f>
        <v/>
      </c>
    </row>
    <row r="4770">
      <c r="A4770" s="1" t="s">
        <v>4789</v>
      </c>
      <c r="B4770" s="2">
        <v>4.0</v>
      </c>
      <c r="C4770" s="4"/>
      <c r="E4770" s="4" t="str">
        <f t="array" ref="E4770">XLOOKUP(A4770,'Fintech, Regulatory Arbitrage, '!A:A,'Fintech, Regulatory Arbitrage, '!C:C,"")</f>
        <v/>
      </c>
    </row>
    <row r="4771">
      <c r="A4771" s="1" t="s">
        <v>4790</v>
      </c>
      <c r="B4771" s="2">
        <v>4.0</v>
      </c>
      <c r="C4771" s="4"/>
      <c r="E4771" s="4" t="str">
        <f t="array" ref="E4771">XLOOKUP(A4771,'Fintech, Regulatory Arbitrage, '!A:A,'Fintech, Regulatory Arbitrage, '!C:C,"")</f>
        <v/>
      </c>
    </row>
    <row r="4772">
      <c r="A4772" s="1" t="s">
        <v>4791</v>
      </c>
      <c r="B4772" s="2">
        <v>4.0</v>
      </c>
      <c r="C4772" s="4"/>
      <c r="E4772" s="4" t="str">
        <f t="array" ref="E4772">XLOOKUP(A4772,'Fintech, Regulatory Arbitrage, '!A:A,'Fintech, Regulatory Arbitrage, '!C:C,"")</f>
        <v/>
      </c>
    </row>
    <row r="4773">
      <c r="A4773" s="1" t="s">
        <v>4792</v>
      </c>
      <c r="B4773" s="2">
        <v>4.0</v>
      </c>
      <c r="C4773" s="4"/>
      <c r="E4773" s="4" t="str">
        <f t="array" ref="E4773">XLOOKUP(A4773,'Fintech, Regulatory Arbitrage, '!A:A,'Fintech, Regulatory Arbitrage, '!C:C,"")</f>
        <v/>
      </c>
    </row>
    <row r="4774">
      <c r="A4774" s="1" t="s">
        <v>4793</v>
      </c>
      <c r="B4774" s="2">
        <v>4.0</v>
      </c>
      <c r="C4774" s="4"/>
      <c r="E4774" s="4" t="str">
        <f t="array" ref="E4774">XLOOKUP(A4774,'Fintech, Regulatory Arbitrage, '!A:A,'Fintech, Regulatory Arbitrage, '!C:C,"")</f>
        <v/>
      </c>
    </row>
    <row r="4775">
      <c r="A4775" s="1" t="s">
        <v>4794</v>
      </c>
      <c r="B4775" s="2">
        <v>4.0</v>
      </c>
      <c r="C4775" s="4"/>
      <c r="E4775" s="4" t="str">
        <f t="array" ref="E4775">XLOOKUP(A4775,'Fintech, Regulatory Arbitrage, '!A:A,'Fintech, Regulatory Arbitrage, '!C:C,"")</f>
        <v/>
      </c>
    </row>
    <row r="4776">
      <c r="A4776" s="1" t="s">
        <v>4795</v>
      </c>
      <c r="B4776" s="2">
        <v>4.0</v>
      </c>
      <c r="C4776" s="4"/>
      <c r="E4776" s="4" t="str">
        <f t="array" ref="E4776">XLOOKUP(A4776,'Fintech, Regulatory Arbitrage, '!A:A,'Fintech, Regulatory Arbitrage, '!C:C,"")</f>
        <v/>
      </c>
    </row>
    <row r="4777">
      <c r="A4777" s="1" t="s">
        <v>4796</v>
      </c>
      <c r="B4777" s="2">
        <v>4.0</v>
      </c>
      <c r="C4777" s="4"/>
      <c r="E4777" s="4" t="str">
        <f t="array" ref="E4777">XLOOKUP(A4777,'Fintech, Regulatory Arbitrage, '!A:A,'Fintech, Regulatory Arbitrage, '!C:C,"")</f>
        <v/>
      </c>
    </row>
    <row r="4778">
      <c r="A4778" s="1" t="s">
        <v>4797</v>
      </c>
      <c r="B4778" s="2">
        <v>4.0</v>
      </c>
      <c r="C4778" s="4"/>
      <c r="E4778" s="4" t="str">
        <f t="array" ref="E4778">XLOOKUP(A4778,'Fintech, Regulatory Arbitrage, '!A:A,'Fintech, Regulatory Arbitrage, '!C:C,"")</f>
        <v/>
      </c>
    </row>
    <row r="4779">
      <c r="A4779" s="1" t="s">
        <v>4798</v>
      </c>
      <c r="B4779" s="2">
        <v>4.0</v>
      </c>
      <c r="C4779" s="4"/>
      <c r="E4779" s="4" t="str">
        <f t="array" ref="E4779">XLOOKUP(A4779,'Fintech, Regulatory Arbitrage, '!A:A,'Fintech, Regulatory Arbitrage, '!C:C,"")</f>
        <v/>
      </c>
    </row>
    <row r="4780">
      <c r="A4780" s="1" t="s">
        <v>4799</v>
      </c>
      <c r="B4780" s="2">
        <v>4.0</v>
      </c>
      <c r="C4780" s="4"/>
      <c r="E4780" s="4" t="str">
        <f t="array" ref="E4780">XLOOKUP(A4780,'Fintech, Regulatory Arbitrage, '!A:A,'Fintech, Regulatory Arbitrage, '!C:C,"")</f>
        <v/>
      </c>
    </row>
    <row r="4781">
      <c r="A4781" s="1" t="s">
        <v>4800</v>
      </c>
      <c r="B4781" s="2">
        <v>4.0</v>
      </c>
      <c r="C4781" s="4"/>
      <c r="E4781" s="4" t="str">
        <f t="array" ref="E4781">XLOOKUP(A4781,'Fintech, Regulatory Arbitrage, '!A:A,'Fintech, Regulatory Arbitrage, '!C:C,"")</f>
        <v/>
      </c>
    </row>
    <row r="4782">
      <c r="A4782" s="1" t="s">
        <v>4801</v>
      </c>
      <c r="B4782" s="2">
        <v>4.0</v>
      </c>
      <c r="C4782" s="4"/>
      <c r="E4782" s="4" t="str">
        <f t="array" ref="E4782">XLOOKUP(A4782,'Fintech, Regulatory Arbitrage, '!A:A,'Fintech, Regulatory Arbitrage, '!C:C,"")</f>
        <v/>
      </c>
    </row>
    <row r="4783">
      <c r="A4783" s="1" t="s">
        <v>4802</v>
      </c>
      <c r="B4783" s="2">
        <v>4.0</v>
      </c>
      <c r="C4783" s="4"/>
      <c r="E4783" s="4" t="str">
        <f t="array" ref="E4783">XLOOKUP(A4783,'Fintech, Regulatory Arbitrage, '!A:A,'Fintech, Regulatory Arbitrage, '!C:C,"")</f>
        <v/>
      </c>
    </row>
    <row r="4784">
      <c r="A4784" s="1" t="s">
        <v>4803</v>
      </c>
      <c r="B4784" s="2">
        <v>4.0</v>
      </c>
      <c r="C4784" s="4"/>
      <c r="E4784" s="4" t="str">
        <f t="array" ref="E4784">XLOOKUP(A4784,'Fintech, Regulatory Arbitrage, '!A:A,'Fintech, Regulatory Arbitrage, '!C:C,"")</f>
        <v/>
      </c>
    </row>
    <row r="4785">
      <c r="A4785" s="1" t="s">
        <v>4804</v>
      </c>
      <c r="B4785" s="2">
        <v>4.0</v>
      </c>
      <c r="C4785" s="4"/>
      <c r="E4785" s="4" t="str">
        <f t="array" ref="E4785">XLOOKUP(A4785,'Fintech, Regulatory Arbitrage, '!A:A,'Fintech, Regulatory Arbitrage, '!C:C,"")</f>
        <v/>
      </c>
    </row>
    <row r="4786">
      <c r="A4786" s="1" t="s">
        <v>4805</v>
      </c>
      <c r="B4786" s="2">
        <v>4.0</v>
      </c>
      <c r="C4786" s="4"/>
      <c r="E4786" s="4" t="str">
        <f t="array" ref="E4786">XLOOKUP(A4786,'Fintech, Regulatory Arbitrage, '!A:A,'Fintech, Regulatory Arbitrage, '!C:C,"")</f>
        <v/>
      </c>
    </row>
    <row r="4787">
      <c r="A4787" s="1" t="s">
        <v>4806</v>
      </c>
      <c r="B4787" s="2">
        <v>4.0</v>
      </c>
      <c r="C4787" s="4"/>
      <c r="E4787" s="4" t="str">
        <f t="array" ref="E4787">XLOOKUP(A4787,'Fintech, Regulatory Arbitrage, '!A:A,'Fintech, Regulatory Arbitrage, '!C:C,"")</f>
        <v/>
      </c>
    </row>
    <row r="4788">
      <c r="A4788" s="1" t="s">
        <v>4807</v>
      </c>
      <c r="B4788" s="2">
        <v>4.0</v>
      </c>
      <c r="C4788" s="4"/>
      <c r="E4788" s="4" t="str">
        <f t="array" ref="E4788">XLOOKUP(A4788,'Fintech, Regulatory Arbitrage, '!A:A,'Fintech, Regulatory Arbitrage, '!C:C,"")</f>
        <v/>
      </c>
    </row>
    <row r="4789">
      <c r="A4789" s="1" t="s">
        <v>4808</v>
      </c>
      <c r="B4789" s="2">
        <v>4.0</v>
      </c>
      <c r="C4789" s="4"/>
      <c r="E4789" s="4" t="str">
        <f t="array" ref="E4789">XLOOKUP(A4789,'Fintech, Regulatory Arbitrage, '!A:A,'Fintech, Regulatory Arbitrage, '!C:C,"")</f>
        <v/>
      </c>
    </row>
    <row r="4790">
      <c r="A4790" s="1" t="s">
        <v>4809</v>
      </c>
      <c r="B4790" s="2">
        <v>4.0</v>
      </c>
      <c r="C4790" s="4"/>
      <c r="E4790" s="4" t="str">
        <f t="array" ref="E4790">XLOOKUP(A4790,'Fintech, Regulatory Arbitrage, '!A:A,'Fintech, Regulatory Arbitrage, '!C:C,"")</f>
        <v/>
      </c>
    </row>
    <row r="4791">
      <c r="A4791" s="1" t="s">
        <v>4810</v>
      </c>
      <c r="B4791" s="2">
        <v>4.0</v>
      </c>
      <c r="C4791" s="4"/>
      <c r="E4791" s="4" t="str">
        <f t="array" ref="E4791">XLOOKUP(A4791,'Fintech, Regulatory Arbitrage, '!A:A,'Fintech, Regulatory Arbitrage, '!C:C,"")</f>
        <v/>
      </c>
    </row>
    <row r="4792">
      <c r="A4792" s="1" t="s">
        <v>4811</v>
      </c>
      <c r="B4792" s="2">
        <v>4.0</v>
      </c>
      <c r="C4792" s="4"/>
      <c r="E4792" s="4" t="str">
        <f t="array" ref="E4792">XLOOKUP(A4792,'Fintech, Regulatory Arbitrage, '!A:A,'Fintech, Regulatory Arbitrage, '!C:C,"")</f>
        <v/>
      </c>
    </row>
    <row r="4793">
      <c r="A4793" s="1" t="s">
        <v>4812</v>
      </c>
      <c r="B4793" s="2">
        <v>4.0</v>
      </c>
      <c r="C4793" s="4"/>
      <c r="E4793" s="4" t="str">
        <f t="array" ref="E4793">XLOOKUP(A4793,'Fintech, Regulatory Arbitrage, '!A:A,'Fintech, Regulatory Arbitrage, '!C:C,"")</f>
        <v/>
      </c>
    </row>
    <row r="4794">
      <c r="A4794" s="1" t="s">
        <v>4813</v>
      </c>
      <c r="B4794" s="2">
        <v>4.0</v>
      </c>
      <c r="C4794" s="4"/>
      <c r="E4794" s="4" t="str">
        <f t="array" ref="E4794">XLOOKUP(A4794,'Fintech, Regulatory Arbitrage, '!A:A,'Fintech, Regulatory Arbitrage, '!C:C,"")</f>
        <v/>
      </c>
    </row>
    <row r="4795">
      <c r="A4795" s="1" t="s">
        <v>4814</v>
      </c>
      <c r="B4795" s="2">
        <v>4.0</v>
      </c>
      <c r="C4795" s="4"/>
      <c r="E4795" s="4" t="str">
        <f t="array" ref="E4795">XLOOKUP(A4795,'Fintech, Regulatory Arbitrage, '!A:A,'Fintech, Regulatory Arbitrage, '!C:C,"")</f>
        <v/>
      </c>
    </row>
    <row r="4796">
      <c r="A4796" s="1" t="s">
        <v>4815</v>
      </c>
      <c r="B4796" s="2">
        <v>4.0</v>
      </c>
      <c r="C4796" s="4"/>
      <c r="E4796" s="4" t="str">
        <f t="array" ref="E4796">XLOOKUP(A4796,'Fintech, Regulatory Arbitrage, '!A:A,'Fintech, Regulatory Arbitrage, '!C:C,"")</f>
        <v/>
      </c>
    </row>
    <row r="4797">
      <c r="A4797" s="1" t="s">
        <v>4816</v>
      </c>
      <c r="B4797" s="2">
        <v>4.0</v>
      </c>
      <c r="C4797" s="4"/>
      <c r="E4797" s="4" t="str">
        <f t="array" ref="E4797">XLOOKUP(A4797,'Fintech, Regulatory Arbitrage, '!A:A,'Fintech, Regulatory Arbitrage, '!C:C,"")</f>
        <v/>
      </c>
    </row>
    <row r="4798">
      <c r="A4798" s="1" t="s">
        <v>4817</v>
      </c>
      <c r="B4798" s="2">
        <v>4.0</v>
      </c>
      <c r="C4798" s="4"/>
      <c r="E4798" s="4" t="str">
        <f t="array" ref="E4798">XLOOKUP(A4798,'Fintech, Regulatory Arbitrage, '!A:A,'Fintech, Regulatory Arbitrage, '!C:C,"")</f>
        <v/>
      </c>
    </row>
    <row r="4799">
      <c r="A4799" s="1" t="s">
        <v>4818</v>
      </c>
      <c r="B4799" s="2">
        <v>4.0</v>
      </c>
      <c r="C4799" s="4"/>
      <c r="E4799" s="4" t="str">
        <f t="array" ref="E4799">XLOOKUP(A4799,'Fintech, Regulatory Arbitrage, '!A:A,'Fintech, Regulatory Arbitrage, '!C:C,"")</f>
        <v/>
      </c>
    </row>
    <row r="4800">
      <c r="A4800" s="1" t="s">
        <v>4819</v>
      </c>
      <c r="B4800" s="2">
        <v>4.0</v>
      </c>
      <c r="C4800" s="4"/>
      <c r="E4800" s="4" t="str">
        <f t="array" ref="E4800">XLOOKUP(A4800,'Fintech, Regulatory Arbitrage, '!A:A,'Fintech, Regulatory Arbitrage, '!C:C,"")</f>
        <v/>
      </c>
    </row>
    <row r="4801">
      <c r="A4801" s="1" t="s">
        <v>4820</v>
      </c>
      <c r="B4801" s="2">
        <v>4.0</v>
      </c>
      <c r="C4801" s="4"/>
      <c r="E4801" s="4" t="str">
        <f t="array" ref="E4801">XLOOKUP(A4801,'Fintech, Regulatory Arbitrage, '!A:A,'Fintech, Regulatory Arbitrage, '!C:C,"")</f>
        <v/>
      </c>
    </row>
    <row r="4802">
      <c r="A4802" s="1" t="s">
        <v>4821</v>
      </c>
      <c r="B4802" s="2">
        <v>4.0</v>
      </c>
      <c r="C4802" s="4"/>
      <c r="E4802" s="4" t="str">
        <f t="array" ref="E4802">XLOOKUP(A4802,'Fintech, Regulatory Arbitrage, '!A:A,'Fintech, Regulatory Arbitrage, '!C:C,"")</f>
        <v/>
      </c>
    </row>
    <row r="4803">
      <c r="A4803" s="1" t="s">
        <v>4822</v>
      </c>
      <c r="B4803" s="2">
        <v>4.0</v>
      </c>
      <c r="C4803" s="4"/>
      <c r="E4803" s="4" t="str">
        <f t="array" ref="E4803">XLOOKUP(A4803,'Fintech, Regulatory Arbitrage, '!A:A,'Fintech, Regulatory Arbitrage, '!C:C,"")</f>
        <v/>
      </c>
    </row>
    <row r="4804">
      <c r="A4804" s="1" t="s">
        <v>4823</v>
      </c>
      <c r="B4804" s="2">
        <v>4.0</v>
      </c>
      <c r="C4804" s="4"/>
      <c r="E4804" s="4" t="str">
        <f t="array" ref="E4804">XLOOKUP(A4804,'Fintech, Regulatory Arbitrage, '!A:A,'Fintech, Regulatory Arbitrage, '!C:C,"")</f>
        <v/>
      </c>
    </row>
    <row r="4805">
      <c r="A4805" s="1" t="s">
        <v>4824</v>
      </c>
      <c r="B4805" s="2">
        <v>4.0</v>
      </c>
      <c r="C4805" s="4"/>
      <c r="E4805" s="4" t="str">
        <f t="array" ref="E4805">XLOOKUP(A4805,'Fintech, Regulatory Arbitrage, '!A:A,'Fintech, Regulatory Arbitrage, '!C:C,"")</f>
        <v/>
      </c>
    </row>
    <row r="4806">
      <c r="A4806" s="1" t="s">
        <v>4825</v>
      </c>
      <c r="B4806" s="2">
        <v>4.0</v>
      </c>
      <c r="C4806" s="4"/>
      <c r="E4806" s="4" t="str">
        <f t="array" ref="E4806">XLOOKUP(A4806,'Fintech, Regulatory Arbitrage, '!A:A,'Fintech, Regulatory Arbitrage, '!C:C,"")</f>
        <v/>
      </c>
    </row>
    <row r="4807">
      <c r="A4807" s="1" t="s">
        <v>4826</v>
      </c>
      <c r="B4807" s="2">
        <v>4.0</v>
      </c>
      <c r="C4807" s="4"/>
      <c r="E4807" s="4" t="str">
        <f t="array" ref="E4807">XLOOKUP(A4807,'Fintech, Regulatory Arbitrage, '!A:A,'Fintech, Regulatory Arbitrage, '!C:C,"")</f>
        <v/>
      </c>
    </row>
    <row r="4808">
      <c r="A4808" s="1" t="s">
        <v>4827</v>
      </c>
      <c r="B4808" s="2">
        <v>4.0</v>
      </c>
      <c r="C4808" s="4"/>
      <c r="E4808" s="4" t="str">
        <f t="array" ref="E4808">XLOOKUP(A4808,'Fintech, Regulatory Arbitrage, '!A:A,'Fintech, Regulatory Arbitrage, '!C:C,"")</f>
        <v/>
      </c>
    </row>
    <row r="4809">
      <c r="A4809" s="1" t="s">
        <v>4828</v>
      </c>
      <c r="B4809" s="2">
        <v>4.0</v>
      </c>
      <c r="C4809" s="4"/>
      <c r="E4809" s="4" t="str">
        <f t="array" ref="E4809">XLOOKUP(A4809,'Fintech, Regulatory Arbitrage, '!A:A,'Fintech, Regulatory Arbitrage, '!C:C,"")</f>
        <v/>
      </c>
    </row>
    <row r="4810">
      <c r="A4810" s="1" t="s">
        <v>4829</v>
      </c>
      <c r="B4810" s="2">
        <v>4.0</v>
      </c>
      <c r="C4810" s="4"/>
      <c r="E4810" s="4" t="str">
        <f t="array" ref="E4810">XLOOKUP(A4810,'Fintech, Regulatory Arbitrage, '!A:A,'Fintech, Regulatory Arbitrage, '!C:C,"")</f>
        <v/>
      </c>
    </row>
    <row r="4811">
      <c r="A4811" s="1" t="s">
        <v>4830</v>
      </c>
      <c r="B4811" s="2">
        <v>4.0</v>
      </c>
      <c r="C4811" s="4"/>
      <c r="E4811" s="4" t="str">
        <f t="array" ref="E4811">XLOOKUP(A4811,'Fintech, Regulatory Arbitrage, '!A:A,'Fintech, Regulatory Arbitrage, '!C:C,"")</f>
        <v/>
      </c>
    </row>
    <row r="4812">
      <c r="A4812" s="1" t="s">
        <v>4831</v>
      </c>
      <c r="B4812" s="2">
        <v>4.0</v>
      </c>
      <c r="C4812" s="4"/>
      <c r="E4812" s="4" t="str">
        <f t="array" ref="E4812">XLOOKUP(A4812,'Fintech, Regulatory Arbitrage, '!A:A,'Fintech, Regulatory Arbitrage, '!C:C,"")</f>
        <v/>
      </c>
    </row>
    <row r="4813">
      <c r="A4813" s="1" t="s">
        <v>4832</v>
      </c>
      <c r="B4813" s="2">
        <v>4.0</v>
      </c>
      <c r="C4813" s="4"/>
      <c r="E4813" s="4" t="str">
        <f t="array" ref="E4813">XLOOKUP(A4813,'Fintech, Regulatory Arbitrage, '!A:A,'Fintech, Regulatory Arbitrage, '!C:C,"")</f>
        <v/>
      </c>
    </row>
    <row r="4814">
      <c r="A4814" s="1" t="s">
        <v>4833</v>
      </c>
      <c r="B4814" s="2">
        <v>4.0</v>
      </c>
      <c r="C4814" s="4"/>
      <c r="E4814" s="4" t="str">
        <f t="array" ref="E4814">XLOOKUP(A4814,'Fintech, Regulatory Arbitrage, '!A:A,'Fintech, Regulatory Arbitrage, '!C:C,"")</f>
        <v/>
      </c>
    </row>
    <row r="4815">
      <c r="A4815" s="1" t="s">
        <v>4834</v>
      </c>
      <c r="B4815" s="2">
        <v>4.0</v>
      </c>
      <c r="C4815" s="4"/>
      <c r="E4815" s="4" t="str">
        <f t="array" ref="E4815">XLOOKUP(A4815,'Fintech, Regulatory Arbitrage, '!A:A,'Fintech, Regulatory Arbitrage, '!C:C,"")</f>
        <v/>
      </c>
    </row>
    <row r="4816">
      <c r="A4816" s="1" t="s">
        <v>4835</v>
      </c>
      <c r="B4816" s="2">
        <v>4.0</v>
      </c>
      <c r="C4816" s="4"/>
      <c r="E4816" s="4" t="str">
        <f t="array" ref="E4816">XLOOKUP(A4816,'Fintech, Regulatory Arbitrage, '!A:A,'Fintech, Regulatory Arbitrage, '!C:C,"")</f>
        <v/>
      </c>
    </row>
    <row r="4817">
      <c r="A4817" s="1" t="s">
        <v>4836</v>
      </c>
      <c r="B4817" s="2">
        <v>4.0</v>
      </c>
      <c r="C4817" s="4"/>
      <c r="E4817" s="4" t="str">
        <f t="array" ref="E4817">XLOOKUP(A4817,'Fintech, Regulatory Arbitrage, '!A:A,'Fintech, Regulatory Arbitrage, '!C:C,"")</f>
        <v/>
      </c>
    </row>
    <row r="4818">
      <c r="A4818" s="1" t="s">
        <v>4837</v>
      </c>
      <c r="B4818" s="2">
        <v>4.0</v>
      </c>
      <c r="C4818" s="4"/>
      <c r="E4818" s="4" t="str">
        <f t="array" ref="E4818">XLOOKUP(A4818,'Fintech, Regulatory Arbitrage, '!A:A,'Fintech, Regulatory Arbitrage, '!C:C,"")</f>
        <v/>
      </c>
    </row>
    <row r="4819">
      <c r="A4819" s="1" t="s">
        <v>4838</v>
      </c>
      <c r="B4819" s="2">
        <v>4.0</v>
      </c>
      <c r="C4819" s="4"/>
      <c r="E4819" s="4" t="str">
        <f t="array" ref="E4819">XLOOKUP(A4819,'Fintech, Regulatory Arbitrage, '!A:A,'Fintech, Regulatory Arbitrage, '!C:C,"")</f>
        <v/>
      </c>
    </row>
    <row r="4820">
      <c r="A4820" s="1" t="s">
        <v>4839</v>
      </c>
      <c r="B4820" s="2">
        <v>4.0</v>
      </c>
      <c r="C4820" s="4"/>
      <c r="E4820" s="4" t="str">
        <f t="array" ref="E4820">XLOOKUP(A4820,'Fintech, Regulatory Arbitrage, '!A:A,'Fintech, Regulatory Arbitrage, '!C:C,"")</f>
        <v/>
      </c>
    </row>
    <row r="4821">
      <c r="A4821" s="1" t="s">
        <v>4840</v>
      </c>
      <c r="B4821" s="2">
        <v>4.0</v>
      </c>
      <c r="C4821" s="4"/>
      <c r="E4821" s="4" t="str">
        <f t="array" ref="E4821">XLOOKUP(A4821,'Fintech, Regulatory Arbitrage, '!A:A,'Fintech, Regulatory Arbitrage, '!C:C,"")</f>
        <v/>
      </c>
    </row>
    <row r="4822">
      <c r="A4822" s="1" t="s">
        <v>4841</v>
      </c>
      <c r="B4822" s="2">
        <v>4.0</v>
      </c>
      <c r="C4822" s="4"/>
      <c r="E4822" s="4" t="str">
        <f t="array" ref="E4822">XLOOKUP(A4822,'Fintech, Regulatory Arbitrage, '!A:A,'Fintech, Regulatory Arbitrage, '!C:C,"")</f>
        <v/>
      </c>
    </row>
    <row r="4823">
      <c r="A4823" s="1" t="s">
        <v>4842</v>
      </c>
      <c r="B4823" s="2">
        <v>4.0</v>
      </c>
      <c r="C4823" s="4"/>
      <c r="E4823" s="4" t="str">
        <f t="array" ref="E4823">XLOOKUP(A4823,'Fintech, Regulatory Arbitrage, '!A:A,'Fintech, Regulatory Arbitrage, '!C:C,"")</f>
        <v/>
      </c>
    </row>
    <row r="4824">
      <c r="A4824" s="1" t="s">
        <v>4843</v>
      </c>
      <c r="B4824" s="2">
        <v>4.0</v>
      </c>
      <c r="C4824" s="4"/>
      <c r="E4824" s="4" t="str">
        <f t="array" ref="E4824">XLOOKUP(A4824,'Fintech, Regulatory Arbitrage, '!A:A,'Fintech, Regulatory Arbitrage, '!C:C,"")</f>
        <v/>
      </c>
    </row>
    <row r="4825">
      <c r="A4825" s="1" t="s">
        <v>4844</v>
      </c>
      <c r="B4825" s="2">
        <v>4.0</v>
      </c>
      <c r="C4825" s="4"/>
      <c r="E4825" s="4" t="str">
        <f t="array" ref="E4825">XLOOKUP(A4825,'Fintech, Regulatory Arbitrage, '!A:A,'Fintech, Regulatory Arbitrage, '!C:C,"")</f>
        <v/>
      </c>
    </row>
    <row r="4826">
      <c r="A4826" s="1" t="s">
        <v>4845</v>
      </c>
      <c r="B4826" s="2">
        <v>4.0</v>
      </c>
      <c r="C4826" s="4"/>
      <c r="E4826" s="4" t="str">
        <f t="array" ref="E4826">XLOOKUP(A4826,'Fintech, Regulatory Arbitrage, '!A:A,'Fintech, Regulatory Arbitrage, '!C:C,"")</f>
        <v/>
      </c>
    </row>
    <row r="4827">
      <c r="A4827" s="1" t="s">
        <v>4846</v>
      </c>
      <c r="B4827" s="2">
        <v>4.0</v>
      </c>
      <c r="C4827" s="4"/>
      <c r="E4827" s="4" t="str">
        <f t="array" ref="E4827">XLOOKUP(A4827,'Fintech, Regulatory Arbitrage, '!A:A,'Fintech, Regulatory Arbitrage, '!C:C,"")</f>
        <v/>
      </c>
    </row>
    <row r="4828">
      <c r="A4828" s="1" t="s">
        <v>4847</v>
      </c>
      <c r="B4828" s="2">
        <v>4.0</v>
      </c>
      <c r="C4828" s="4"/>
      <c r="E4828" s="4" t="str">
        <f t="array" ref="E4828">XLOOKUP(A4828,'Fintech, Regulatory Arbitrage, '!A:A,'Fintech, Regulatory Arbitrage, '!C:C,"")</f>
        <v/>
      </c>
    </row>
    <row r="4829">
      <c r="A4829" s="1" t="s">
        <v>4848</v>
      </c>
      <c r="B4829" s="2">
        <v>4.0</v>
      </c>
      <c r="C4829" s="4"/>
      <c r="E4829" s="4" t="str">
        <f t="array" ref="E4829">XLOOKUP(A4829,'Fintech, Regulatory Arbitrage, '!A:A,'Fintech, Regulatory Arbitrage, '!C:C,"")</f>
        <v/>
      </c>
    </row>
    <row r="4830">
      <c r="A4830" s="1" t="s">
        <v>4849</v>
      </c>
      <c r="B4830" s="2">
        <v>4.0</v>
      </c>
      <c r="C4830" s="4"/>
      <c r="E4830" s="4" t="str">
        <f t="array" ref="E4830">XLOOKUP(A4830,'Fintech, Regulatory Arbitrage, '!A:A,'Fintech, Regulatory Arbitrage, '!C:C,"")</f>
        <v/>
      </c>
    </row>
    <row r="4831">
      <c r="A4831" s="1" t="s">
        <v>4850</v>
      </c>
      <c r="B4831" s="2">
        <v>4.0</v>
      </c>
      <c r="C4831" s="4"/>
      <c r="E4831" s="4" t="str">
        <f t="array" ref="E4831">XLOOKUP(A4831,'Fintech, Regulatory Arbitrage, '!A:A,'Fintech, Regulatory Arbitrage, '!C:C,"")</f>
        <v/>
      </c>
    </row>
    <row r="4832">
      <c r="A4832" s="1" t="s">
        <v>4851</v>
      </c>
      <c r="B4832" s="2">
        <v>4.0</v>
      </c>
      <c r="C4832" s="4"/>
      <c r="E4832" s="4" t="str">
        <f t="array" ref="E4832">XLOOKUP(A4832,'Fintech, Regulatory Arbitrage, '!A:A,'Fintech, Regulatory Arbitrage, '!C:C,"")</f>
        <v/>
      </c>
    </row>
    <row r="4833">
      <c r="A4833" s="1" t="s">
        <v>4852</v>
      </c>
      <c r="B4833" s="2">
        <v>4.0</v>
      </c>
      <c r="C4833" s="4"/>
      <c r="E4833" s="4" t="str">
        <f t="array" ref="E4833">XLOOKUP(A4833,'Fintech, Regulatory Arbitrage, '!A:A,'Fintech, Regulatory Arbitrage, '!C:C,"")</f>
        <v/>
      </c>
    </row>
    <row r="4834">
      <c r="A4834" s="1" t="s">
        <v>4853</v>
      </c>
      <c r="B4834" s="2">
        <v>4.0</v>
      </c>
      <c r="C4834" s="4"/>
      <c r="E4834" s="4" t="str">
        <f t="array" ref="E4834">XLOOKUP(A4834,'Fintech, Regulatory Arbitrage, '!A:A,'Fintech, Regulatory Arbitrage, '!C:C,"")</f>
        <v/>
      </c>
    </row>
    <row r="4835">
      <c r="A4835" s="1" t="s">
        <v>4854</v>
      </c>
      <c r="B4835" s="2">
        <v>4.0</v>
      </c>
      <c r="C4835" s="4"/>
      <c r="E4835" s="4" t="str">
        <f t="array" ref="E4835">XLOOKUP(A4835,'Fintech, Regulatory Arbitrage, '!A:A,'Fintech, Regulatory Arbitrage, '!C:C,"")</f>
        <v/>
      </c>
    </row>
    <row r="4836">
      <c r="A4836" s="1" t="s">
        <v>4855</v>
      </c>
      <c r="B4836" s="2">
        <v>4.0</v>
      </c>
      <c r="C4836" s="4"/>
      <c r="E4836" s="4" t="str">
        <f t="array" ref="E4836">XLOOKUP(A4836,'Fintech, Regulatory Arbitrage, '!A:A,'Fintech, Regulatory Arbitrage, '!C:C,"")</f>
        <v/>
      </c>
    </row>
    <row r="4837">
      <c r="A4837" s="1" t="s">
        <v>4856</v>
      </c>
      <c r="B4837" s="2">
        <v>4.0</v>
      </c>
      <c r="C4837" s="4"/>
      <c r="E4837" s="4" t="str">
        <f t="array" ref="E4837">XLOOKUP(A4837,'Fintech, Regulatory Arbitrage, '!A:A,'Fintech, Regulatory Arbitrage, '!C:C,"")</f>
        <v/>
      </c>
    </row>
    <row r="4838">
      <c r="A4838" s="1" t="s">
        <v>4857</v>
      </c>
      <c r="B4838" s="2">
        <v>4.0</v>
      </c>
      <c r="C4838" s="4"/>
      <c r="E4838" s="4" t="str">
        <f t="array" ref="E4838">XLOOKUP(A4838,'Fintech, Regulatory Arbitrage, '!A:A,'Fintech, Regulatory Arbitrage, '!C:C,"")</f>
        <v/>
      </c>
    </row>
    <row r="4839">
      <c r="A4839" s="1" t="s">
        <v>4858</v>
      </c>
      <c r="B4839" s="2">
        <v>4.0</v>
      </c>
      <c r="C4839" s="4"/>
      <c r="E4839" s="4" t="str">
        <f t="array" ref="E4839">XLOOKUP(A4839,'Fintech, Regulatory Arbitrage, '!A:A,'Fintech, Regulatory Arbitrage, '!C:C,"")</f>
        <v/>
      </c>
    </row>
    <row r="4840">
      <c r="A4840" s="1" t="s">
        <v>4859</v>
      </c>
      <c r="B4840" s="2">
        <v>4.0</v>
      </c>
      <c r="C4840" s="4"/>
      <c r="E4840" s="4" t="str">
        <f t="array" ref="E4840">XLOOKUP(A4840,'Fintech, Regulatory Arbitrage, '!A:A,'Fintech, Regulatory Arbitrage, '!C:C,"")</f>
        <v/>
      </c>
    </row>
    <row r="4841">
      <c r="A4841" s="1" t="s">
        <v>4860</v>
      </c>
      <c r="B4841" s="2">
        <v>4.0</v>
      </c>
      <c r="C4841" s="4"/>
      <c r="E4841" s="4" t="str">
        <f t="array" ref="E4841">XLOOKUP(A4841,'Fintech, Regulatory Arbitrage, '!A:A,'Fintech, Regulatory Arbitrage, '!C:C,"")</f>
        <v/>
      </c>
    </row>
    <row r="4842">
      <c r="A4842" s="1" t="s">
        <v>4861</v>
      </c>
      <c r="B4842" s="2">
        <v>4.0</v>
      </c>
      <c r="C4842" s="4"/>
      <c r="E4842" s="4" t="str">
        <f t="array" ref="E4842">XLOOKUP(A4842,'Fintech, Regulatory Arbitrage, '!A:A,'Fintech, Regulatory Arbitrage, '!C:C,"")</f>
        <v/>
      </c>
    </row>
    <row r="4843">
      <c r="A4843" s="1" t="s">
        <v>4862</v>
      </c>
      <c r="B4843" s="2">
        <v>4.0</v>
      </c>
      <c r="C4843" s="4"/>
      <c r="E4843" s="4" t="str">
        <f t="array" ref="E4843">XLOOKUP(A4843,'Fintech, Regulatory Arbitrage, '!A:A,'Fintech, Regulatory Arbitrage, '!C:C,"")</f>
        <v/>
      </c>
    </row>
    <row r="4844">
      <c r="A4844" s="1" t="s">
        <v>4863</v>
      </c>
      <c r="B4844" s="2">
        <v>4.0</v>
      </c>
      <c r="C4844" s="4"/>
      <c r="E4844" s="4" t="str">
        <f t="array" ref="E4844">XLOOKUP(A4844,'Fintech, Regulatory Arbitrage, '!A:A,'Fintech, Regulatory Arbitrage, '!C:C,"")</f>
        <v/>
      </c>
    </row>
    <row r="4845">
      <c r="A4845" s="1" t="s">
        <v>4864</v>
      </c>
      <c r="B4845" s="2">
        <v>4.0</v>
      </c>
      <c r="C4845" s="4"/>
      <c r="E4845" s="4" t="str">
        <f t="array" ref="E4845">XLOOKUP(A4845,'Fintech, Regulatory Arbitrage, '!A:A,'Fintech, Regulatory Arbitrage, '!C:C,"")</f>
        <v/>
      </c>
    </row>
    <row r="4846">
      <c r="A4846" s="1" t="s">
        <v>4865</v>
      </c>
      <c r="B4846" s="2">
        <v>4.0</v>
      </c>
      <c r="C4846" s="4"/>
      <c r="E4846" s="4" t="str">
        <f t="array" ref="E4846">XLOOKUP(A4846,'Fintech, Regulatory Arbitrage, '!A:A,'Fintech, Regulatory Arbitrage, '!C:C,"")</f>
        <v/>
      </c>
    </row>
    <row r="4847">
      <c r="A4847" s="1" t="s">
        <v>4866</v>
      </c>
      <c r="B4847" s="2">
        <v>4.0</v>
      </c>
      <c r="C4847" s="4"/>
      <c r="E4847" s="4" t="str">
        <f t="array" ref="E4847">XLOOKUP(A4847,'Fintech, Regulatory Arbitrage, '!A:A,'Fintech, Regulatory Arbitrage, '!C:C,"")</f>
        <v/>
      </c>
    </row>
    <row r="4848">
      <c r="A4848" s="1" t="s">
        <v>4867</v>
      </c>
      <c r="B4848" s="2">
        <v>4.0</v>
      </c>
      <c r="C4848" s="4"/>
      <c r="E4848" s="4" t="str">
        <f t="array" ref="E4848">XLOOKUP(A4848,'Fintech, Regulatory Arbitrage, '!A:A,'Fintech, Regulatory Arbitrage, '!C:C,"")</f>
        <v/>
      </c>
    </row>
    <row r="4849">
      <c r="A4849" s="1" t="s">
        <v>4868</v>
      </c>
      <c r="B4849" s="2">
        <v>4.0</v>
      </c>
      <c r="C4849" s="4"/>
      <c r="E4849" s="4" t="str">
        <f t="array" ref="E4849">XLOOKUP(A4849,'Fintech, Regulatory Arbitrage, '!A:A,'Fintech, Regulatory Arbitrage, '!C:C,"")</f>
        <v/>
      </c>
    </row>
    <row r="4850">
      <c r="A4850" s="1" t="s">
        <v>4869</v>
      </c>
      <c r="B4850" s="2">
        <v>4.0</v>
      </c>
      <c r="C4850" s="4"/>
      <c r="E4850" s="4" t="str">
        <f t="array" ref="E4850">XLOOKUP(A4850,'Fintech, Regulatory Arbitrage, '!A:A,'Fintech, Regulatory Arbitrage, '!C:C,"")</f>
        <v/>
      </c>
    </row>
    <row r="4851">
      <c r="A4851" s="1" t="s">
        <v>4870</v>
      </c>
      <c r="B4851" s="2">
        <v>4.0</v>
      </c>
      <c r="C4851" s="4"/>
      <c r="E4851" s="4" t="str">
        <f t="array" ref="E4851">XLOOKUP(A4851,'Fintech, Regulatory Arbitrage, '!A:A,'Fintech, Regulatory Arbitrage, '!C:C,"")</f>
        <v/>
      </c>
    </row>
    <row r="4852">
      <c r="A4852" s="1" t="s">
        <v>4871</v>
      </c>
      <c r="B4852" s="2">
        <v>4.0</v>
      </c>
      <c r="C4852" s="4"/>
      <c r="E4852" s="4" t="str">
        <f t="array" ref="E4852">XLOOKUP(A4852,'Fintech, Regulatory Arbitrage, '!A:A,'Fintech, Regulatory Arbitrage, '!C:C,"")</f>
        <v/>
      </c>
    </row>
    <row r="4853">
      <c r="A4853" s="1" t="s">
        <v>4872</v>
      </c>
      <c r="B4853" s="2">
        <v>4.0</v>
      </c>
      <c r="C4853" s="4"/>
      <c r="E4853" s="4" t="str">
        <f t="array" ref="E4853">XLOOKUP(A4853,'Fintech, Regulatory Arbitrage, '!A:A,'Fintech, Regulatory Arbitrage, '!C:C,"")</f>
        <v/>
      </c>
    </row>
    <row r="4854">
      <c r="A4854" s="1" t="s">
        <v>4873</v>
      </c>
      <c r="B4854" s="2">
        <v>4.0</v>
      </c>
      <c r="C4854" s="4"/>
      <c r="E4854" s="4" t="str">
        <f t="array" ref="E4854">XLOOKUP(A4854,'Fintech, Regulatory Arbitrage, '!A:A,'Fintech, Regulatory Arbitrage, '!C:C,"")</f>
        <v/>
      </c>
    </row>
    <row r="4855">
      <c r="A4855" s="1" t="s">
        <v>4874</v>
      </c>
      <c r="B4855" s="2">
        <v>4.0</v>
      </c>
      <c r="C4855" s="4"/>
      <c r="E4855" s="4" t="str">
        <f t="array" ref="E4855">XLOOKUP(A4855,'Fintech, Regulatory Arbitrage, '!A:A,'Fintech, Regulatory Arbitrage, '!C:C,"")</f>
        <v/>
      </c>
    </row>
    <row r="4856">
      <c r="A4856" s="1" t="s">
        <v>4875</v>
      </c>
      <c r="B4856" s="2">
        <v>4.0</v>
      </c>
      <c r="C4856" s="4"/>
      <c r="E4856" s="4" t="str">
        <f t="array" ref="E4856">XLOOKUP(A4856,'Fintech, Regulatory Arbitrage, '!A:A,'Fintech, Regulatory Arbitrage, '!C:C,"")</f>
        <v/>
      </c>
    </row>
    <row r="4857">
      <c r="A4857" s="1" t="s">
        <v>4876</v>
      </c>
      <c r="B4857" s="2">
        <v>4.0</v>
      </c>
      <c r="C4857" s="4"/>
      <c r="E4857" s="4" t="str">
        <f t="array" ref="E4857">XLOOKUP(A4857,'Fintech, Regulatory Arbitrage, '!A:A,'Fintech, Regulatory Arbitrage, '!C:C,"")</f>
        <v/>
      </c>
    </row>
    <row r="4858">
      <c r="A4858" s="1" t="s">
        <v>4877</v>
      </c>
      <c r="B4858" s="2">
        <v>4.0</v>
      </c>
      <c r="C4858" s="4"/>
      <c r="E4858" s="4" t="str">
        <f t="array" ref="E4858">XLOOKUP(A4858,'Fintech, Regulatory Arbitrage, '!A:A,'Fintech, Regulatory Arbitrage, '!C:C,"")</f>
        <v/>
      </c>
    </row>
    <row r="4859">
      <c r="A4859" s="1" t="s">
        <v>4878</v>
      </c>
      <c r="B4859" s="2">
        <v>4.0</v>
      </c>
      <c r="C4859" s="4"/>
      <c r="E4859" s="4" t="str">
        <f t="array" ref="E4859">XLOOKUP(A4859,'Fintech, Regulatory Arbitrage, '!A:A,'Fintech, Regulatory Arbitrage, '!C:C,"")</f>
        <v/>
      </c>
    </row>
    <row r="4860">
      <c r="A4860" s="1" t="s">
        <v>4879</v>
      </c>
      <c r="B4860" s="2">
        <v>4.0</v>
      </c>
      <c r="C4860" s="4"/>
      <c r="E4860" s="4" t="str">
        <f t="array" ref="E4860">XLOOKUP(A4860,'Fintech, Regulatory Arbitrage, '!A:A,'Fintech, Regulatory Arbitrage, '!C:C,"")</f>
        <v/>
      </c>
    </row>
    <row r="4861">
      <c r="A4861" s="1" t="s">
        <v>4880</v>
      </c>
      <c r="B4861" s="2">
        <v>4.0</v>
      </c>
      <c r="C4861" s="4"/>
      <c r="E4861" s="4" t="str">
        <f t="array" ref="E4861">XLOOKUP(A4861,'Fintech, Regulatory Arbitrage, '!A:A,'Fintech, Regulatory Arbitrage, '!C:C,"")</f>
        <v/>
      </c>
    </row>
    <row r="4862">
      <c r="A4862" s="1" t="s">
        <v>4881</v>
      </c>
      <c r="B4862" s="2">
        <v>4.0</v>
      </c>
      <c r="C4862" s="4"/>
      <c r="E4862" s="4" t="str">
        <f t="array" ref="E4862">XLOOKUP(A4862,'Fintech, Regulatory Arbitrage, '!A:A,'Fintech, Regulatory Arbitrage, '!C:C,"")</f>
        <v/>
      </c>
    </row>
    <row r="4863">
      <c r="A4863" s="1" t="s">
        <v>4882</v>
      </c>
      <c r="B4863" s="2">
        <v>4.0</v>
      </c>
      <c r="C4863" s="4"/>
      <c r="E4863" s="4" t="str">
        <f t="array" ref="E4863">XLOOKUP(A4863,'Fintech, Regulatory Arbitrage, '!A:A,'Fintech, Regulatory Arbitrage, '!C:C,"")</f>
        <v/>
      </c>
    </row>
    <row r="4864">
      <c r="A4864" s="1" t="s">
        <v>4883</v>
      </c>
      <c r="B4864" s="2">
        <v>4.0</v>
      </c>
      <c r="C4864" s="4"/>
      <c r="E4864" s="4" t="str">
        <f t="array" ref="E4864">XLOOKUP(A4864,'Fintech, Regulatory Arbitrage, '!A:A,'Fintech, Regulatory Arbitrage, '!C:C,"")</f>
        <v/>
      </c>
    </row>
    <row r="4865">
      <c r="A4865" s="1" t="s">
        <v>4884</v>
      </c>
      <c r="B4865" s="2">
        <v>4.0</v>
      </c>
      <c r="C4865" s="4"/>
      <c r="E4865" s="4" t="str">
        <f t="array" ref="E4865">XLOOKUP(A4865,'Fintech, Regulatory Arbitrage, '!A:A,'Fintech, Regulatory Arbitrage, '!C:C,"")</f>
        <v/>
      </c>
    </row>
    <row r="4866">
      <c r="A4866" s="1" t="s">
        <v>4885</v>
      </c>
      <c r="B4866" s="2">
        <v>4.0</v>
      </c>
      <c r="C4866" s="4"/>
      <c r="E4866" s="4" t="str">
        <f t="array" ref="E4866">XLOOKUP(A4866,'Fintech, Regulatory Arbitrage, '!A:A,'Fintech, Regulatory Arbitrage, '!C:C,"")</f>
        <v/>
      </c>
    </row>
    <row r="4867">
      <c r="A4867" s="1" t="s">
        <v>4886</v>
      </c>
      <c r="B4867" s="2">
        <v>4.0</v>
      </c>
      <c r="C4867" s="4"/>
      <c r="E4867" s="4" t="str">
        <f t="array" ref="E4867">XLOOKUP(A4867,'Fintech, Regulatory Arbitrage, '!A:A,'Fintech, Regulatory Arbitrage, '!C:C,"")</f>
        <v/>
      </c>
    </row>
    <row r="4868">
      <c r="A4868" s="1" t="s">
        <v>4887</v>
      </c>
      <c r="B4868" s="2">
        <v>4.0</v>
      </c>
      <c r="C4868" s="4"/>
      <c r="E4868" s="4" t="str">
        <f t="array" ref="E4868">XLOOKUP(A4868,'Fintech, Regulatory Arbitrage, '!A:A,'Fintech, Regulatory Arbitrage, '!C:C,"")</f>
        <v/>
      </c>
    </row>
    <row r="4869">
      <c r="A4869" s="1" t="s">
        <v>4888</v>
      </c>
      <c r="B4869" s="2">
        <v>4.0</v>
      </c>
      <c r="C4869" s="4"/>
      <c r="E4869" s="4" t="str">
        <f t="array" ref="E4869">XLOOKUP(A4869,'Fintech, Regulatory Arbitrage, '!A:A,'Fintech, Regulatory Arbitrage, '!C:C,"")</f>
        <v/>
      </c>
    </row>
    <row r="4870">
      <c r="A4870" s="1" t="s">
        <v>4889</v>
      </c>
      <c r="B4870" s="2">
        <v>4.0</v>
      </c>
      <c r="C4870" s="4"/>
      <c r="E4870" s="4" t="str">
        <f t="array" ref="E4870">XLOOKUP(A4870,'Fintech, Regulatory Arbitrage, '!A:A,'Fintech, Regulatory Arbitrage, '!C:C,"")</f>
        <v/>
      </c>
    </row>
    <row r="4871">
      <c r="A4871" s="1" t="s">
        <v>4890</v>
      </c>
      <c r="B4871" s="2">
        <v>4.0</v>
      </c>
      <c r="C4871" s="4"/>
      <c r="E4871" s="4" t="str">
        <f t="array" ref="E4871">XLOOKUP(A4871,'Fintech, Regulatory Arbitrage, '!A:A,'Fintech, Regulatory Arbitrage, '!C:C,"")</f>
        <v/>
      </c>
    </row>
    <row r="4872">
      <c r="A4872" s="1" t="s">
        <v>4891</v>
      </c>
      <c r="B4872" s="2">
        <v>4.0</v>
      </c>
      <c r="C4872" s="4"/>
      <c r="E4872" s="4" t="str">
        <f t="array" ref="E4872">XLOOKUP(A4872,'Fintech, Regulatory Arbitrage, '!A:A,'Fintech, Regulatory Arbitrage, '!C:C,"")</f>
        <v/>
      </c>
    </row>
    <row r="4873">
      <c r="A4873" s="1" t="s">
        <v>4892</v>
      </c>
      <c r="B4873" s="2">
        <v>4.0</v>
      </c>
      <c r="C4873" s="4"/>
      <c r="E4873" s="4" t="str">
        <f t="array" ref="E4873">XLOOKUP(A4873,'Fintech, Regulatory Arbitrage, '!A:A,'Fintech, Regulatory Arbitrage, '!C:C,"")</f>
        <v/>
      </c>
    </row>
    <row r="4874">
      <c r="A4874" s="1" t="s">
        <v>4893</v>
      </c>
      <c r="B4874" s="2">
        <v>4.0</v>
      </c>
      <c r="C4874" s="4"/>
      <c r="E4874" s="4" t="str">
        <f t="array" ref="E4874">XLOOKUP(A4874,'Fintech, Regulatory Arbitrage, '!A:A,'Fintech, Regulatory Arbitrage, '!C:C,"")</f>
        <v/>
      </c>
    </row>
    <row r="4875">
      <c r="A4875" s="1" t="s">
        <v>4894</v>
      </c>
      <c r="B4875" s="2">
        <v>4.0</v>
      </c>
      <c r="C4875" s="4"/>
      <c r="E4875" s="4" t="str">
        <f t="array" ref="E4875">XLOOKUP(A4875,'Fintech, Regulatory Arbitrage, '!A:A,'Fintech, Regulatory Arbitrage, '!C:C,"")</f>
        <v/>
      </c>
    </row>
    <row r="4876">
      <c r="A4876" s="1" t="s">
        <v>4895</v>
      </c>
      <c r="B4876" s="2">
        <v>4.0</v>
      </c>
      <c r="C4876" s="4"/>
      <c r="E4876" s="4" t="str">
        <f t="array" ref="E4876">XLOOKUP(A4876,'Fintech, Regulatory Arbitrage, '!A:A,'Fintech, Regulatory Arbitrage, '!C:C,"")</f>
        <v/>
      </c>
    </row>
    <row r="4877">
      <c r="A4877" s="1" t="s">
        <v>4896</v>
      </c>
      <c r="B4877" s="2">
        <v>4.0</v>
      </c>
      <c r="C4877" s="4"/>
      <c r="E4877" s="4" t="str">
        <f t="array" ref="E4877">XLOOKUP(A4877,'Fintech, Regulatory Arbitrage, '!A:A,'Fintech, Regulatory Arbitrage, '!C:C,"")</f>
        <v/>
      </c>
    </row>
    <row r="4878">
      <c r="A4878" s="1" t="s">
        <v>4897</v>
      </c>
      <c r="B4878" s="2">
        <v>4.0</v>
      </c>
      <c r="C4878" s="4"/>
      <c r="E4878" s="4" t="str">
        <f t="array" ref="E4878">XLOOKUP(A4878,'Fintech, Regulatory Arbitrage, '!A:A,'Fintech, Regulatory Arbitrage, '!C:C,"")</f>
        <v/>
      </c>
    </row>
    <row r="4879">
      <c r="A4879" s="1" t="s">
        <v>4898</v>
      </c>
      <c r="B4879" s="2">
        <v>4.0</v>
      </c>
      <c r="C4879" s="4"/>
      <c r="E4879" s="4" t="str">
        <f t="array" ref="E4879">XLOOKUP(A4879,'Fintech, Regulatory Arbitrage, '!A:A,'Fintech, Regulatory Arbitrage, '!C:C,"")</f>
        <v/>
      </c>
    </row>
    <row r="4880">
      <c r="A4880" s="1" t="s">
        <v>4899</v>
      </c>
      <c r="B4880" s="2">
        <v>4.0</v>
      </c>
      <c r="C4880" s="4"/>
      <c r="E4880" s="4" t="str">
        <f t="array" ref="E4880">XLOOKUP(A4880,'Fintech, Regulatory Arbitrage, '!A:A,'Fintech, Regulatory Arbitrage, '!C:C,"")</f>
        <v/>
      </c>
    </row>
    <row r="4881">
      <c r="A4881" s="1" t="s">
        <v>4900</v>
      </c>
      <c r="B4881" s="2">
        <v>4.0</v>
      </c>
      <c r="C4881" s="4"/>
      <c r="E4881" s="4" t="str">
        <f t="array" ref="E4881">XLOOKUP(A4881,'Fintech, Regulatory Arbitrage, '!A:A,'Fintech, Regulatory Arbitrage, '!C:C,"")</f>
        <v/>
      </c>
    </row>
    <row r="4882">
      <c r="A4882" s="1" t="s">
        <v>4901</v>
      </c>
      <c r="B4882" s="2">
        <v>4.0</v>
      </c>
      <c r="C4882" s="4"/>
      <c r="E4882" s="4" t="str">
        <f t="array" ref="E4882">XLOOKUP(A4882,'Fintech, Regulatory Arbitrage, '!A:A,'Fintech, Regulatory Arbitrage, '!C:C,"")</f>
        <v/>
      </c>
    </row>
    <row r="4883">
      <c r="A4883" s="1" t="s">
        <v>4902</v>
      </c>
      <c r="B4883" s="2">
        <v>4.0</v>
      </c>
      <c r="C4883" s="4"/>
      <c r="E4883" s="4" t="str">
        <f t="array" ref="E4883">XLOOKUP(A4883,'Fintech, Regulatory Arbitrage, '!A:A,'Fintech, Regulatory Arbitrage, '!C:C,"")</f>
        <v/>
      </c>
    </row>
    <row r="4884">
      <c r="A4884" s="1" t="s">
        <v>4903</v>
      </c>
      <c r="B4884" s="2">
        <v>4.0</v>
      </c>
      <c r="C4884" s="4"/>
      <c r="E4884" s="4" t="str">
        <f t="array" ref="E4884">XLOOKUP(A4884,'Fintech, Regulatory Arbitrage, '!A:A,'Fintech, Regulatory Arbitrage, '!C:C,"")</f>
        <v/>
      </c>
    </row>
    <row r="4885">
      <c r="A4885" s="1" t="s">
        <v>4904</v>
      </c>
      <c r="B4885" s="2">
        <v>4.0</v>
      </c>
      <c r="C4885" s="4"/>
      <c r="E4885" s="4" t="str">
        <f t="array" ref="E4885">XLOOKUP(A4885,'Fintech, Regulatory Arbitrage, '!A:A,'Fintech, Regulatory Arbitrage, '!C:C,"")</f>
        <v/>
      </c>
    </row>
    <row r="4886">
      <c r="A4886" s="1" t="s">
        <v>4905</v>
      </c>
      <c r="B4886" s="2">
        <v>4.0</v>
      </c>
      <c r="C4886" s="4"/>
      <c r="E4886" s="4" t="str">
        <f t="array" ref="E4886">XLOOKUP(A4886,'Fintech, Regulatory Arbitrage, '!A:A,'Fintech, Regulatory Arbitrage, '!C:C,"")</f>
        <v/>
      </c>
    </row>
    <row r="4887">
      <c r="A4887" s="1" t="s">
        <v>4906</v>
      </c>
      <c r="B4887" s="2">
        <v>4.0</v>
      </c>
      <c r="C4887" s="4"/>
      <c r="E4887" s="4" t="str">
        <f t="array" ref="E4887">XLOOKUP(A4887,'Fintech, Regulatory Arbitrage, '!A:A,'Fintech, Regulatory Arbitrage, '!C:C,"")</f>
        <v/>
      </c>
    </row>
    <row r="4888">
      <c r="A4888" s="1" t="s">
        <v>4907</v>
      </c>
      <c r="B4888" s="2">
        <v>4.0</v>
      </c>
      <c r="C4888" s="4"/>
      <c r="E4888" s="4" t="str">
        <f t="array" ref="E4888">XLOOKUP(A4888,'Fintech, Regulatory Arbitrage, '!A:A,'Fintech, Regulatory Arbitrage, '!C:C,"")</f>
        <v/>
      </c>
    </row>
    <row r="4889">
      <c r="A4889" s="1" t="s">
        <v>4908</v>
      </c>
      <c r="B4889" s="2">
        <v>4.0</v>
      </c>
      <c r="C4889" s="4"/>
      <c r="E4889" s="4" t="str">
        <f t="array" ref="E4889">XLOOKUP(A4889,'Fintech, Regulatory Arbitrage, '!A:A,'Fintech, Regulatory Arbitrage, '!C:C,"")</f>
        <v/>
      </c>
    </row>
    <row r="4890">
      <c r="A4890" s="1" t="s">
        <v>4909</v>
      </c>
      <c r="B4890" s="2">
        <v>4.0</v>
      </c>
      <c r="C4890" s="4"/>
      <c r="E4890" s="4" t="str">
        <f t="array" ref="E4890">XLOOKUP(A4890,'Fintech, Regulatory Arbitrage, '!A:A,'Fintech, Regulatory Arbitrage, '!C:C,"")</f>
        <v/>
      </c>
    </row>
    <row r="4891">
      <c r="A4891" s="1" t="s">
        <v>4910</v>
      </c>
      <c r="B4891" s="2">
        <v>4.0</v>
      </c>
      <c r="C4891" s="4"/>
      <c r="E4891" s="4" t="str">
        <f t="array" ref="E4891">XLOOKUP(A4891,'Fintech, Regulatory Arbitrage, '!A:A,'Fintech, Regulatory Arbitrage, '!C:C,"")</f>
        <v/>
      </c>
    </row>
    <row r="4892">
      <c r="A4892" s="1" t="s">
        <v>4911</v>
      </c>
      <c r="B4892" s="2">
        <v>4.0</v>
      </c>
      <c r="C4892" s="4"/>
      <c r="E4892" s="4" t="str">
        <f t="array" ref="E4892">XLOOKUP(A4892,'Fintech, Regulatory Arbitrage, '!A:A,'Fintech, Regulatory Arbitrage, '!C:C,"")</f>
        <v/>
      </c>
    </row>
    <row r="4893">
      <c r="A4893" s="1" t="s">
        <v>4912</v>
      </c>
      <c r="B4893" s="2">
        <v>4.0</v>
      </c>
      <c r="C4893" s="4"/>
      <c r="E4893" s="4" t="str">
        <f t="array" ref="E4893">XLOOKUP(A4893,'Fintech, Regulatory Arbitrage, '!A:A,'Fintech, Regulatory Arbitrage, '!C:C,"")</f>
        <v/>
      </c>
    </row>
    <row r="4894">
      <c r="A4894" s="1" t="s">
        <v>4913</v>
      </c>
      <c r="B4894" s="2">
        <v>4.0</v>
      </c>
      <c r="C4894" s="4"/>
      <c r="E4894" s="4" t="str">
        <f t="array" ref="E4894">XLOOKUP(A4894,'Fintech, Regulatory Arbitrage, '!A:A,'Fintech, Regulatory Arbitrage, '!C:C,"")</f>
        <v/>
      </c>
    </row>
    <row r="4895">
      <c r="A4895" s="1" t="s">
        <v>4914</v>
      </c>
      <c r="B4895" s="2">
        <v>4.0</v>
      </c>
      <c r="C4895" s="4"/>
      <c r="E4895" s="4" t="str">
        <f t="array" ref="E4895">XLOOKUP(A4895,'Fintech, Regulatory Arbitrage, '!A:A,'Fintech, Regulatory Arbitrage, '!C:C,"")</f>
        <v/>
      </c>
    </row>
    <row r="4896">
      <c r="A4896" s="1" t="s">
        <v>4915</v>
      </c>
      <c r="B4896" s="2">
        <v>4.0</v>
      </c>
      <c r="C4896" s="4"/>
      <c r="E4896" s="4" t="str">
        <f t="array" ref="E4896">XLOOKUP(A4896,'Fintech, Regulatory Arbitrage, '!A:A,'Fintech, Regulatory Arbitrage, '!C:C,"")</f>
        <v/>
      </c>
    </row>
    <row r="4897">
      <c r="A4897" s="1" t="s">
        <v>4916</v>
      </c>
      <c r="B4897" s="2">
        <v>4.0</v>
      </c>
      <c r="C4897" s="4"/>
      <c r="E4897" s="4" t="str">
        <f t="array" ref="E4897">XLOOKUP(A4897,'Fintech, Regulatory Arbitrage, '!A:A,'Fintech, Regulatory Arbitrage, '!C:C,"")</f>
        <v/>
      </c>
    </row>
    <row r="4898">
      <c r="A4898" s="1" t="s">
        <v>4917</v>
      </c>
      <c r="B4898" s="2">
        <v>4.0</v>
      </c>
      <c r="C4898" s="4"/>
      <c r="E4898" s="4" t="str">
        <f t="array" ref="E4898">XLOOKUP(A4898,'Fintech, Regulatory Arbitrage, '!A:A,'Fintech, Regulatory Arbitrage, '!C:C,"")</f>
        <v/>
      </c>
    </row>
    <row r="4899">
      <c r="A4899" s="1" t="s">
        <v>4918</v>
      </c>
      <c r="B4899" s="2">
        <v>4.0</v>
      </c>
      <c r="C4899" s="4"/>
      <c r="E4899" s="4" t="str">
        <f t="array" ref="E4899">XLOOKUP(A4899,'Fintech, Regulatory Arbitrage, '!A:A,'Fintech, Regulatory Arbitrage, '!C:C,"")</f>
        <v/>
      </c>
    </row>
    <row r="4900">
      <c r="A4900" s="1" t="s">
        <v>4919</v>
      </c>
      <c r="B4900" s="2">
        <v>4.0</v>
      </c>
      <c r="C4900" s="4"/>
      <c r="E4900" s="4" t="str">
        <f t="array" ref="E4900">XLOOKUP(A4900,'Fintech, Regulatory Arbitrage, '!A:A,'Fintech, Regulatory Arbitrage, '!C:C,"")</f>
        <v/>
      </c>
    </row>
    <row r="4901">
      <c r="A4901" s="1" t="s">
        <v>4920</v>
      </c>
      <c r="B4901" s="2">
        <v>4.0</v>
      </c>
      <c r="C4901" s="4"/>
      <c r="E4901" s="4" t="str">
        <f t="array" ref="E4901">XLOOKUP(A4901,'Fintech, Regulatory Arbitrage, '!A:A,'Fintech, Regulatory Arbitrage, '!C:C,"")</f>
        <v/>
      </c>
    </row>
    <row r="4902">
      <c r="A4902" s="1" t="s">
        <v>4921</v>
      </c>
      <c r="B4902" s="2">
        <v>4.0</v>
      </c>
      <c r="C4902" s="4"/>
      <c r="E4902" s="4" t="str">
        <f t="array" ref="E4902">XLOOKUP(A4902,'Fintech, Regulatory Arbitrage, '!A:A,'Fintech, Regulatory Arbitrage, '!C:C,"")</f>
        <v/>
      </c>
    </row>
    <row r="4903">
      <c r="A4903" s="1" t="s">
        <v>4922</v>
      </c>
      <c r="B4903" s="2">
        <v>4.0</v>
      </c>
      <c r="C4903" s="4"/>
      <c r="E4903" s="4" t="str">
        <f t="array" ref="E4903">XLOOKUP(A4903,'Fintech, Regulatory Arbitrage, '!A:A,'Fintech, Regulatory Arbitrage, '!C:C,"")</f>
        <v/>
      </c>
    </row>
    <row r="4904">
      <c r="A4904" s="1" t="s">
        <v>4923</v>
      </c>
      <c r="B4904" s="2">
        <v>4.0</v>
      </c>
      <c r="C4904" s="4"/>
      <c r="E4904" s="4" t="str">
        <f t="array" ref="E4904">XLOOKUP(A4904,'Fintech, Regulatory Arbitrage, '!A:A,'Fintech, Regulatory Arbitrage, '!C:C,"")</f>
        <v/>
      </c>
    </row>
    <row r="4905">
      <c r="A4905" s="1" t="s">
        <v>4924</v>
      </c>
      <c r="B4905" s="2">
        <v>4.0</v>
      </c>
      <c r="C4905" s="4"/>
      <c r="E4905" s="4" t="str">
        <f t="array" ref="E4905">XLOOKUP(A4905,'Fintech, Regulatory Arbitrage, '!A:A,'Fintech, Regulatory Arbitrage, '!C:C,"")</f>
        <v/>
      </c>
    </row>
    <row r="4906">
      <c r="A4906" s="1" t="s">
        <v>4925</v>
      </c>
      <c r="B4906" s="2">
        <v>4.0</v>
      </c>
      <c r="C4906" s="4"/>
      <c r="E4906" s="4" t="str">
        <f t="array" ref="E4906">XLOOKUP(A4906,'Fintech, Regulatory Arbitrage, '!A:A,'Fintech, Regulatory Arbitrage, '!C:C,"")</f>
        <v/>
      </c>
    </row>
    <row r="4907">
      <c r="A4907" s="1" t="s">
        <v>4926</v>
      </c>
      <c r="B4907" s="2">
        <v>4.0</v>
      </c>
      <c r="C4907" s="4"/>
      <c r="E4907" s="4" t="str">
        <f t="array" ref="E4907">XLOOKUP(A4907,'Fintech, Regulatory Arbitrage, '!A:A,'Fintech, Regulatory Arbitrage, '!C:C,"")</f>
        <v/>
      </c>
    </row>
    <row r="4908">
      <c r="A4908" s="1" t="s">
        <v>4927</v>
      </c>
      <c r="B4908" s="2">
        <v>4.0</v>
      </c>
      <c r="C4908" s="4"/>
      <c r="E4908" s="4" t="str">
        <f t="array" ref="E4908">XLOOKUP(A4908,'Fintech, Regulatory Arbitrage, '!A:A,'Fintech, Regulatory Arbitrage, '!C:C,"")</f>
        <v/>
      </c>
    </row>
    <row r="4909">
      <c r="A4909" s="1" t="s">
        <v>4928</v>
      </c>
      <c r="B4909" s="2">
        <v>4.0</v>
      </c>
      <c r="C4909" s="4"/>
      <c r="E4909" s="4" t="str">
        <f t="array" ref="E4909">XLOOKUP(A4909,'Fintech, Regulatory Arbitrage, '!A:A,'Fintech, Regulatory Arbitrage, '!C:C,"")</f>
        <v/>
      </c>
    </row>
    <row r="4910">
      <c r="A4910" s="1" t="s">
        <v>4929</v>
      </c>
      <c r="B4910" s="2">
        <v>4.0</v>
      </c>
      <c r="C4910" s="4"/>
      <c r="E4910" s="4" t="str">
        <f t="array" ref="E4910">XLOOKUP(A4910,'Fintech, Regulatory Arbitrage, '!A:A,'Fintech, Regulatory Arbitrage, '!C:C,"")</f>
        <v/>
      </c>
    </row>
    <row r="4911">
      <c r="A4911" s="1" t="s">
        <v>4930</v>
      </c>
      <c r="B4911" s="2">
        <v>4.0</v>
      </c>
      <c r="C4911" s="4"/>
      <c r="E4911" s="4" t="str">
        <f t="array" ref="E4911">XLOOKUP(A4911,'Fintech, Regulatory Arbitrage, '!A:A,'Fintech, Regulatory Arbitrage, '!C:C,"")</f>
        <v/>
      </c>
    </row>
    <row r="4912">
      <c r="A4912" s="1" t="s">
        <v>4931</v>
      </c>
      <c r="B4912" s="2">
        <v>4.0</v>
      </c>
      <c r="C4912" s="3" t="s">
        <v>20</v>
      </c>
      <c r="D4912" s="3" t="s">
        <v>4932</v>
      </c>
      <c r="E4912" s="4" t="str">
        <f t="array" ref="E4912">XLOOKUP(A4912,'Fintech, Regulatory Arbitrage, '!A:A,'Fintech, Regulatory Arbitrage, '!C:C,"")</f>
        <v/>
      </c>
    </row>
    <row r="4913">
      <c r="A4913" s="1" t="s">
        <v>4933</v>
      </c>
      <c r="B4913" s="2">
        <v>4.0</v>
      </c>
      <c r="C4913" s="4"/>
      <c r="E4913" s="4" t="str">
        <f t="array" ref="E4913">XLOOKUP(A4913,'Fintech, Regulatory Arbitrage, '!A:A,'Fintech, Regulatory Arbitrage, '!C:C,"")</f>
        <v/>
      </c>
    </row>
    <row r="4914">
      <c r="A4914" s="1" t="s">
        <v>4934</v>
      </c>
      <c r="B4914" s="2">
        <v>4.0</v>
      </c>
      <c r="C4914" s="4"/>
      <c r="E4914" s="4" t="str">
        <f t="array" ref="E4914">XLOOKUP(A4914,'Fintech, Regulatory Arbitrage, '!A:A,'Fintech, Regulatory Arbitrage, '!C:C,"")</f>
        <v/>
      </c>
    </row>
    <row r="4915">
      <c r="A4915" s="1" t="s">
        <v>4935</v>
      </c>
      <c r="B4915" s="2">
        <v>4.0</v>
      </c>
      <c r="C4915" s="4"/>
      <c r="E4915" s="4" t="str">
        <f t="array" ref="E4915">XLOOKUP(A4915,'Fintech, Regulatory Arbitrage, '!A:A,'Fintech, Regulatory Arbitrage, '!C:C,"")</f>
        <v/>
      </c>
    </row>
    <row r="4916">
      <c r="A4916" s="1" t="s">
        <v>4936</v>
      </c>
      <c r="B4916" s="2">
        <v>4.0</v>
      </c>
      <c r="C4916" s="4"/>
      <c r="E4916" s="4" t="str">
        <f t="array" ref="E4916">XLOOKUP(A4916,'Fintech, Regulatory Arbitrage, '!A:A,'Fintech, Regulatory Arbitrage, '!C:C,"")</f>
        <v/>
      </c>
    </row>
    <row r="4917">
      <c r="A4917" s="1" t="s">
        <v>4937</v>
      </c>
      <c r="B4917" s="2">
        <v>4.0</v>
      </c>
      <c r="C4917" s="4"/>
      <c r="E4917" s="4" t="str">
        <f t="array" ref="E4917">XLOOKUP(A4917,'Fintech, Regulatory Arbitrage, '!A:A,'Fintech, Regulatory Arbitrage, '!C:C,"")</f>
        <v/>
      </c>
    </row>
    <row r="4918">
      <c r="A4918" s="1" t="s">
        <v>4938</v>
      </c>
      <c r="B4918" s="2">
        <v>4.0</v>
      </c>
      <c r="C4918" s="4"/>
      <c r="E4918" s="4" t="str">
        <f t="array" ref="E4918">XLOOKUP(A4918,'Fintech, Regulatory Arbitrage, '!A:A,'Fintech, Regulatory Arbitrage, '!C:C,"")</f>
        <v/>
      </c>
    </row>
    <row r="4919">
      <c r="A4919" s="1" t="s">
        <v>4939</v>
      </c>
      <c r="B4919" s="2">
        <v>4.0</v>
      </c>
      <c r="C4919" s="4"/>
      <c r="E4919" s="4" t="str">
        <f t="array" ref="E4919">XLOOKUP(A4919,'Fintech, Regulatory Arbitrage, '!A:A,'Fintech, Regulatory Arbitrage, '!C:C,"")</f>
        <v/>
      </c>
    </row>
    <row r="4920">
      <c r="A4920" s="1" t="s">
        <v>4940</v>
      </c>
      <c r="B4920" s="2">
        <v>4.0</v>
      </c>
      <c r="C4920" s="4"/>
      <c r="E4920" s="4" t="str">
        <f t="array" ref="E4920">XLOOKUP(A4920,'Fintech, Regulatory Arbitrage, '!A:A,'Fintech, Regulatory Arbitrage, '!C:C,"")</f>
        <v/>
      </c>
    </row>
    <row r="4921">
      <c r="A4921" s="1" t="s">
        <v>4941</v>
      </c>
      <c r="B4921" s="2">
        <v>4.0</v>
      </c>
      <c r="C4921" s="4"/>
      <c r="E4921" s="4" t="str">
        <f t="array" ref="E4921">XLOOKUP(A4921,'Fintech, Regulatory Arbitrage, '!A:A,'Fintech, Regulatory Arbitrage, '!C:C,"")</f>
        <v/>
      </c>
    </row>
    <row r="4922">
      <c r="A4922" s="1" t="s">
        <v>4942</v>
      </c>
      <c r="B4922" s="2">
        <v>4.0</v>
      </c>
      <c r="C4922" s="4"/>
      <c r="E4922" s="4" t="str">
        <f t="array" ref="E4922">XLOOKUP(A4922,'Fintech, Regulatory Arbitrage, '!A:A,'Fintech, Regulatory Arbitrage, '!C:C,"")</f>
        <v/>
      </c>
    </row>
    <row r="4923">
      <c r="A4923" s="1" t="s">
        <v>4943</v>
      </c>
      <c r="B4923" s="2">
        <v>4.0</v>
      </c>
      <c r="C4923" s="4"/>
      <c r="E4923" s="4" t="str">
        <f t="array" ref="E4923">XLOOKUP(A4923,'Fintech, Regulatory Arbitrage, '!A:A,'Fintech, Regulatory Arbitrage, '!C:C,"")</f>
        <v/>
      </c>
    </row>
    <row r="4924">
      <c r="A4924" s="1" t="s">
        <v>4944</v>
      </c>
      <c r="B4924" s="2">
        <v>4.0</v>
      </c>
      <c r="C4924" s="4"/>
      <c r="E4924" s="4" t="str">
        <f t="array" ref="E4924">XLOOKUP(A4924,'Fintech, Regulatory Arbitrage, '!A:A,'Fintech, Regulatory Arbitrage, '!C:C,"")</f>
        <v/>
      </c>
    </row>
    <row r="4925">
      <c r="A4925" s="1" t="s">
        <v>4945</v>
      </c>
      <c r="B4925" s="2">
        <v>4.0</v>
      </c>
      <c r="C4925" s="4"/>
      <c r="E4925" s="4" t="str">
        <f t="array" ref="E4925">XLOOKUP(A4925,'Fintech, Regulatory Arbitrage, '!A:A,'Fintech, Regulatory Arbitrage, '!C:C,"")</f>
        <v/>
      </c>
    </row>
    <row r="4926">
      <c r="A4926" s="1" t="s">
        <v>4946</v>
      </c>
      <c r="B4926" s="2">
        <v>4.0</v>
      </c>
      <c r="C4926" s="4"/>
      <c r="E4926" s="4" t="str">
        <f t="array" ref="E4926">XLOOKUP(A4926,'Fintech, Regulatory Arbitrage, '!A:A,'Fintech, Regulatory Arbitrage, '!C:C,"")</f>
        <v/>
      </c>
    </row>
    <row r="4927">
      <c r="A4927" s="1" t="s">
        <v>4947</v>
      </c>
      <c r="B4927" s="2">
        <v>4.0</v>
      </c>
      <c r="C4927" s="4"/>
      <c r="E4927" s="4" t="str">
        <f t="array" ref="E4927">XLOOKUP(A4927,'Fintech, Regulatory Arbitrage, '!A:A,'Fintech, Regulatory Arbitrage, '!C:C,"")</f>
        <v/>
      </c>
    </row>
    <row r="4928">
      <c r="A4928" s="1" t="s">
        <v>4948</v>
      </c>
      <c r="B4928" s="2">
        <v>4.0</v>
      </c>
      <c r="C4928" s="4"/>
      <c r="E4928" s="4" t="str">
        <f t="array" ref="E4928">XLOOKUP(A4928,'Fintech, Regulatory Arbitrage, '!A:A,'Fintech, Regulatory Arbitrage, '!C:C,"")</f>
        <v/>
      </c>
    </row>
    <row r="4929">
      <c r="A4929" s="1" t="s">
        <v>4949</v>
      </c>
      <c r="B4929" s="2">
        <v>4.0</v>
      </c>
      <c r="C4929" s="4"/>
      <c r="E4929" s="4" t="str">
        <f t="array" ref="E4929">XLOOKUP(A4929,'Fintech, Regulatory Arbitrage, '!A:A,'Fintech, Regulatory Arbitrage, '!C:C,"")</f>
        <v/>
      </c>
    </row>
    <row r="4930">
      <c r="A4930" s="1" t="s">
        <v>4950</v>
      </c>
      <c r="B4930" s="2">
        <v>4.0</v>
      </c>
      <c r="C4930" s="4"/>
      <c r="E4930" s="4" t="str">
        <f t="array" ref="E4930">XLOOKUP(A4930,'Fintech, Regulatory Arbitrage, '!A:A,'Fintech, Regulatory Arbitrage, '!C:C,"")</f>
        <v/>
      </c>
    </row>
    <row r="4931">
      <c r="A4931" s="1" t="s">
        <v>4951</v>
      </c>
      <c r="B4931" s="2">
        <v>4.0</v>
      </c>
      <c r="C4931" s="4"/>
      <c r="E4931" s="4" t="str">
        <f t="array" ref="E4931">XLOOKUP(A4931,'Fintech, Regulatory Arbitrage, '!A:A,'Fintech, Regulatory Arbitrage, '!C:C,"")</f>
        <v/>
      </c>
    </row>
    <row r="4932">
      <c r="A4932" s="1" t="s">
        <v>4952</v>
      </c>
      <c r="B4932" s="2">
        <v>4.0</v>
      </c>
      <c r="C4932" s="4"/>
      <c r="E4932" s="4" t="str">
        <f t="array" ref="E4932">XLOOKUP(A4932,'Fintech, Regulatory Arbitrage, '!A:A,'Fintech, Regulatory Arbitrage, '!C:C,"")</f>
        <v/>
      </c>
    </row>
    <row r="4933">
      <c r="A4933" s="1" t="s">
        <v>4953</v>
      </c>
      <c r="B4933" s="2">
        <v>4.0</v>
      </c>
      <c r="C4933" s="4"/>
      <c r="E4933" s="4" t="str">
        <f t="array" ref="E4933">XLOOKUP(A4933,'Fintech, Regulatory Arbitrage, '!A:A,'Fintech, Regulatory Arbitrage, '!C:C,"")</f>
        <v/>
      </c>
    </row>
    <row r="4934">
      <c r="A4934" s="1" t="s">
        <v>4954</v>
      </c>
      <c r="B4934" s="2">
        <v>4.0</v>
      </c>
      <c r="C4934" s="4"/>
      <c r="E4934" s="4" t="str">
        <f t="array" ref="E4934">XLOOKUP(A4934,'Fintech, Regulatory Arbitrage, '!A:A,'Fintech, Regulatory Arbitrage, '!C:C,"")</f>
        <v/>
      </c>
    </row>
    <row r="4935">
      <c r="A4935" s="1" t="s">
        <v>4955</v>
      </c>
      <c r="B4935" s="2">
        <v>4.0</v>
      </c>
      <c r="C4935" s="4"/>
      <c r="E4935" s="4" t="str">
        <f t="array" ref="E4935">XLOOKUP(A4935,'Fintech, Regulatory Arbitrage, '!A:A,'Fintech, Regulatory Arbitrage, '!C:C,"")</f>
        <v/>
      </c>
    </row>
    <row r="4936">
      <c r="A4936" s="1" t="s">
        <v>4956</v>
      </c>
      <c r="B4936" s="2">
        <v>4.0</v>
      </c>
      <c r="C4936" s="4"/>
      <c r="E4936" s="4" t="str">
        <f t="array" ref="E4936">XLOOKUP(A4936,'Fintech, Regulatory Arbitrage, '!A:A,'Fintech, Regulatory Arbitrage, '!C:C,"")</f>
        <v/>
      </c>
    </row>
    <row r="4937">
      <c r="A4937" s="1" t="s">
        <v>4957</v>
      </c>
      <c r="B4937" s="2">
        <v>4.0</v>
      </c>
      <c r="C4937" s="4"/>
      <c r="E4937" s="4" t="str">
        <f t="array" ref="E4937">XLOOKUP(A4937,'Fintech, Regulatory Arbitrage, '!A:A,'Fintech, Regulatory Arbitrage, '!C:C,"")</f>
        <v/>
      </c>
    </row>
    <row r="4938">
      <c r="A4938" s="1" t="s">
        <v>4958</v>
      </c>
      <c r="B4938" s="2">
        <v>4.0</v>
      </c>
      <c r="C4938" s="4"/>
      <c r="E4938" s="4" t="str">
        <f t="array" ref="E4938">XLOOKUP(A4938,'Fintech, Regulatory Arbitrage, '!A:A,'Fintech, Regulatory Arbitrage, '!C:C,"")</f>
        <v/>
      </c>
    </row>
    <row r="4939">
      <c r="A4939" s="1" t="s">
        <v>4959</v>
      </c>
      <c r="B4939" s="2">
        <v>4.0</v>
      </c>
      <c r="C4939" s="4"/>
      <c r="E4939" s="4" t="str">
        <f t="array" ref="E4939">XLOOKUP(A4939,'Fintech, Regulatory Arbitrage, '!A:A,'Fintech, Regulatory Arbitrage, '!C:C,"")</f>
        <v/>
      </c>
    </row>
    <row r="4940">
      <c r="A4940" s="1" t="s">
        <v>4960</v>
      </c>
      <c r="B4940" s="2">
        <v>4.0</v>
      </c>
      <c r="C4940" s="4"/>
      <c r="E4940" s="4" t="str">
        <f t="array" ref="E4940">XLOOKUP(A4940,'Fintech, Regulatory Arbitrage, '!A:A,'Fintech, Regulatory Arbitrage, '!C:C,"")</f>
        <v/>
      </c>
    </row>
    <row r="4941">
      <c r="A4941" s="1" t="s">
        <v>4961</v>
      </c>
      <c r="B4941" s="2">
        <v>4.0</v>
      </c>
      <c r="C4941" s="4"/>
      <c r="E4941" s="4" t="str">
        <f t="array" ref="E4941">XLOOKUP(A4941,'Fintech, Regulatory Arbitrage, '!A:A,'Fintech, Regulatory Arbitrage, '!C:C,"")</f>
        <v/>
      </c>
    </row>
    <row r="4942">
      <c r="A4942" s="1" t="s">
        <v>4962</v>
      </c>
      <c r="B4942" s="2">
        <v>4.0</v>
      </c>
      <c r="C4942" s="4"/>
      <c r="E4942" s="4" t="str">
        <f t="array" ref="E4942">XLOOKUP(A4942,'Fintech, Regulatory Arbitrage, '!A:A,'Fintech, Regulatory Arbitrage, '!C:C,"")</f>
        <v/>
      </c>
    </row>
    <row r="4943">
      <c r="A4943" s="1" t="s">
        <v>4963</v>
      </c>
      <c r="B4943" s="2">
        <v>4.0</v>
      </c>
      <c r="C4943" s="4"/>
      <c r="E4943" s="4" t="str">
        <f t="array" ref="E4943">XLOOKUP(A4943,'Fintech, Regulatory Arbitrage, '!A:A,'Fintech, Regulatory Arbitrage, '!C:C,"")</f>
        <v/>
      </c>
    </row>
    <row r="4944">
      <c r="A4944" s="1" t="s">
        <v>4964</v>
      </c>
      <c r="B4944" s="2">
        <v>4.0</v>
      </c>
      <c r="C4944" s="4"/>
      <c r="E4944" s="4" t="str">
        <f t="array" ref="E4944">XLOOKUP(A4944,'Fintech, Regulatory Arbitrage, '!A:A,'Fintech, Regulatory Arbitrage, '!C:C,"")</f>
        <v/>
      </c>
    </row>
    <row r="4945">
      <c r="A4945" s="1" t="s">
        <v>4965</v>
      </c>
      <c r="B4945" s="2">
        <v>4.0</v>
      </c>
      <c r="C4945" s="4"/>
      <c r="E4945" s="4" t="str">
        <f t="array" ref="E4945">XLOOKUP(A4945,'Fintech, Regulatory Arbitrage, '!A:A,'Fintech, Regulatory Arbitrage, '!C:C,"")</f>
        <v/>
      </c>
    </row>
    <row r="4946">
      <c r="A4946" s="1" t="s">
        <v>4966</v>
      </c>
      <c r="B4946" s="2">
        <v>4.0</v>
      </c>
      <c r="C4946" s="4"/>
      <c r="E4946" s="4" t="str">
        <f t="array" ref="E4946">XLOOKUP(A4946,'Fintech, Regulatory Arbitrage, '!A:A,'Fintech, Regulatory Arbitrage, '!C:C,"")</f>
        <v/>
      </c>
    </row>
    <row r="4947">
      <c r="A4947" s="1" t="s">
        <v>4967</v>
      </c>
      <c r="B4947" s="2">
        <v>4.0</v>
      </c>
      <c r="C4947" s="4"/>
      <c r="E4947" s="4" t="str">
        <f t="array" ref="E4947">XLOOKUP(A4947,'Fintech, Regulatory Arbitrage, '!A:A,'Fintech, Regulatory Arbitrage, '!C:C,"")</f>
        <v/>
      </c>
    </row>
    <row r="4948">
      <c r="A4948" s="1" t="s">
        <v>4968</v>
      </c>
      <c r="B4948" s="2">
        <v>4.0</v>
      </c>
      <c r="C4948" s="4"/>
      <c r="E4948" s="4" t="str">
        <f t="array" ref="E4948">XLOOKUP(A4948,'Fintech, Regulatory Arbitrage, '!A:A,'Fintech, Regulatory Arbitrage, '!C:C,"")</f>
        <v/>
      </c>
    </row>
    <row r="4949">
      <c r="A4949" s="1" t="s">
        <v>4969</v>
      </c>
      <c r="B4949" s="2">
        <v>4.0</v>
      </c>
      <c r="C4949" s="4"/>
      <c r="E4949" s="4" t="str">
        <f t="array" ref="E4949">XLOOKUP(A4949,'Fintech, Regulatory Arbitrage, '!A:A,'Fintech, Regulatory Arbitrage, '!C:C,"")</f>
        <v/>
      </c>
    </row>
    <row r="4950">
      <c r="A4950" s="1" t="s">
        <v>4970</v>
      </c>
      <c r="B4950" s="2">
        <v>4.0</v>
      </c>
      <c r="C4950" s="4"/>
      <c r="E4950" s="4" t="str">
        <f t="array" ref="E4950">XLOOKUP(A4950,'Fintech, Regulatory Arbitrage, '!A:A,'Fintech, Regulatory Arbitrage, '!C:C,"")</f>
        <v/>
      </c>
    </row>
    <row r="4951">
      <c r="A4951" s="1" t="s">
        <v>4971</v>
      </c>
      <c r="B4951" s="2">
        <v>4.0</v>
      </c>
      <c r="C4951" s="4"/>
      <c r="E4951" s="4" t="str">
        <f t="array" ref="E4951">XLOOKUP(A4951,'Fintech, Regulatory Arbitrage, '!A:A,'Fintech, Regulatory Arbitrage, '!C:C,"")</f>
        <v/>
      </c>
    </row>
    <row r="4952">
      <c r="A4952" s="1" t="s">
        <v>4972</v>
      </c>
      <c r="B4952" s="2">
        <v>4.0</v>
      </c>
      <c r="C4952" s="4"/>
      <c r="E4952" s="4" t="str">
        <f t="array" ref="E4952">XLOOKUP(A4952,'Fintech, Regulatory Arbitrage, '!A:A,'Fintech, Regulatory Arbitrage, '!C:C,"")</f>
        <v/>
      </c>
    </row>
    <row r="4953">
      <c r="A4953" s="1" t="s">
        <v>4973</v>
      </c>
      <c r="B4953" s="2">
        <v>4.0</v>
      </c>
      <c r="C4953" s="4"/>
      <c r="E4953" s="4" t="str">
        <f t="array" ref="E4953">XLOOKUP(A4953,'Fintech, Regulatory Arbitrage, '!A:A,'Fintech, Regulatory Arbitrage, '!C:C,"")</f>
        <v/>
      </c>
    </row>
    <row r="4954">
      <c r="A4954" s="1" t="s">
        <v>4974</v>
      </c>
      <c r="B4954" s="2">
        <v>4.0</v>
      </c>
      <c r="C4954" s="4"/>
      <c r="E4954" s="4" t="str">
        <f t="array" ref="E4954">XLOOKUP(A4954,'Fintech, Regulatory Arbitrage, '!A:A,'Fintech, Regulatory Arbitrage, '!C:C,"")</f>
        <v/>
      </c>
    </row>
    <row r="4955">
      <c r="A4955" s="1" t="s">
        <v>4975</v>
      </c>
      <c r="B4955" s="2">
        <v>4.0</v>
      </c>
      <c r="C4955" s="4"/>
      <c r="E4955" s="4" t="str">
        <f t="array" ref="E4955">XLOOKUP(A4955,'Fintech, Regulatory Arbitrage, '!A:A,'Fintech, Regulatory Arbitrage, '!C:C,"")</f>
        <v/>
      </c>
    </row>
    <row r="4956">
      <c r="A4956" s="1" t="s">
        <v>4976</v>
      </c>
      <c r="B4956" s="2">
        <v>4.0</v>
      </c>
      <c r="C4956" s="4"/>
      <c r="E4956" s="4" t="str">
        <f t="array" ref="E4956">XLOOKUP(A4956,'Fintech, Regulatory Arbitrage, '!A:A,'Fintech, Regulatory Arbitrage, '!C:C,"")</f>
        <v/>
      </c>
    </row>
    <row r="4957">
      <c r="A4957" s="1" t="s">
        <v>4977</v>
      </c>
      <c r="B4957" s="2">
        <v>4.0</v>
      </c>
      <c r="C4957" s="4"/>
      <c r="E4957" s="4" t="str">
        <f t="array" ref="E4957">XLOOKUP(A4957,'Fintech, Regulatory Arbitrage, '!A:A,'Fintech, Regulatory Arbitrage, '!C:C,"")</f>
        <v/>
      </c>
    </row>
    <row r="4958">
      <c r="A4958" s="1" t="s">
        <v>4978</v>
      </c>
      <c r="B4958" s="2">
        <v>4.0</v>
      </c>
      <c r="C4958" s="4"/>
      <c r="E4958" s="4" t="str">
        <f t="array" ref="E4958">XLOOKUP(A4958,'Fintech, Regulatory Arbitrage, '!A:A,'Fintech, Regulatory Arbitrage, '!C:C,"")</f>
        <v/>
      </c>
    </row>
    <row r="4959">
      <c r="A4959" s="1" t="s">
        <v>4979</v>
      </c>
      <c r="B4959" s="2">
        <v>4.0</v>
      </c>
      <c r="C4959" s="4"/>
      <c r="E4959" s="4" t="str">
        <f t="array" ref="E4959">XLOOKUP(A4959,'Fintech, Regulatory Arbitrage, '!A:A,'Fintech, Regulatory Arbitrage, '!C:C,"")</f>
        <v/>
      </c>
    </row>
    <row r="4960">
      <c r="A4960" s="1" t="s">
        <v>4980</v>
      </c>
      <c r="B4960" s="2">
        <v>4.0</v>
      </c>
      <c r="C4960" s="4"/>
      <c r="E4960" s="4" t="str">
        <f t="array" ref="E4960">XLOOKUP(A4960,'Fintech, Regulatory Arbitrage, '!A:A,'Fintech, Regulatory Arbitrage, '!C:C,"")</f>
        <v/>
      </c>
    </row>
    <row r="4961">
      <c r="A4961" s="1" t="s">
        <v>4981</v>
      </c>
      <c r="B4961" s="2">
        <v>4.0</v>
      </c>
      <c r="C4961" s="4"/>
      <c r="E4961" s="4" t="str">
        <f t="array" ref="E4961">XLOOKUP(A4961,'Fintech, Regulatory Arbitrage, '!A:A,'Fintech, Regulatory Arbitrage, '!C:C,"")</f>
        <v/>
      </c>
    </row>
    <row r="4962">
      <c r="A4962" s="1" t="s">
        <v>4982</v>
      </c>
      <c r="B4962" s="2">
        <v>4.0</v>
      </c>
      <c r="C4962" s="4"/>
      <c r="E4962" s="4" t="str">
        <f t="array" ref="E4962">XLOOKUP(A4962,'Fintech, Regulatory Arbitrage, '!A:A,'Fintech, Regulatory Arbitrage, '!C:C,"")</f>
        <v/>
      </c>
    </row>
    <row r="4963">
      <c r="A4963" s="1" t="s">
        <v>4983</v>
      </c>
      <c r="B4963" s="2">
        <v>4.0</v>
      </c>
      <c r="C4963" s="4"/>
      <c r="E4963" s="4" t="str">
        <f t="array" ref="E4963">XLOOKUP(A4963,'Fintech, Regulatory Arbitrage, '!A:A,'Fintech, Regulatory Arbitrage, '!C:C,"")</f>
        <v/>
      </c>
    </row>
    <row r="4964">
      <c r="A4964" s="1" t="s">
        <v>4984</v>
      </c>
      <c r="B4964" s="2">
        <v>4.0</v>
      </c>
      <c r="C4964" s="4"/>
      <c r="E4964" s="4" t="str">
        <f t="array" ref="E4964">XLOOKUP(A4964,'Fintech, Regulatory Arbitrage, '!A:A,'Fintech, Regulatory Arbitrage, '!C:C,"")</f>
        <v/>
      </c>
    </row>
    <row r="4965">
      <c r="A4965" s="1" t="s">
        <v>4985</v>
      </c>
      <c r="B4965" s="2">
        <v>4.0</v>
      </c>
      <c r="C4965" s="4"/>
      <c r="E4965" s="4" t="str">
        <f t="array" ref="E4965">XLOOKUP(A4965,'Fintech, Regulatory Arbitrage, '!A:A,'Fintech, Regulatory Arbitrage, '!C:C,"")</f>
        <v/>
      </c>
    </row>
    <row r="4966">
      <c r="A4966" s="1" t="s">
        <v>4986</v>
      </c>
      <c r="B4966" s="2">
        <v>4.0</v>
      </c>
      <c r="C4966" s="4"/>
      <c r="E4966" s="4" t="str">
        <f t="array" ref="E4966">XLOOKUP(A4966,'Fintech, Regulatory Arbitrage, '!A:A,'Fintech, Regulatory Arbitrage, '!C:C,"")</f>
        <v/>
      </c>
    </row>
    <row r="4967">
      <c r="A4967" s="1" t="s">
        <v>4987</v>
      </c>
      <c r="B4967" s="2">
        <v>4.0</v>
      </c>
      <c r="C4967" s="4"/>
      <c r="E4967" s="4" t="str">
        <f t="array" ref="E4967">XLOOKUP(A4967,'Fintech, Regulatory Arbitrage, '!A:A,'Fintech, Regulatory Arbitrage, '!C:C,"")</f>
        <v/>
      </c>
    </row>
    <row r="4968">
      <c r="A4968" s="1" t="s">
        <v>4988</v>
      </c>
      <c r="B4968" s="2">
        <v>4.0</v>
      </c>
      <c r="C4968" s="4"/>
      <c r="E4968" s="4" t="str">
        <f t="array" ref="E4968">XLOOKUP(A4968,'Fintech, Regulatory Arbitrage, '!A:A,'Fintech, Regulatory Arbitrage, '!C:C,"")</f>
        <v/>
      </c>
    </row>
    <row r="4969">
      <c r="A4969" s="1" t="s">
        <v>4989</v>
      </c>
      <c r="B4969" s="2">
        <v>4.0</v>
      </c>
      <c r="C4969" s="4"/>
      <c r="E4969" s="4" t="str">
        <f t="array" ref="E4969">XLOOKUP(A4969,'Fintech, Regulatory Arbitrage, '!A:A,'Fintech, Regulatory Arbitrage, '!C:C,"")</f>
        <v/>
      </c>
    </row>
    <row r="4970">
      <c r="A4970" s="1" t="s">
        <v>4990</v>
      </c>
      <c r="B4970" s="2">
        <v>4.0</v>
      </c>
      <c r="C4970" s="4"/>
      <c r="E4970" s="4" t="str">
        <f t="array" ref="E4970">XLOOKUP(A4970,'Fintech, Regulatory Arbitrage, '!A:A,'Fintech, Regulatory Arbitrage, '!C:C,"")</f>
        <v/>
      </c>
    </row>
    <row r="4971">
      <c r="A4971" s="1" t="s">
        <v>4991</v>
      </c>
      <c r="B4971" s="2">
        <v>4.0</v>
      </c>
      <c r="C4971" s="4"/>
      <c r="E4971" s="4" t="str">
        <f t="array" ref="E4971">XLOOKUP(A4971,'Fintech, Regulatory Arbitrage, '!A:A,'Fintech, Regulatory Arbitrage, '!C:C,"")</f>
        <v/>
      </c>
    </row>
    <row r="4972">
      <c r="A4972" s="1" t="s">
        <v>4992</v>
      </c>
      <c r="B4972" s="2">
        <v>4.0</v>
      </c>
      <c r="C4972" s="4"/>
      <c r="E4972" s="4" t="str">
        <f t="array" ref="E4972">XLOOKUP(A4972,'Fintech, Regulatory Arbitrage, '!A:A,'Fintech, Regulatory Arbitrage, '!C:C,"")</f>
        <v/>
      </c>
    </row>
    <row r="4973">
      <c r="A4973" s="1" t="s">
        <v>4993</v>
      </c>
      <c r="B4973" s="2">
        <v>4.0</v>
      </c>
      <c r="C4973" s="4"/>
      <c r="E4973" s="4" t="str">
        <f t="array" ref="E4973">XLOOKUP(A4973,'Fintech, Regulatory Arbitrage, '!A:A,'Fintech, Regulatory Arbitrage, '!C:C,"")</f>
        <v/>
      </c>
    </row>
    <row r="4974">
      <c r="A4974" s="1" t="s">
        <v>4994</v>
      </c>
      <c r="B4974" s="2">
        <v>4.0</v>
      </c>
      <c r="C4974" s="4"/>
      <c r="E4974" s="4" t="str">
        <f t="array" ref="E4974">XLOOKUP(A4974,'Fintech, Regulatory Arbitrage, '!A:A,'Fintech, Regulatory Arbitrage, '!C:C,"")</f>
        <v/>
      </c>
    </row>
    <row r="4975">
      <c r="A4975" s="1" t="s">
        <v>4995</v>
      </c>
      <c r="B4975" s="2">
        <v>4.0</v>
      </c>
      <c r="C4975" s="4"/>
      <c r="E4975" s="4" t="str">
        <f t="array" ref="E4975">XLOOKUP(A4975,'Fintech, Regulatory Arbitrage, '!A:A,'Fintech, Regulatory Arbitrage, '!C:C,"")</f>
        <v/>
      </c>
    </row>
    <row r="4976">
      <c r="A4976" s="1" t="s">
        <v>4996</v>
      </c>
      <c r="B4976" s="2">
        <v>4.0</v>
      </c>
      <c r="C4976" s="4"/>
      <c r="E4976" s="4" t="str">
        <f t="array" ref="E4976">XLOOKUP(A4976,'Fintech, Regulatory Arbitrage, '!A:A,'Fintech, Regulatory Arbitrage, '!C:C,"")</f>
        <v/>
      </c>
    </row>
    <row r="4977">
      <c r="A4977" s="1" t="s">
        <v>4997</v>
      </c>
      <c r="B4977" s="2">
        <v>4.0</v>
      </c>
      <c r="C4977" s="4"/>
      <c r="E4977" s="4" t="str">
        <f t="array" ref="E4977">XLOOKUP(A4977,'Fintech, Regulatory Arbitrage, '!A:A,'Fintech, Regulatory Arbitrage, '!C:C,"")</f>
        <v/>
      </c>
    </row>
    <row r="4978">
      <c r="A4978" s="1" t="s">
        <v>4998</v>
      </c>
      <c r="B4978" s="2">
        <v>4.0</v>
      </c>
      <c r="C4978" s="4"/>
      <c r="E4978" s="4" t="str">
        <f t="array" ref="E4978">XLOOKUP(A4978,'Fintech, Regulatory Arbitrage, '!A:A,'Fintech, Regulatory Arbitrage, '!C:C,"")</f>
        <v/>
      </c>
    </row>
    <row r="4979">
      <c r="A4979" s="1" t="s">
        <v>4999</v>
      </c>
      <c r="B4979" s="2">
        <v>4.0</v>
      </c>
      <c r="C4979" s="4"/>
      <c r="E4979" s="4" t="str">
        <f t="array" ref="E4979">XLOOKUP(A4979,'Fintech, Regulatory Arbitrage, '!A:A,'Fintech, Regulatory Arbitrage, '!C:C,"")</f>
        <v/>
      </c>
    </row>
    <row r="4980">
      <c r="A4980" s="1" t="s">
        <v>5000</v>
      </c>
      <c r="B4980" s="2">
        <v>4.0</v>
      </c>
      <c r="C4980" s="4"/>
      <c r="E4980" s="4" t="str">
        <f t="array" ref="E4980">XLOOKUP(A4980,'Fintech, Regulatory Arbitrage, '!A:A,'Fintech, Regulatory Arbitrage, '!C:C,"")</f>
        <v/>
      </c>
    </row>
    <row r="4981">
      <c r="A4981" s="1" t="s">
        <v>5001</v>
      </c>
      <c r="B4981" s="2">
        <v>4.0</v>
      </c>
      <c r="C4981" s="4"/>
      <c r="E4981" s="4" t="str">
        <f t="array" ref="E4981">XLOOKUP(A4981,'Fintech, Regulatory Arbitrage, '!A:A,'Fintech, Regulatory Arbitrage, '!C:C,"")</f>
        <v/>
      </c>
    </row>
    <row r="4982">
      <c r="A4982" s="1" t="s">
        <v>5002</v>
      </c>
      <c r="B4982" s="2">
        <v>4.0</v>
      </c>
      <c r="C4982" s="4"/>
      <c r="E4982" s="4" t="str">
        <f t="array" ref="E4982">XLOOKUP(A4982,'Fintech, Regulatory Arbitrage, '!A:A,'Fintech, Regulatory Arbitrage, '!C:C,"")</f>
        <v/>
      </c>
    </row>
    <row r="4983">
      <c r="A4983" s="1" t="s">
        <v>5003</v>
      </c>
      <c r="B4983" s="2">
        <v>4.0</v>
      </c>
      <c r="C4983" s="4"/>
      <c r="E4983" s="4" t="str">
        <f t="array" ref="E4983">XLOOKUP(A4983,'Fintech, Regulatory Arbitrage, '!A:A,'Fintech, Regulatory Arbitrage, '!C:C,"")</f>
        <v/>
      </c>
    </row>
    <row r="4984">
      <c r="A4984" s="1" t="s">
        <v>5004</v>
      </c>
      <c r="B4984" s="2">
        <v>4.0</v>
      </c>
      <c r="C4984" s="4"/>
      <c r="E4984" s="4" t="str">
        <f t="array" ref="E4984">XLOOKUP(A4984,'Fintech, Regulatory Arbitrage, '!A:A,'Fintech, Regulatory Arbitrage, '!C:C,"")</f>
        <v/>
      </c>
    </row>
    <row r="4985">
      <c r="A4985" s="1" t="s">
        <v>5005</v>
      </c>
      <c r="B4985" s="2">
        <v>4.0</v>
      </c>
      <c r="C4985" s="4"/>
      <c r="E4985" s="4" t="str">
        <f t="array" ref="E4985">XLOOKUP(A4985,'Fintech, Regulatory Arbitrage, '!A:A,'Fintech, Regulatory Arbitrage, '!C:C,"")</f>
        <v/>
      </c>
    </row>
    <row r="4986">
      <c r="A4986" s="1" t="s">
        <v>5006</v>
      </c>
      <c r="B4986" s="2">
        <v>4.0</v>
      </c>
      <c r="C4986" s="4"/>
      <c r="E4986" s="4" t="str">
        <f t="array" ref="E4986">XLOOKUP(A4986,'Fintech, Regulatory Arbitrage, '!A:A,'Fintech, Regulatory Arbitrage, '!C:C,"")</f>
        <v/>
      </c>
    </row>
    <row r="4987">
      <c r="A4987" s="1" t="s">
        <v>5007</v>
      </c>
      <c r="B4987" s="2">
        <v>4.0</v>
      </c>
      <c r="C4987" s="4"/>
      <c r="E4987" s="4" t="str">
        <f t="array" ref="E4987">XLOOKUP(A4987,'Fintech, Regulatory Arbitrage, '!A:A,'Fintech, Regulatory Arbitrage, '!C:C,"")</f>
        <v/>
      </c>
    </row>
    <row r="4988">
      <c r="A4988" s="1" t="s">
        <v>5008</v>
      </c>
      <c r="B4988" s="2">
        <v>4.0</v>
      </c>
      <c r="C4988" s="4"/>
      <c r="E4988" s="4" t="str">
        <f t="array" ref="E4988">XLOOKUP(A4988,'Fintech, Regulatory Arbitrage, '!A:A,'Fintech, Regulatory Arbitrage, '!C:C,"")</f>
        <v/>
      </c>
    </row>
    <row r="4989">
      <c r="A4989" s="1" t="s">
        <v>5009</v>
      </c>
      <c r="B4989" s="2">
        <v>4.0</v>
      </c>
      <c r="C4989" s="4"/>
      <c r="E4989" s="4" t="str">
        <f t="array" ref="E4989">XLOOKUP(A4989,'Fintech, Regulatory Arbitrage, '!A:A,'Fintech, Regulatory Arbitrage, '!C:C,"")</f>
        <v/>
      </c>
    </row>
    <row r="4990">
      <c r="A4990" s="1" t="s">
        <v>5010</v>
      </c>
      <c r="B4990" s="2">
        <v>4.0</v>
      </c>
      <c r="C4990" s="4"/>
      <c r="E4990" s="4" t="str">
        <f t="array" ref="E4990">XLOOKUP(A4990,'Fintech, Regulatory Arbitrage, '!A:A,'Fintech, Regulatory Arbitrage, '!C:C,"")</f>
        <v/>
      </c>
    </row>
    <row r="4991">
      <c r="A4991" s="1" t="s">
        <v>5011</v>
      </c>
      <c r="B4991" s="2">
        <v>4.0</v>
      </c>
      <c r="C4991" s="4"/>
      <c r="E4991" s="4" t="str">
        <f t="array" ref="E4991">XLOOKUP(A4991,'Fintech, Regulatory Arbitrage, '!A:A,'Fintech, Regulatory Arbitrage, '!C:C,"")</f>
        <v/>
      </c>
    </row>
    <row r="4992">
      <c r="A4992" s="1" t="s">
        <v>5012</v>
      </c>
      <c r="B4992" s="2">
        <v>4.0</v>
      </c>
      <c r="C4992" s="4"/>
      <c r="E4992" s="4" t="str">
        <f t="array" ref="E4992">XLOOKUP(A4992,'Fintech, Regulatory Arbitrage, '!A:A,'Fintech, Regulatory Arbitrage, '!C:C,"")</f>
        <v/>
      </c>
    </row>
    <row r="4993">
      <c r="A4993" s="1" t="s">
        <v>5013</v>
      </c>
      <c r="B4993" s="2">
        <v>4.0</v>
      </c>
      <c r="C4993" s="4"/>
      <c r="E4993" s="4" t="str">
        <f t="array" ref="E4993">XLOOKUP(A4993,'Fintech, Regulatory Arbitrage, '!A:A,'Fintech, Regulatory Arbitrage, '!C:C,"")</f>
        <v/>
      </c>
    </row>
    <row r="4994">
      <c r="A4994" s="1" t="s">
        <v>5014</v>
      </c>
      <c r="B4994" s="2">
        <v>4.0</v>
      </c>
      <c r="C4994" s="4"/>
      <c r="E4994" s="4" t="str">
        <f t="array" ref="E4994">XLOOKUP(A4994,'Fintech, Regulatory Arbitrage, '!A:A,'Fintech, Regulatory Arbitrage, '!C:C,"")</f>
        <v/>
      </c>
    </row>
    <row r="4995">
      <c r="A4995" s="1" t="s">
        <v>5015</v>
      </c>
      <c r="B4995" s="2">
        <v>4.0</v>
      </c>
      <c r="C4995" s="4"/>
      <c r="E4995" s="4" t="str">
        <f t="array" ref="E4995">XLOOKUP(A4995,'Fintech, Regulatory Arbitrage, '!A:A,'Fintech, Regulatory Arbitrage, '!C:C,"")</f>
        <v/>
      </c>
    </row>
    <row r="4996">
      <c r="A4996" s="1" t="s">
        <v>5016</v>
      </c>
      <c r="B4996" s="2">
        <v>4.0</v>
      </c>
      <c r="C4996" s="4"/>
      <c r="E4996" s="4" t="str">
        <f t="array" ref="E4996">XLOOKUP(A4996,'Fintech, Regulatory Arbitrage, '!A:A,'Fintech, Regulatory Arbitrage, '!C:C,"")</f>
        <v/>
      </c>
    </row>
    <row r="4997">
      <c r="A4997" s="1" t="s">
        <v>5017</v>
      </c>
      <c r="B4997" s="2">
        <v>4.0</v>
      </c>
      <c r="C4997" s="4"/>
      <c r="E4997" s="4" t="str">
        <f t="array" ref="E4997">XLOOKUP(A4997,'Fintech, Regulatory Arbitrage, '!A:A,'Fintech, Regulatory Arbitrage, '!C:C,"")</f>
        <v/>
      </c>
    </row>
    <row r="4998">
      <c r="A4998" s="1" t="s">
        <v>5018</v>
      </c>
      <c r="B4998" s="2">
        <v>4.0</v>
      </c>
      <c r="C4998" s="4"/>
      <c r="E4998" s="4" t="str">
        <f t="array" ref="E4998">XLOOKUP(A4998,'Fintech, Regulatory Arbitrage, '!A:A,'Fintech, Regulatory Arbitrage, '!C:C,"")</f>
        <v/>
      </c>
    </row>
    <row r="4999">
      <c r="A4999" s="1" t="s">
        <v>5019</v>
      </c>
      <c r="B4999" s="2">
        <v>4.0</v>
      </c>
      <c r="C4999" s="4"/>
      <c r="E4999" s="4" t="str">
        <f t="array" ref="E4999">XLOOKUP(A4999,'Fintech, Regulatory Arbitrage, '!A:A,'Fintech, Regulatory Arbitrage, '!C:C,"")</f>
        <v/>
      </c>
    </row>
    <row r="5000">
      <c r="A5000" s="1" t="s">
        <v>5020</v>
      </c>
      <c r="B5000" s="2">
        <v>4.0</v>
      </c>
      <c r="C5000" s="4"/>
      <c r="E5000" s="4" t="str">
        <f t="array" ref="E5000">XLOOKUP(A5000,'Fintech, Regulatory Arbitrage, '!A:A,'Fintech, Regulatory Arbitrage, '!C:C,"")</f>
        <v/>
      </c>
    </row>
    <row r="5001">
      <c r="A5001" s="1" t="s">
        <v>5021</v>
      </c>
      <c r="B5001" s="2">
        <v>4.0</v>
      </c>
      <c r="C5001" s="4"/>
      <c r="E5001" s="4" t="str">
        <f t="array" ref="E5001">XLOOKUP(A5001,'Fintech, Regulatory Arbitrage, '!A:A,'Fintech, Regulatory Arbitrage, '!C:C,"")</f>
        <v/>
      </c>
    </row>
    <row r="5002">
      <c r="A5002" s="1" t="s">
        <v>5022</v>
      </c>
      <c r="B5002" s="2">
        <v>4.0</v>
      </c>
      <c r="C5002" s="4"/>
      <c r="E5002" s="4" t="str">
        <f t="array" ref="E5002">XLOOKUP(A5002,'Fintech, Regulatory Arbitrage, '!A:A,'Fintech, Regulatory Arbitrage, '!C:C,"")</f>
        <v/>
      </c>
    </row>
    <row r="5003">
      <c r="A5003" s="1" t="s">
        <v>5023</v>
      </c>
      <c r="B5003" s="2">
        <v>4.0</v>
      </c>
      <c r="C5003" s="4"/>
      <c r="E5003" s="4" t="str">
        <f t="array" ref="E5003">XLOOKUP(A5003,'Fintech, Regulatory Arbitrage, '!A:A,'Fintech, Regulatory Arbitrage, '!C:C,"")</f>
        <v/>
      </c>
    </row>
    <row r="5004">
      <c r="A5004" s="1" t="s">
        <v>5024</v>
      </c>
      <c r="B5004" s="2">
        <v>4.0</v>
      </c>
      <c r="C5004" s="4"/>
      <c r="E5004" s="4" t="str">
        <f t="array" ref="E5004">XLOOKUP(A5004,'Fintech, Regulatory Arbitrage, '!A:A,'Fintech, Regulatory Arbitrage, '!C:C,"")</f>
        <v/>
      </c>
    </row>
    <row r="5005">
      <c r="A5005" s="1" t="s">
        <v>5025</v>
      </c>
      <c r="B5005" s="2">
        <v>4.0</v>
      </c>
      <c r="C5005" s="4"/>
      <c r="E5005" s="4" t="str">
        <f t="array" ref="E5005">XLOOKUP(A5005,'Fintech, Regulatory Arbitrage, '!A:A,'Fintech, Regulatory Arbitrage, '!C:C,"")</f>
        <v/>
      </c>
    </row>
    <row r="5006">
      <c r="A5006" s="1" t="s">
        <v>5026</v>
      </c>
      <c r="B5006" s="2">
        <v>4.0</v>
      </c>
      <c r="C5006" s="4"/>
      <c r="E5006" s="4" t="str">
        <f t="array" ref="E5006">XLOOKUP(A5006,'Fintech, Regulatory Arbitrage, '!A:A,'Fintech, Regulatory Arbitrage, '!C:C,"")</f>
        <v/>
      </c>
    </row>
    <row r="5007">
      <c r="A5007" s="1" t="s">
        <v>5027</v>
      </c>
      <c r="B5007" s="2">
        <v>4.0</v>
      </c>
      <c r="C5007" s="4"/>
      <c r="E5007" s="4" t="str">
        <f t="array" ref="E5007">XLOOKUP(A5007,'Fintech, Regulatory Arbitrage, '!A:A,'Fintech, Regulatory Arbitrage, '!C:C,"")</f>
        <v/>
      </c>
    </row>
    <row r="5008">
      <c r="A5008" s="1" t="s">
        <v>5028</v>
      </c>
      <c r="B5008" s="2">
        <v>4.0</v>
      </c>
      <c r="C5008" s="4"/>
      <c r="E5008" s="4" t="str">
        <f t="array" ref="E5008">XLOOKUP(A5008,'Fintech, Regulatory Arbitrage, '!A:A,'Fintech, Regulatory Arbitrage, '!C:C,"")</f>
        <v/>
      </c>
    </row>
    <row r="5009">
      <c r="A5009" s="1" t="s">
        <v>5029</v>
      </c>
      <c r="B5009" s="2">
        <v>4.0</v>
      </c>
      <c r="C5009" s="4"/>
      <c r="E5009" s="4" t="str">
        <f t="array" ref="E5009">XLOOKUP(A5009,'Fintech, Regulatory Arbitrage, '!A:A,'Fintech, Regulatory Arbitrage, '!C:C,"")</f>
        <v/>
      </c>
    </row>
    <row r="5010">
      <c r="A5010" s="1" t="s">
        <v>5030</v>
      </c>
      <c r="B5010" s="2">
        <v>4.0</v>
      </c>
      <c r="C5010" s="4"/>
      <c r="E5010" s="4" t="str">
        <f t="array" ref="E5010">XLOOKUP(A5010,'Fintech, Regulatory Arbitrage, '!A:A,'Fintech, Regulatory Arbitrage, '!C:C,"")</f>
        <v/>
      </c>
    </row>
    <row r="5011">
      <c r="A5011" s="1" t="s">
        <v>5031</v>
      </c>
      <c r="B5011" s="2">
        <v>4.0</v>
      </c>
      <c r="C5011" s="4"/>
      <c r="E5011" s="4" t="str">
        <f t="array" ref="E5011">XLOOKUP(A5011,'Fintech, Regulatory Arbitrage, '!A:A,'Fintech, Regulatory Arbitrage, '!C:C,"")</f>
        <v/>
      </c>
    </row>
    <row r="5012">
      <c r="A5012" s="1" t="s">
        <v>5032</v>
      </c>
      <c r="B5012" s="2">
        <v>4.0</v>
      </c>
      <c r="C5012" s="4"/>
      <c r="E5012" s="4" t="str">
        <f t="array" ref="E5012">XLOOKUP(A5012,'Fintech, Regulatory Arbitrage, '!A:A,'Fintech, Regulatory Arbitrage, '!C:C,"")</f>
        <v/>
      </c>
    </row>
    <row r="5013">
      <c r="A5013" s="1" t="s">
        <v>5033</v>
      </c>
      <c r="B5013" s="2">
        <v>4.0</v>
      </c>
      <c r="C5013" s="4"/>
      <c r="E5013" s="4" t="str">
        <f t="array" ref="E5013">XLOOKUP(A5013,'Fintech, Regulatory Arbitrage, '!A:A,'Fintech, Regulatory Arbitrage, '!C:C,"")</f>
        <v/>
      </c>
    </row>
    <row r="5014">
      <c r="A5014" s="1" t="s">
        <v>5034</v>
      </c>
      <c r="B5014" s="2">
        <v>4.0</v>
      </c>
      <c r="C5014" s="4"/>
      <c r="E5014" s="4" t="str">
        <f t="array" ref="E5014">XLOOKUP(A5014,'Fintech, Regulatory Arbitrage, '!A:A,'Fintech, Regulatory Arbitrage, '!C:C,"")</f>
        <v/>
      </c>
    </row>
    <row r="5015">
      <c r="A5015" s="1" t="s">
        <v>5035</v>
      </c>
      <c r="B5015" s="2">
        <v>4.0</v>
      </c>
      <c r="C5015" s="4"/>
      <c r="E5015" s="4" t="str">
        <f t="array" ref="E5015">XLOOKUP(A5015,'Fintech, Regulatory Arbitrage, '!A:A,'Fintech, Regulatory Arbitrage, '!C:C,"")</f>
        <v/>
      </c>
    </row>
    <row r="5016">
      <c r="A5016" s="1" t="s">
        <v>5036</v>
      </c>
      <c r="B5016" s="2">
        <v>4.0</v>
      </c>
      <c r="C5016" s="4"/>
      <c r="E5016" s="4" t="str">
        <f t="array" ref="E5016">XLOOKUP(A5016,'Fintech, Regulatory Arbitrage, '!A:A,'Fintech, Regulatory Arbitrage, '!C:C,"")</f>
        <v/>
      </c>
    </row>
    <row r="5017">
      <c r="A5017" s="1" t="s">
        <v>5037</v>
      </c>
      <c r="B5017" s="2">
        <v>4.0</v>
      </c>
      <c r="C5017" s="4"/>
      <c r="E5017" s="4" t="str">
        <f t="array" ref="E5017">XLOOKUP(A5017,'Fintech, Regulatory Arbitrage, '!A:A,'Fintech, Regulatory Arbitrage, '!C:C,"")</f>
        <v/>
      </c>
    </row>
    <row r="5018">
      <c r="A5018" s="1" t="s">
        <v>5038</v>
      </c>
      <c r="B5018" s="2">
        <v>4.0</v>
      </c>
      <c r="C5018" s="4"/>
      <c r="E5018" s="4" t="str">
        <f t="array" ref="E5018">XLOOKUP(A5018,'Fintech, Regulatory Arbitrage, '!A:A,'Fintech, Regulatory Arbitrage, '!C:C,"")</f>
        <v/>
      </c>
    </row>
    <row r="5019">
      <c r="A5019" s="1" t="s">
        <v>5039</v>
      </c>
      <c r="B5019" s="2">
        <v>4.0</v>
      </c>
      <c r="C5019" s="4"/>
      <c r="E5019" s="4" t="str">
        <f t="array" ref="E5019">XLOOKUP(A5019,'Fintech, Regulatory Arbitrage, '!A:A,'Fintech, Regulatory Arbitrage, '!C:C,"")</f>
        <v/>
      </c>
    </row>
    <row r="5020">
      <c r="A5020" s="1" t="s">
        <v>5040</v>
      </c>
      <c r="B5020" s="2">
        <v>4.0</v>
      </c>
      <c r="C5020" s="4"/>
      <c r="E5020" s="4" t="str">
        <f t="array" ref="E5020">XLOOKUP(A5020,'Fintech, Regulatory Arbitrage, '!A:A,'Fintech, Regulatory Arbitrage, '!C:C,"")</f>
        <v/>
      </c>
    </row>
    <row r="5021">
      <c r="A5021" s="1" t="s">
        <v>5041</v>
      </c>
      <c r="B5021" s="2">
        <v>4.0</v>
      </c>
      <c r="C5021" s="4"/>
      <c r="E5021" s="4" t="str">
        <f t="array" ref="E5021">XLOOKUP(A5021,'Fintech, Regulatory Arbitrage, '!A:A,'Fintech, Regulatory Arbitrage, '!C:C,"")</f>
        <v/>
      </c>
    </row>
    <row r="5022">
      <c r="A5022" s="1" t="s">
        <v>5042</v>
      </c>
      <c r="B5022" s="2">
        <v>4.0</v>
      </c>
      <c r="C5022" s="4"/>
      <c r="E5022" s="4" t="str">
        <f t="array" ref="E5022">XLOOKUP(A5022,'Fintech, Regulatory Arbitrage, '!A:A,'Fintech, Regulatory Arbitrage, '!C:C,"")</f>
        <v/>
      </c>
    </row>
    <row r="5023">
      <c r="A5023" s="1" t="s">
        <v>5043</v>
      </c>
      <c r="B5023" s="2">
        <v>4.0</v>
      </c>
      <c r="C5023" s="4"/>
      <c r="E5023" s="4" t="str">
        <f t="array" ref="E5023">XLOOKUP(A5023,'Fintech, Regulatory Arbitrage, '!A:A,'Fintech, Regulatory Arbitrage, '!C:C,"")</f>
        <v/>
      </c>
    </row>
    <row r="5024">
      <c r="A5024" s="1" t="s">
        <v>5044</v>
      </c>
      <c r="B5024" s="2">
        <v>4.0</v>
      </c>
      <c r="C5024" s="4"/>
      <c r="E5024" s="4" t="str">
        <f t="array" ref="E5024">XLOOKUP(A5024,'Fintech, Regulatory Arbitrage, '!A:A,'Fintech, Regulatory Arbitrage, '!C:C,"")</f>
        <v/>
      </c>
    </row>
    <row r="5025">
      <c r="A5025" s="1" t="s">
        <v>5045</v>
      </c>
      <c r="B5025" s="2">
        <v>4.0</v>
      </c>
      <c r="C5025" s="4"/>
      <c r="E5025" s="4" t="str">
        <f t="array" ref="E5025">XLOOKUP(A5025,'Fintech, Regulatory Arbitrage, '!A:A,'Fintech, Regulatory Arbitrage, '!C:C,"")</f>
        <v/>
      </c>
    </row>
    <row r="5026">
      <c r="A5026" s="1" t="s">
        <v>5046</v>
      </c>
      <c r="B5026" s="2">
        <v>4.0</v>
      </c>
      <c r="C5026" s="4"/>
      <c r="E5026" s="4" t="str">
        <f t="array" ref="E5026">XLOOKUP(A5026,'Fintech, Regulatory Arbitrage, '!A:A,'Fintech, Regulatory Arbitrage, '!C:C,"")</f>
        <v/>
      </c>
    </row>
    <row r="5027">
      <c r="A5027" s="1" t="s">
        <v>5047</v>
      </c>
      <c r="B5027" s="2">
        <v>4.0</v>
      </c>
      <c r="C5027" s="4"/>
      <c r="E5027" s="4" t="str">
        <f t="array" ref="E5027">XLOOKUP(A5027,'Fintech, Regulatory Arbitrage, '!A:A,'Fintech, Regulatory Arbitrage, '!C:C,"")</f>
        <v/>
      </c>
    </row>
    <row r="5028">
      <c r="A5028" s="1" t="s">
        <v>5048</v>
      </c>
      <c r="B5028" s="2">
        <v>4.0</v>
      </c>
      <c r="C5028" s="4"/>
      <c r="E5028" s="4" t="str">
        <f t="array" ref="E5028">XLOOKUP(A5028,'Fintech, Regulatory Arbitrage, '!A:A,'Fintech, Regulatory Arbitrage, '!C:C,"")</f>
        <v/>
      </c>
    </row>
    <row r="5029">
      <c r="A5029" s="1" t="s">
        <v>5049</v>
      </c>
      <c r="B5029" s="2">
        <v>4.0</v>
      </c>
      <c r="C5029" s="4"/>
      <c r="E5029" s="4" t="str">
        <f t="array" ref="E5029">XLOOKUP(A5029,'Fintech, Regulatory Arbitrage, '!A:A,'Fintech, Regulatory Arbitrage, '!C:C,"")</f>
        <v/>
      </c>
    </row>
    <row r="5030">
      <c r="A5030" s="1" t="s">
        <v>5050</v>
      </c>
      <c r="B5030" s="2">
        <v>4.0</v>
      </c>
      <c r="C5030" s="4"/>
      <c r="E5030" s="4" t="str">
        <f t="array" ref="E5030">XLOOKUP(A5030,'Fintech, Regulatory Arbitrage, '!A:A,'Fintech, Regulatory Arbitrage, '!C:C,"")</f>
        <v/>
      </c>
    </row>
    <row r="5031">
      <c r="A5031" s="1" t="s">
        <v>5051</v>
      </c>
      <c r="B5031" s="2">
        <v>4.0</v>
      </c>
      <c r="C5031" s="4"/>
      <c r="E5031" s="4" t="str">
        <f t="array" ref="E5031">XLOOKUP(A5031,'Fintech, Regulatory Arbitrage, '!A:A,'Fintech, Regulatory Arbitrage, '!C:C,"")</f>
        <v/>
      </c>
    </row>
    <row r="5032">
      <c r="A5032" s="1" t="s">
        <v>5052</v>
      </c>
      <c r="B5032" s="2">
        <v>4.0</v>
      </c>
      <c r="C5032" s="4"/>
      <c r="E5032" s="4" t="str">
        <f t="array" ref="E5032">XLOOKUP(A5032,'Fintech, Regulatory Arbitrage, '!A:A,'Fintech, Regulatory Arbitrage, '!C:C,"")</f>
        <v/>
      </c>
    </row>
    <row r="5033">
      <c r="A5033" s="1" t="s">
        <v>5053</v>
      </c>
      <c r="B5033" s="2">
        <v>4.0</v>
      </c>
      <c r="C5033" s="4"/>
      <c r="E5033" s="4" t="str">
        <f t="array" ref="E5033">XLOOKUP(A5033,'Fintech, Regulatory Arbitrage, '!A:A,'Fintech, Regulatory Arbitrage, '!C:C,"")</f>
        <v/>
      </c>
    </row>
    <row r="5034">
      <c r="A5034" s="1" t="s">
        <v>5054</v>
      </c>
      <c r="B5034" s="2">
        <v>4.0</v>
      </c>
      <c r="C5034" s="4"/>
      <c r="E5034" s="4" t="str">
        <f t="array" ref="E5034">XLOOKUP(A5034,'Fintech, Regulatory Arbitrage, '!A:A,'Fintech, Regulatory Arbitrage, '!C:C,"")</f>
        <v/>
      </c>
    </row>
    <row r="5035">
      <c r="A5035" s="1" t="s">
        <v>5055</v>
      </c>
      <c r="B5035" s="2">
        <v>4.0</v>
      </c>
      <c r="C5035" s="4"/>
      <c r="E5035" s="4" t="str">
        <f t="array" ref="E5035">XLOOKUP(A5035,'Fintech, Regulatory Arbitrage, '!A:A,'Fintech, Regulatory Arbitrage, '!C:C,"")</f>
        <v/>
      </c>
    </row>
    <row r="5036">
      <c r="A5036" s="1" t="s">
        <v>5056</v>
      </c>
      <c r="B5036" s="2">
        <v>4.0</v>
      </c>
      <c r="C5036" s="4"/>
      <c r="E5036" s="4" t="str">
        <f t="array" ref="E5036">XLOOKUP(A5036,'Fintech, Regulatory Arbitrage, '!A:A,'Fintech, Regulatory Arbitrage, '!C:C,"")</f>
        <v/>
      </c>
    </row>
    <row r="5037">
      <c r="A5037" s="1" t="s">
        <v>5057</v>
      </c>
      <c r="B5037" s="2">
        <v>4.0</v>
      </c>
      <c r="C5037" s="4"/>
      <c r="E5037" s="4" t="str">
        <f t="array" ref="E5037">XLOOKUP(A5037,'Fintech, Regulatory Arbitrage, '!A:A,'Fintech, Regulatory Arbitrage, '!C:C,"")</f>
        <v/>
      </c>
    </row>
    <row r="5038">
      <c r="A5038" s="1" t="s">
        <v>5058</v>
      </c>
      <c r="B5038" s="2">
        <v>4.0</v>
      </c>
      <c r="C5038" s="4"/>
      <c r="E5038" s="4" t="str">
        <f t="array" ref="E5038">XLOOKUP(A5038,'Fintech, Regulatory Arbitrage, '!A:A,'Fintech, Regulatory Arbitrage, '!C:C,"")</f>
        <v/>
      </c>
    </row>
    <row r="5039">
      <c r="A5039" s="1" t="s">
        <v>5059</v>
      </c>
      <c r="B5039" s="2">
        <v>4.0</v>
      </c>
      <c r="C5039" s="4"/>
      <c r="E5039" s="4" t="str">
        <f t="array" ref="E5039">XLOOKUP(A5039,'Fintech, Regulatory Arbitrage, '!A:A,'Fintech, Regulatory Arbitrage, '!C:C,"")</f>
        <v/>
      </c>
    </row>
    <row r="5040">
      <c r="A5040" s="1" t="s">
        <v>5060</v>
      </c>
      <c r="B5040" s="2">
        <v>4.0</v>
      </c>
      <c r="C5040" s="4"/>
      <c r="E5040" s="4" t="str">
        <f t="array" ref="E5040">XLOOKUP(A5040,'Fintech, Regulatory Arbitrage, '!A:A,'Fintech, Regulatory Arbitrage, '!C:C,"")</f>
        <v/>
      </c>
    </row>
    <row r="5041">
      <c r="A5041" s="1" t="s">
        <v>5061</v>
      </c>
      <c r="B5041" s="2">
        <v>4.0</v>
      </c>
      <c r="C5041" s="4"/>
      <c r="E5041" s="4" t="str">
        <f t="array" ref="E5041">XLOOKUP(A5041,'Fintech, Regulatory Arbitrage, '!A:A,'Fintech, Regulatory Arbitrage, '!C:C,"")</f>
        <v/>
      </c>
    </row>
    <row r="5042">
      <c r="A5042" s="1" t="s">
        <v>5062</v>
      </c>
      <c r="B5042" s="2">
        <v>4.0</v>
      </c>
      <c r="C5042" s="4"/>
      <c r="E5042" s="4" t="str">
        <f t="array" ref="E5042">XLOOKUP(A5042,'Fintech, Regulatory Arbitrage, '!A:A,'Fintech, Regulatory Arbitrage, '!C:C,"")</f>
        <v/>
      </c>
    </row>
    <row r="5043">
      <c r="A5043" s="1" t="s">
        <v>5063</v>
      </c>
      <c r="B5043" s="2">
        <v>4.0</v>
      </c>
      <c r="C5043" s="4"/>
      <c r="E5043" s="4" t="str">
        <f t="array" ref="E5043">XLOOKUP(A5043,'Fintech, Regulatory Arbitrage, '!A:A,'Fintech, Regulatory Arbitrage, '!C:C,"")</f>
        <v/>
      </c>
    </row>
    <row r="5044">
      <c r="A5044" s="1" t="s">
        <v>5064</v>
      </c>
      <c r="B5044" s="2">
        <v>4.0</v>
      </c>
      <c r="C5044" s="4"/>
      <c r="E5044" s="4" t="str">
        <f t="array" ref="E5044">XLOOKUP(A5044,'Fintech, Regulatory Arbitrage, '!A:A,'Fintech, Regulatory Arbitrage, '!C:C,"")</f>
        <v/>
      </c>
    </row>
    <row r="5045">
      <c r="A5045" s="1" t="s">
        <v>5065</v>
      </c>
      <c r="B5045" s="2">
        <v>4.0</v>
      </c>
      <c r="C5045" s="4"/>
      <c r="E5045" s="4" t="str">
        <f t="array" ref="E5045">XLOOKUP(A5045,'Fintech, Regulatory Arbitrage, '!A:A,'Fintech, Regulatory Arbitrage, '!C:C,"")</f>
        <v/>
      </c>
    </row>
    <row r="5046">
      <c r="A5046" s="1" t="s">
        <v>5066</v>
      </c>
      <c r="B5046" s="2">
        <v>4.0</v>
      </c>
      <c r="C5046" s="4"/>
      <c r="E5046" s="4" t="str">
        <f t="array" ref="E5046">XLOOKUP(A5046,'Fintech, Regulatory Arbitrage, '!A:A,'Fintech, Regulatory Arbitrage, '!C:C,"")</f>
        <v/>
      </c>
    </row>
    <row r="5047">
      <c r="A5047" s="1" t="s">
        <v>5067</v>
      </c>
      <c r="B5047" s="2">
        <v>4.0</v>
      </c>
      <c r="C5047" s="4"/>
      <c r="E5047" s="4" t="str">
        <f t="array" ref="E5047">XLOOKUP(A5047,'Fintech, Regulatory Arbitrage, '!A:A,'Fintech, Regulatory Arbitrage, '!C:C,"")</f>
        <v/>
      </c>
    </row>
    <row r="5048">
      <c r="A5048" s="1" t="s">
        <v>5068</v>
      </c>
      <c r="B5048" s="2">
        <v>4.0</v>
      </c>
      <c r="C5048" s="4"/>
      <c r="E5048" s="4" t="str">
        <f t="array" ref="E5048">XLOOKUP(A5048,'Fintech, Regulatory Arbitrage, '!A:A,'Fintech, Regulatory Arbitrage, '!C:C,"")</f>
        <v/>
      </c>
    </row>
    <row r="5049">
      <c r="A5049" s="1" t="s">
        <v>5069</v>
      </c>
      <c r="B5049" s="2">
        <v>4.0</v>
      </c>
      <c r="C5049" s="4"/>
      <c r="E5049" s="4" t="str">
        <f t="array" ref="E5049">XLOOKUP(A5049,'Fintech, Regulatory Arbitrage, '!A:A,'Fintech, Regulatory Arbitrage, '!C:C,"")</f>
        <v/>
      </c>
    </row>
    <row r="5050">
      <c r="A5050" s="1" t="s">
        <v>5070</v>
      </c>
      <c r="B5050" s="2">
        <v>4.0</v>
      </c>
      <c r="C5050" s="4"/>
      <c r="E5050" s="4" t="str">
        <f t="array" ref="E5050">XLOOKUP(A5050,'Fintech, Regulatory Arbitrage, '!A:A,'Fintech, Regulatory Arbitrage, '!C:C,"")</f>
        <v/>
      </c>
    </row>
    <row r="5051">
      <c r="A5051" s="1" t="s">
        <v>5071</v>
      </c>
      <c r="B5051" s="2">
        <v>4.0</v>
      </c>
      <c r="C5051" s="4"/>
      <c r="E5051" s="4" t="str">
        <f t="array" ref="E5051">XLOOKUP(A5051,'Fintech, Regulatory Arbitrage, '!A:A,'Fintech, Regulatory Arbitrage, '!C:C,"")</f>
        <v/>
      </c>
    </row>
    <row r="5052">
      <c r="A5052" s="1" t="s">
        <v>5072</v>
      </c>
      <c r="B5052" s="2">
        <v>4.0</v>
      </c>
      <c r="C5052" s="4"/>
      <c r="E5052" s="4" t="str">
        <f t="array" ref="E5052">XLOOKUP(A5052,'Fintech, Regulatory Arbitrage, '!A:A,'Fintech, Regulatory Arbitrage, '!C:C,"")</f>
        <v/>
      </c>
    </row>
    <row r="5053">
      <c r="A5053" s="1" t="s">
        <v>5073</v>
      </c>
      <c r="B5053" s="2">
        <v>4.0</v>
      </c>
      <c r="C5053" s="4"/>
      <c r="E5053" s="4" t="str">
        <f t="array" ref="E5053">XLOOKUP(A5053,'Fintech, Regulatory Arbitrage, '!A:A,'Fintech, Regulatory Arbitrage, '!C:C,"")</f>
        <v/>
      </c>
    </row>
    <row r="5054">
      <c r="A5054" s="1" t="s">
        <v>5074</v>
      </c>
      <c r="B5054" s="2">
        <v>4.0</v>
      </c>
      <c r="C5054" s="4"/>
      <c r="E5054" s="4" t="str">
        <f t="array" ref="E5054">XLOOKUP(A5054,'Fintech, Regulatory Arbitrage, '!A:A,'Fintech, Regulatory Arbitrage, '!C:C,"")</f>
        <v/>
      </c>
    </row>
    <row r="5055">
      <c r="A5055" s="1" t="s">
        <v>5075</v>
      </c>
      <c r="B5055" s="2">
        <v>4.0</v>
      </c>
      <c r="C5055" s="4"/>
      <c r="E5055" s="4" t="str">
        <f t="array" ref="E5055">XLOOKUP(A5055,'Fintech, Regulatory Arbitrage, '!A:A,'Fintech, Regulatory Arbitrage, '!C:C,"")</f>
        <v/>
      </c>
    </row>
    <row r="5056">
      <c r="A5056" s="1" t="s">
        <v>5076</v>
      </c>
      <c r="B5056" s="2">
        <v>4.0</v>
      </c>
      <c r="C5056" s="4"/>
      <c r="E5056" s="4" t="str">
        <f t="array" ref="E5056">XLOOKUP(A5056,'Fintech, Regulatory Arbitrage, '!A:A,'Fintech, Regulatory Arbitrage, '!C:C,"")</f>
        <v/>
      </c>
    </row>
    <row r="5057">
      <c r="A5057" s="1" t="s">
        <v>5077</v>
      </c>
      <c r="B5057" s="2">
        <v>4.0</v>
      </c>
      <c r="C5057" s="4"/>
      <c r="E5057" s="4" t="str">
        <f t="array" ref="E5057">XLOOKUP(A5057,'Fintech, Regulatory Arbitrage, '!A:A,'Fintech, Regulatory Arbitrage, '!C:C,"")</f>
        <v/>
      </c>
    </row>
    <row r="5058">
      <c r="A5058" s="1" t="s">
        <v>5078</v>
      </c>
      <c r="B5058" s="2">
        <v>4.0</v>
      </c>
      <c r="C5058" s="4"/>
      <c r="E5058" s="4" t="str">
        <f t="array" ref="E5058">XLOOKUP(A5058,'Fintech, Regulatory Arbitrage, '!A:A,'Fintech, Regulatory Arbitrage, '!C:C,"")</f>
        <v/>
      </c>
    </row>
    <row r="5059">
      <c r="A5059" s="1" t="s">
        <v>5079</v>
      </c>
      <c r="B5059" s="2">
        <v>4.0</v>
      </c>
      <c r="C5059" s="4"/>
      <c r="E5059" s="4" t="str">
        <f t="array" ref="E5059">XLOOKUP(A5059,'Fintech, Regulatory Arbitrage, '!A:A,'Fintech, Regulatory Arbitrage, '!C:C,"")</f>
        <v/>
      </c>
    </row>
    <row r="5060">
      <c r="A5060" s="1" t="s">
        <v>5080</v>
      </c>
      <c r="B5060" s="2">
        <v>4.0</v>
      </c>
      <c r="C5060" s="4"/>
      <c r="E5060" s="4" t="str">
        <f t="array" ref="E5060">XLOOKUP(A5060,'Fintech, Regulatory Arbitrage, '!A:A,'Fintech, Regulatory Arbitrage, '!C:C,"")</f>
        <v/>
      </c>
    </row>
    <row r="5061">
      <c r="A5061" s="1" t="s">
        <v>5081</v>
      </c>
      <c r="B5061" s="2">
        <v>4.0</v>
      </c>
      <c r="C5061" s="4"/>
      <c r="E5061" s="4" t="str">
        <f t="array" ref="E5061">XLOOKUP(A5061,'Fintech, Regulatory Arbitrage, '!A:A,'Fintech, Regulatory Arbitrage, '!C:C,"")</f>
        <v/>
      </c>
    </row>
    <row r="5062">
      <c r="A5062" s="1" t="s">
        <v>5082</v>
      </c>
      <c r="B5062" s="2">
        <v>4.0</v>
      </c>
      <c r="C5062" s="4"/>
      <c r="E5062" s="4" t="str">
        <f t="array" ref="E5062">XLOOKUP(A5062,'Fintech, Regulatory Arbitrage, '!A:A,'Fintech, Regulatory Arbitrage, '!C:C,"")</f>
        <v/>
      </c>
    </row>
    <row r="5063">
      <c r="A5063" s="1" t="s">
        <v>5083</v>
      </c>
      <c r="B5063" s="2">
        <v>4.0</v>
      </c>
      <c r="C5063" s="4"/>
      <c r="E5063" s="4" t="str">
        <f t="array" ref="E5063">XLOOKUP(A5063,'Fintech, Regulatory Arbitrage, '!A:A,'Fintech, Regulatory Arbitrage, '!C:C,"")</f>
        <v/>
      </c>
    </row>
    <row r="5064">
      <c r="A5064" s="1" t="s">
        <v>5084</v>
      </c>
      <c r="B5064" s="2">
        <v>4.0</v>
      </c>
      <c r="C5064" s="4"/>
      <c r="E5064" s="4" t="str">
        <f t="array" ref="E5064">XLOOKUP(A5064,'Fintech, Regulatory Arbitrage, '!A:A,'Fintech, Regulatory Arbitrage, '!C:C,"")</f>
        <v/>
      </c>
    </row>
    <row r="5065">
      <c r="A5065" s="1" t="s">
        <v>5085</v>
      </c>
      <c r="B5065" s="2">
        <v>4.0</v>
      </c>
      <c r="C5065" s="4"/>
      <c r="E5065" s="4" t="str">
        <f t="array" ref="E5065">XLOOKUP(A5065,'Fintech, Regulatory Arbitrage, '!A:A,'Fintech, Regulatory Arbitrage, '!C:C,"")</f>
        <v/>
      </c>
    </row>
    <row r="5066">
      <c r="A5066" s="1" t="s">
        <v>5086</v>
      </c>
      <c r="B5066" s="2">
        <v>4.0</v>
      </c>
      <c r="C5066" s="4"/>
      <c r="E5066" s="4" t="str">
        <f t="array" ref="E5066">XLOOKUP(A5066,'Fintech, Regulatory Arbitrage, '!A:A,'Fintech, Regulatory Arbitrage, '!C:C,"")</f>
        <v/>
      </c>
    </row>
    <row r="5067">
      <c r="A5067" s="1" t="s">
        <v>5087</v>
      </c>
      <c r="B5067" s="2">
        <v>4.0</v>
      </c>
      <c r="C5067" s="4"/>
      <c r="E5067" s="4" t="str">
        <f t="array" ref="E5067">XLOOKUP(A5067,'Fintech, Regulatory Arbitrage, '!A:A,'Fintech, Regulatory Arbitrage, '!C:C,"")</f>
        <v/>
      </c>
    </row>
    <row r="5068">
      <c r="A5068" s="1" t="s">
        <v>5088</v>
      </c>
      <c r="B5068" s="2">
        <v>4.0</v>
      </c>
      <c r="C5068" s="4"/>
      <c r="E5068" s="4" t="str">
        <f t="array" ref="E5068">XLOOKUP(A5068,'Fintech, Regulatory Arbitrage, '!A:A,'Fintech, Regulatory Arbitrage, '!C:C,"")</f>
        <v/>
      </c>
    </row>
    <row r="5069">
      <c r="A5069" s="1" t="s">
        <v>5089</v>
      </c>
      <c r="B5069" s="2">
        <v>4.0</v>
      </c>
      <c r="C5069" s="4"/>
      <c r="E5069" s="4" t="str">
        <f t="array" ref="E5069">XLOOKUP(A5069,'Fintech, Regulatory Arbitrage, '!A:A,'Fintech, Regulatory Arbitrage, '!C:C,"")</f>
        <v/>
      </c>
    </row>
    <row r="5070">
      <c r="A5070" s="1" t="s">
        <v>5090</v>
      </c>
      <c r="B5070" s="2">
        <v>4.0</v>
      </c>
      <c r="C5070" s="4"/>
      <c r="E5070" s="4" t="str">
        <f t="array" ref="E5070">XLOOKUP(A5070,'Fintech, Regulatory Arbitrage, '!A:A,'Fintech, Regulatory Arbitrage, '!C:C,"")</f>
        <v/>
      </c>
    </row>
    <row r="5071">
      <c r="A5071" s="1" t="s">
        <v>5091</v>
      </c>
      <c r="B5071" s="2">
        <v>4.0</v>
      </c>
      <c r="C5071" s="4"/>
      <c r="E5071" s="4" t="str">
        <f t="array" ref="E5071">XLOOKUP(A5071,'Fintech, Regulatory Arbitrage, '!A:A,'Fintech, Regulatory Arbitrage, '!C:C,"")</f>
        <v/>
      </c>
    </row>
    <row r="5072">
      <c r="A5072" s="1" t="s">
        <v>5092</v>
      </c>
      <c r="B5072" s="2">
        <v>4.0</v>
      </c>
      <c r="C5072" s="4"/>
      <c r="E5072" s="4" t="str">
        <f t="array" ref="E5072">XLOOKUP(A5072,'Fintech, Regulatory Arbitrage, '!A:A,'Fintech, Regulatory Arbitrage, '!C:C,"")</f>
        <v/>
      </c>
    </row>
    <row r="5073">
      <c r="A5073" s="1" t="s">
        <v>5093</v>
      </c>
      <c r="B5073" s="2">
        <v>4.0</v>
      </c>
      <c r="C5073" s="4"/>
      <c r="E5073" s="4" t="str">
        <f t="array" ref="E5073">XLOOKUP(A5073,'Fintech, Regulatory Arbitrage, '!A:A,'Fintech, Regulatory Arbitrage, '!C:C,"")</f>
        <v/>
      </c>
    </row>
    <row r="5074">
      <c r="A5074" s="1" t="s">
        <v>5094</v>
      </c>
      <c r="B5074" s="2">
        <v>4.0</v>
      </c>
      <c r="C5074" s="4"/>
      <c r="E5074" s="4" t="str">
        <f t="array" ref="E5074">XLOOKUP(A5074,'Fintech, Regulatory Arbitrage, '!A:A,'Fintech, Regulatory Arbitrage, '!C:C,"")</f>
        <v/>
      </c>
    </row>
    <row r="5075">
      <c r="A5075" s="1" t="s">
        <v>5095</v>
      </c>
      <c r="B5075" s="2">
        <v>4.0</v>
      </c>
      <c r="C5075" s="4"/>
      <c r="E5075" s="4" t="str">
        <f t="array" ref="E5075">XLOOKUP(A5075,'Fintech, Regulatory Arbitrage, '!A:A,'Fintech, Regulatory Arbitrage, '!C:C,"")</f>
        <v/>
      </c>
    </row>
    <row r="5076">
      <c r="A5076" s="1" t="s">
        <v>5096</v>
      </c>
      <c r="B5076" s="2">
        <v>4.0</v>
      </c>
      <c r="C5076" s="4"/>
      <c r="E5076" s="4" t="str">
        <f t="array" ref="E5076">XLOOKUP(A5076,'Fintech, Regulatory Arbitrage, '!A:A,'Fintech, Regulatory Arbitrage, '!C:C,"")</f>
        <v/>
      </c>
    </row>
    <row r="5077">
      <c r="A5077" s="1" t="s">
        <v>5097</v>
      </c>
      <c r="B5077" s="2">
        <v>4.0</v>
      </c>
      <c r="C5077" s="4"/>
      <c r="E5077" s="4" t="str">
        <f t="array" ref="E5077">XLOOKUP(A5077,'Fintech, Regulatory Arbitrage, '!A:A,'Fintech, Regulatory Arbitrage, '!C:C,"")</f>
        <v/>
      </c>
    </row>
    <row r="5078">
      <c r="A5078" s="1" t="s">
        <v>5098</v>
      </c>
      <c r="B5078" s="2">
        <v>4.0</v>
      </c>
      <c r="C5078" s="4"/>
      <c r="E5078" s="4" t="str">
        <f t="array" ref="E5078">XLOOKUP(A5078,'Fintech, Regulatory Arbitrage, '!A:A,'Fintech, Regulatory Arbitrage, '!C:C,"")</f>
        <v/>
      </c>
    </row>
    <row r="5079">
      <c r="A5079" s="1" t="s">
        <v>5099</v>
      </c>
      <c r="B5079" s="2">
        <v>4.0</v>
      </c>
      <c r="C5079" s="4"/>
      <c r="E5079" s="4" t="str">
        <f t="array" ref="E5079">XLOOKUP(A5079,'Fintech, Regulatory Arbitrage, '!A:A,'Fintech, Regulatory Arbitrage, '!C:C,"")</f>
        <v/>
      </c>
    </row>
    <row r="5080">
      <c r="A5080" s="1" t="s">
        <v>5100</v>
      </c>
      <c r="B5080" s="2">
        <v>4.0</v>
      </c>
      <c r="C5080" s="4"/>
      <c r="E5080" s="4" t="str">
        <f t="array" ref="E5080">XLOOKUP(A5080,'Fintech, Regulatory Arbitrage, '!A:A,'Fintech, Regulatory Arbitrage, '!C:C,"")</f>
        <v/>
      </c>
    </row>
    <row r="5081">
      <c r="A5081" s="1" t="s">
        <v>5101</v>
      </c>
      <c r="B5081" s="2">
        <v>4.0</v>
      </c>
      <c r="C5081" s="4"/>
      <c r="E5081" s="4" t="str">
        <f t="array" ref="E5081">XLOOKUP(A5081,'Fintech, Regulatory Arbitrage, '!A:A,'Fintech, Regulatory Arbitrage, '!C:C,"")</f>
        <v/>
      </c>
    </row>
    <row r="5082">
      <c r="A5082" s="1" t="s">
        <v>5102</v>
      </c>
      <c r="B5082" s="2">
        <v>4.0</v>
      </c>
      <c r="C5082" s="4"/>
      <c r="E5082" s="4" t="str">
        <f t="array" ref="E5082">XLOOKUP(A5082,'Fintech, Regulatory Arbitrage, '!A:A,'Fintech, Regulatory Arbitrage, '!C:C,"")</f>
        <v/>
      </c>
    </row>
    <row r="5083">
      <c r="A5083" s="1" t="s">
        <v>5103</v>
      </c>
      <c r="B5083" s="2">
        <v>4.0</v>
      </c>
      <c r="C5083" s="4"/>
      <c r="E5083" s="4" t="str">
        <f t="array" ref="E5083">XLOOKUP(A5083,'Fintech, Regulatory Arbitrage, '!A:A,'Fintech, Regulatory Arbitrage, '!C:C,"")</f>
        <v/>
      </c>
    </row>
    <row r="5084">
      <c r="A5084" s="1" t="s">
        <v>5104</v>
      </c>
      <c r="B5084" s="2">
        <v>4.0</v>
      </c>
      <c r="C5084" s="4"/>
      <c r="E5084" s="4" t="str">
        <f t="array" ref="E5084">XLOOKUP(A5084,'Fintech, Regulatory Arbitrage, '!A:A,'Fintech, Regulatory Arbitrage, '!C:C,"")</f>
        <v/>
      </c>
    </row>
    <row r="5085">
      <c r="A5085" s="1" t="s">
        <v>5105</v>
      </c>
      <c r="B5085" s="2">
        <v>4.0</v>
      </c>
      <c r="C5085" s="4"/>
      <c r="E5085" s="4" t="str">
        <f t="array" ref="E5085">XLOOKUP(A5085,'Fintech, Regulatory Arbitrage, '!A:A,'Fintech, Regulatory Arbitrage, '!C:C,"")</f>
        <v/>
      </c>
    </row>
    <row r="5086">
      <c r="A5086" s="1" t="s">
        <v>5106</v>
      </c>
      <c r="B5086" s="2">
        <v>4.0</v>
      </c>
      <c r="C5086" s="4"/>
      <c r="E5086" s="4" t="str">
        <f t="array" ref="E5086">XLOOKUP(A5086,'Fintech, Regulatory Arbitrage, '!A:A,'Fintech, Regulatory Arbitrage, '!C:C,"")</f>
        <v/>
      </c>
    </row>
    <row r="5087">
      <c r="A5087" s="1" t="s">
        <v>5107</v>
      </c>
      <c r="B5087" s="2">
        <v>4.0</v>
      </c>
      <c r="C5087" s="4"/>
      <c r="E5087" s="4" t="str">
        <f t="array" ref="E5087">XLOOKUP(A5087,'Fintech, Regulatory Arbitrage, '!A:A,'Fintech, Regulatory Arbitrage, '!C:C,"")</f>
        <v/>
      </c>
    </row>
    <row r="5088">
      <c r="A5088" s="1" t="s">
        <v>5108</v>
      </c>
      <c r="B5088" s="2">
        <v>4.0</v>
      </c>
      <c r="C5088" s="4"/>
      <c r="E5088" s="4" t="str">
        <f t="array" ref="E5088">XLOOKUP(A5088,'Fintech, Regulatory Arbitrage, '!A:A,'Fintech, Regulatory Arbitrage, '!C:C,"")</f>
        <v/>
      </c>
    </row>
    <row r="5089">
      <c r="A5089" s="1" t="s">
        <v>5109</v>
      </c>
      <c r="B5089" s="2">
        <v>4.0</v>
      </c>
      <c r="C5089" s="4"/>
      <c r="E5089" s="4" t="str">
        <f t="array" ref="E5089">XLOOKUP(A5089,'Fintech, Regulatory Arbitrage, '!A:A,'Fintech, Regulatory Arbitrage, '!C:C,"")</f>
        <v/>
      </c>
    </row>
    <row r="5090">
      <c r="A5090" s="1" t="s">
        <v>5110</v>
      </c>
      <c r="B5090" s="2">
        <v>4.0</v>
      </c>
      <c r="C5090" s="4"/>
      <c r="E5090" s="4" t="str">
        <f t="array" ref="E5090">XLOOKUP(A5090,'Fintech, Regulatory Arbitrage, '!A:A,'Fintech, Regulatory Arbitrage, '!C:C,"")</f>
        <v/>
      </c>
    </row>
    <row r="5091">
      <c r="A5091" s="1" t="s">
        <v>5111</v>
      </c>
      <c r="B5091" s="2">
        <v>4.0</v>
      </c>
      <c r="C5091" s="4"/>
      <c r="E5091" s="4" t="str">
        <f t="array" ref="E5091">XLOOKUP(A5091,'Fintech, Regulatory Arbitrage, '!A:A,'Fintech, Regulatory Arbitrage, '!C:C,"")</f>
        <v/>
      </c>
    </row>
    <row r="5092">
      <c r="A5092" s="1" t="s">
        <v>5112</v>
      </c>
      <c r="B5092" s="2">
        <v>4.0</v>
      </c>
      <c r="C5092" s="4"/>
      <c r="E5092" s="4" t="str">
        <f t="array" ref="E5092">XLOOKUP(A5092,'Fintech, Regulatory Arbitrage, '!A:A,'Fintech, Regulatory Arbitrage, '!C:C,"")</f>
        <v/>
      </c>
    </row>
    <row r="5093">
      <c r="A5093" s="1" t="s">
        <v>5113</v>
      </c>
      <c r="B5093" s="2">
        <v>3.0</v>
      </c>
      <c r="C5093" s="4"/>
      <c r="E5093" s="4" t="str">
        <f t="array" ref="E5093">XLOOKUP(A5093,'Fintech, Regulatory Arbitrage, '!A:A,'Fintech, Regulatory Arbitrage, '!C:C,"")</f>
        <v/>
      </c>
    </row>
    <row r="5094">
      <c r="A5094" s="1" t="s">
        <v>5114</v>
      </c>
      <c r="B5094" s="2">
        <v>3.0</v>
      </c>
      <c r="C5094" s="4"/>
      <c r="E5094" s="4" t="str">
        <f t="array" ref="E5094">XLOOKUP(A5094,'Fintech, Regulatory Arbitrage, '!A:A,'Fintech, Regulatory Arbitrage, '!C:C,"")</f>
        <v/>
      </c>
    </row>
    <row r="5095">
      <c r="A5095" s="1" t="s">
        <v>5115</v>
      </c>
      <c r="B5095" s="2">
        <v>3.0</v>
      </c>
      <c r="C5095" s="4"/>
      <c r="E5095" s="4" t="str">
        <f t="array" ref="E5095">XLOOKUP(A5095,'Fintech, Regulatory Arbitrage, '!A:A,'Fintech, Regulatory Arbitrage, '!C:C,"")</f>
        <v/>
      </c>
    </row>
    <row r="5096">
      <c r="A5096" s="1" t="s">
        <v>5116</v>
      </c>
      <c r="B5096" s="2">
        <v>3.0</v>
      </c>
      <c r="C5096" s="4"/>
      <c r="E5096" s="4" t="str">
        <f t="array" ref="E5096">XLOOKUP(A5096,'Fintech, Regulatory Arbitrage, '!A:A,'Fintech, Regulatory Arbitrage, '!C:C,"")</f>
        <v/>
      </c>
    </row>
    <row r="5097">
      <c r="A5097" s="1" t="s">
        <v>5117</v>
      </c>
      <c r="B5097" s="2">
        <v>3.0</v>
      </c>
      <c r="C5097" s="4"/>
      <c r="E5097" s="4" t="str">
        <f t="array" ref="E5097">XLOOKUP(A5097,'Fintech, Regulatory Arbitrage, '!A:A,'Fintech, Regulatory Arbitrage, '!C:C,"")</f>
        <v/>
      </c>
    </row>
    <row r="5098">
      <c r="A5098" s="1" t="s">
        <v>5118</v>
      </c>
      <c r="B5098" s="2">
        <v>3.0</v>
      </c>
      <c r="C5098" s="4"/>
      <c r="E5098" s="4" t="str">
        <f t="array" ref="E5098">XLOOKUP(A5098,'Fintech, Regulatory Arbitrage, '!A:A,'Fintech, Regulatory Arbitrage, '!C:C,"")</f>
        <v/>
      </c>
    </row>
    <row r="5099">
      <c r="A5099" s="1" t="s">
        <v>5119</v>
      </c>
      <c r="B5099" s="2">
        <v>3.0</v>
      </c>
      <c r="C5099" s="4"/>
      <c r="E5099" s="4" t="str">
        <f t="array" ref="E5099">XLOOKUP(A5099,'Fintech, Regulatory Arbitrage, '!A:A,'Fintech, Regulatory Arbitrage, '!C:C,"")</f>
        <v/>
      </c>
    </row>
    <row r="5100">
      <c r="A5100" s="1" t="s">
        <v>5120</v>
      </c>
      <c r="B5100" s="2">
        <v>3.0</v>
      </c>
      <c r="C5100" s="4"/>
      <c r="E5100" s="4" t="str">
        <f t="array" ref="E5100">XLOOKUP(A5100,'Fintech, Regulatory Arbitrage, '!A:A,'Fintech, Regulatory Arbitrage, '!C:C,"")</f>
        <v/>
      </c>
    </row>
    <row r="5101">
      <c r="A5101" s="1" t="s">
        <v>5121</v>
      </c>
      <c r="B5101" s="2">
        <v>3.0</v>
      </c>
      <c r="C5101" s="4"/>
      <c r="E5101" s="4" t="str">
        <f t="array" ref="E5101">XLOOKUP(A5101,'Fintech, Regulatory Arbitrage, '!A:A,'Fintech, Regulatory Arbitrage, '!C:C,"")</f>
        <v/>
      </c>
    </row>
    <row r="5102">
      <c r="A5102" s="1" t="s">
        <v>5122</v>
      </c>
      <c r="B5102" s="2">
        <v>3.0</v>
      </c>
      <c r="C5102" s="4"/>
      <c r="E5102" s="4" t="str">
        <f t="array" ref="E5102">XLOOKUP(A5102,'Fintech, Regulatory Arbitrage, '!A:A,'Fintech, Regulatory Arbitrage, '!C:C,"")</f>
        <v/>
      </c>
    </row>
    <row r="5103">
      <c r="A5103" s="1" t="s">
        <v>5123</v>
      </c>
      <c r="B5103" s="2">
        <v>3.0</v>
      </c>
      <c r="C5103" s="4"/>
      <c r="E5103" s="4" t="str">
        <f t="array" ref="E5103">XLOOKUP(A5103,'Fintech, Regulatory Arbitrage, '!A:A,'Fintech, Regulatory Arbitrage, '!C:C,"")</f>
        <v/>
      </c>
    </row>
    <row r="5104">
      <c r="A5104" s="1" t="s">
        <v>5124</v>
      </c>
      <c r="B5104" s="2">
        <v>3.0</v>
      </c>
      <c r="C5104" s="4"/>
      <c r="E5104" s="4" t="str">
        <f t="array" ref="E5104">XLOOKUP(A5104,'Fintech, Regulatory Arbitrage, '!A:A,'Fintech, Regulatory Arbitrage, '!C:C,"")</f>
        <v/>
      </c>
    </row>
    <row r="5105">
      <c r="A5105" s="1" t="s">
        <v>5125</v>
      </c>
      <c r="B5105" s="2">
        <v>3.0</v>
      </c>
      <c r="C5105" s="4"/>
      <c r="E5105" s="4" t="str">
        <f t="array" ref="E5105">XLOOKUP(A5105,'Fintech, Regulatory Arbitrage, '!A:A,'Fintech, Regulatory Arbitrage, '!C:C,"")</f>
        <v/>
      </c>
    </row>
    <row r="5106">
      <c r="A5106" s="1" t="s">
        <v>5126</v>
      </c>
      <c r="B5106" s="2">
        <v>3.0</v>
      </c>
      <c r="C5106" s="4"/>
      <c r="E5106" s="4" t="str">
        <f t="array" ref="E5106">XLOOKUP(A5106,'Fintech, Regulatory Arbitrage, '!A:A,'Fintech, Regulatory Arbitrage, '!C:C,"")</f>
        <v/>
      </c>
    </row>
    <row r="5107">
      <c r="A5107" s="1" t="s">
        <v>5127</v>
      </c>
      <c r="B5107" s="2">
        <v>3.0</v>
      </c>
      <c r="C5107" s="4"/>
      <c r="E5107" s="4" t="str">
        <f t="array" ref="E5107">XLOOKUP(A5107,'Fintech, Regulatory Arbitrage, '!A:A,'Fintech, Regulatory Arbitrage, '!C:C,"")</f>
        <v/>
      </c>
    </row>
    <row r="5108">
      <c r="A5108" s="1" t="s">
        <v>5128</v>
      </c>
      <c r="B5108" s="2">
        <v>3.0</v>
      </c>
      <c r="C5108" s="4"/>
      <c r="E5108" s="4" t="str">
        <f t="array" ref="E5108">XLOOKUP(A5108,'Fintech, Regulatory Arbitrage, '!A:A,'Fintech, Regulatory Arbitrage, '!C:C,"")</f>
        <v/>
      </c>
    </row>
    <row r="5109">
      <c r="A5109" s="1" t="s">
        <v>5129</v>
      </c>
      <c r="B5109" s="2">
        <v>3.0</v>
      </c>
      <c r="C5109" s="4"/>
      <c r="E5109" s="4" t="str">
        <f t="array" ref="E5109">XLOOKUP(A5109,'Fintech, Regulatory Arbitrage, '!A:A,'Fintech, Regulatory Arbitrage, '!C:C,"")</f>
        <v/>
      </c>
    </row>
    <row r="5110">
      <c r="A5110" s="1" t="s">
        <v>5130</v>
      </c>
      <c r="B5110" s="2">
        <v>3.0</v>
      </c>
      <c r="C5110" s="4"/>
      <c r="E5110" s="4" t="str">
        <f t="array" ref="E5110">XLOOKUP(A5110,'Fintech, Regulatory Arbitrage, '!A:A,'Fintech, Regulatory Arbitrage, '!C:C,"")</f>
        <v/>
      </c>
    </row>
    <row r="5111">
      <c r="A5111" s="1" t="s">
        <v>5131</v>
      </c>
      <c r="B5111" s="2">
        <v>3.0</v>
      </c>
      <c r="C5111" s="4"/>
      <c r="E5111" s="4" t="str">
        <f t="array" ref="E5111">XLOOKUP(A5111,'Fintech, Regulatory Arbitrage, '!A:A,'Fintech, Regulatory Arbitrage, '!C:C,"")</f>
        <v/>
      </c>
    </row>
    <row r="5112">
      <c r="A5112" s="1" t="s">
        <v>5132</v>
      </c>
      <c r="B5112" s="2">
        <v>3.0</v>
      </c>
      <c r="C5112" s="4"/>
      <c r="E5112" s="4" t="str">
        <f t="array" ref="E5112">XLOOKUP(A5112,'Fintech, Regulatory Arbitrage, '!A:A,'Fintech, Regulatory Arbitrage, '!C:C,"")</f>
        <v/>
      </c>
    </row>
    <row r="5113">
      <c r="A5113" s="1" t="s">
        <v>5133</v>
      </c>
      <c r="B5113" s="2">
        <v>3.0</v>
      </c>
      <c r="C5113" s="4"/>
      <c r="E5113" s="4" t="str">
        <f t="array" ref="E5113">XLOOKUP(A5113,'Fintech, Regulatory Arbitrage, '!A:A,'Fintech, Regulatory Arbitrage, '!C:C,"")</f>
        <v/>
      </c>
    </row>
    <row r="5114">
      <c r="A5114" s="1" t="s">
        <v>5134</v>
      </c>
      <c r="B5114" s="2">
        <v>3.0</v>
      </c>
      <c r="C5114" s="4"/>
      <c r="E5114" s="4" t="str">
        <f t="array" ref="E5114">XLOOKUP(A5114,'Fintech, Regulatory Arbitrage, '!A:A,'Fintech, Regulatory Arbitrage, '!C:C,"")</f>
        <v/>
      </c>
    </row>
    <row r="5115">
      <c r="A5115" s="1" t="s">
        <v>5135</v>
      </c>
      <c r="B5115" s="2">
        <v>3.0</v>
      </c>
      <c r="C5115" s="4"/>
      <c r="E5115" s="4" t="str">
        <f t="array" ref="E5115">XLOOKUP(A5115,'Fintech, Regulatory Arbitrage, '!A:A,'Fintech, Regulatory Arbitrage, '!C:C,"")</f>
        <v/>
      </c>
    </row>
    <row r="5116">
      <c r="A5116" s="1" t="s">
        <v>5136</v>
      </c>
      <c r="B5116" s="2">
        <v>3.0</v>
      </c>
      <c r="C5116" s="4"/>
      <c r="E5116" s="4" t="str">
        <f t="array" ref="E5116">XLOOKUP(A5116,'Fintech, Regulatory Arbitrage, '!A:A,'Fintech, Regulatory Arbitrage, '!C:C,"")</f>
        <v/>
      </c>
    </row>
    <row r="5117">
      <c r="A5117" s="1" t="s">
        <v>5137</v>
      </c>
      <c r="B5117" s="2">
        <v>3.0</v>
      </c>
      <c r="C5117" s="4"/>
      <c r="E5117" s="4" t="str">
        <f t="array" ref="E5117">XLOOKUP(A5117,'Fintech, Regulatory Arbitrage, '!A:A,'Fintech, Regulatory Arbitrage, '!C:C,"")</f>
        <v/>
      </c>
    </row>
    <row r="5118">
      <c r="A5118" s="1" t="s">
        <v>5138</v>
      </c>
      <c r="B5118" s="2">
        <v>3.0</v>
      </c>
      <c r="C5118" s="4"/>
      <c r="E5118" s="4" t="str">
        <f t="array" ref="E5118">XLOOKUP(A5118,'Fintech, Regulatory Arbitrage, '!A:A,'Fintech, Regulatory Arbitrage, '!C:C,"")</f>
        <v/>
      </c>
    </row>
    <row r="5119">
      <c r="A5119" s="1" t="s">
        <v>5139</v>
      </c>
      <c r="B5119" s="2">
        <v>3.0</v>
      </c>
      <c r="C5119" s="4"/>
      <c r="E5119" s="4" t="str">
        <f t="array" ref="E5119">XLOOKUP(A5119,'Fintech, Regulatory Arbitrage, '!A:A,'Fintech, Regulatory Arbitrage, '!C:C,"")</f>
        <v/>
      </c>
    </row>
    <row r="5120">
      <c r="A5120" s="1" t="s">
        <v>5140</v>
      </c>
      <c r="B5120" s="2">
        <v>3.0</v>
      </c>
      <c r="C5120" s="4"/>
      <c r="E5120" s="4" t="str">
        <f t="array" ref="E5120">XLOOKUP(A5120,'Fintech, Regulatory Arbitrage, '!A:A,'Fintech, Regulatory Arbitrage, '!C:C,"")</f>
        <v/>
      </c>
    </row>
    <row r="5121">
      <c r="A5121" s="1" t="s">
        <v>5141</v>
      </c>
      <c r="B5121" s="2">
        <v>3.0</v>
      </c>
      <c r="C5121" s="4"/>
      <c r="E5121" s="4" t="str">
        <f t="array" ref="E5121">XLOOKUP(A5121,'Fintech, Regulatory Arbitrage, '!A:A,'Fintech, Regulatory Arbitrage, '!C:C,"")</f>
        <v/>
      </c>
    </row>
    <row r="5122">
      <c r="A5122" s="1" t="s">
        <v>5142</v>
      </c>
      <c r="B5122" s="2">
        <v>3.0</v>
      </c>
      <c r="C5122" s="4"/>
      <c r="E5122" s="4" t="str">
        <f t="array" ref="E5122">XLOOKUP(A5122,'Fintech, Regulatory Arbitrage, '!A:A,'Fintech, Regulatory Arbitrage, '!C:C,"")</f>
        <v/>
      </c>
    </row>
    <row r="5123">
      <c r="A5123" s="1" t="s">
        <v>5143</v>
      </c>
      <c r="B5123" s="2">
        <v>3.0</v>
      </c>
      <c r="C5123" s="4"/>
      <c r="E5123" s="4" t="str">
        <f t="array" ref="E5123">XLOOKUP(A5123,'Fintech, Regulatory Arbitrage, '!A:A,'Fintech, Regulatory Arbitrage, '!C:C,"")</f>
        <v/>
      </c>
    </row>
    <row r="5124">
      <c r="A5124" s="1" t="s">
        <v>5144</v>
      </c>
      <c r="B5124" s="2">
        <v>3.0</v>
      </c>
      <c r="C5124" s="4"/>
      <c r="E5124" s="4" t="str">
        <f t="array" ref="E5124">XLOOKUP(A5124,'Fintech, Regulatory Arbitrage, '!A:A,'Fintech, Regulatory Arbitrage, '!C:C,"")</f>
        <v/>
      </c>
    </row>
    <row r="5125">
      <c r="A5125" s="1" t="s">
        <v>5145</v>
      </c>
      <c r="B5125" s="2">
        <v>3.0</v>
      </c>
      <c r="C5125" s="4"/>
      <c r="E5125" s="4" t="str">
        <f t="array" ref="E5125">XLOOKUP(A5125,'Fintech, Regulatory Arbitrage, '!A:A,'Fintech, Regulatory Arbitrage, '!C:C,"")</f>
        <v/>
      </c>
    </row>
    <row r="5126">
      <c r="A5126" s="1" t="s">
        <v>5146</v>
      </c>
      <c r="B5126" s="2">
        <v>3.0</v>
      </c>
      <c r="C5126" s="4"/>
      <c r="E5126" s="4" t="str">
        <f t="array" ref="E5126">XLOOKUP(A5126,'Fintech, Regulatory Arbitrage, '!A:A,'Fintech, Regulatory Arbitrage, '!C:C,"")</f>
        <v/>
      </c>
    </row>
    <row r="5127">
      <c r="A5127" s="1" t="s">
        <v>5147</v>
      </c>
      <c r="B5127" s="2">
        <v>3.0</v>
      </c>
      <c r="C5127" s="4"/>
      <c r="E5127" s="4" t="str">
        <f t="array" ref="E5127">XLOOKUP(A5127,'Fintech, Regulatory Arbitrage, '!A:A,'Fintech, Regulatory Arbitrage, '!C:C,"")</f>
        <v/>
      </c>
    </row>
    <row r="5128">
      <c r="A5128" s="1" t="s">
        <v>5148</v>
      </c>
      <c r="B5128" s="2">
        <v>3.0</v>
      </c>
      <c r="C5128" s="4"/>
      <c r="E5128" s="4" t="str">
        <f t="array" ref="E5128">XLOOKUP(A5128,'Fintech, Regulatory Arbitrage, '!A:A,'Fintech, Regulatory Arbitrage, '!C:C,"")</f>
        <v/>
      </c>
    </row>
    <row r="5129">
      <c r="A5129" s="1" t="s">
        <v>5149</v>
      </c>
      <c r="B5129" s="2">
        <v>3.0</v>
      </c>
      <c r="C5129" s="4"/>
      <c r="E5129" s="4" t="str">
        <f t="array" ref="E5129">XLOOKUP(A5129,'Fintech, Regulatory Arbitrage, '!A:A,'Fintech, Regulatory Arbitrage, '!C:C,"")</f>
        <v/>
      </c>
    </row>
    <row r="5130">
      <c r="A5130" s="1" t="s">
        <v>5150</v>
      </c>
      <c r="B5130" s="2">
        <v>3.0</v>
      </c>
      <c r="C5130" s="4"/>
      <c r="E5130" s="4" t="str">
        <f t="array" ref="E5130">XLOOKUP(A5130,'Fintech, Regulatory Arbitrage, '!A:A,'Fintech, Regulatory Arbitrage, '!C:C,"")</f>
        <v/>
      </c>
    </row>
    <row r="5131">
      <c r="A5131" s="1" t="s">
        <v>5151</v>
      </c>
      <c r="B5131" s="2">
        <v>3.0</v>
      </c>
      <c r="C5131" s="4"/>
      <c r="E5131" s="4" t="str">
        <f t="array" ref="E5131">XLOOKUP(A5131,'Fintech, Regulatory Arbitrage, '!A:A,'Fintech, Regulatory Arbitrage, '!C:C,"")</f>
        <v/>
      </c>
    </row>
    <row r="5132">
      <c r="A5132" s="1" t="s">
        <v>5152</v>
      </c>
      <c r="B5132" s="2">
        <v>3.0</v>
      </c>
      <c r="C5132" s="4"/>
      <c r="E5132" s="4" t="str">
        <f t="array" ref="E5132">XLOOKUP(A5132,'Fintech, Regulatory Arbitrage, '!A:A,'Fintech, Regulatory Arbitrage, '!C:C,"")</f>
        <v/>
      </c>
    </row>
    <row r="5133">
      <c r="A5133" s="1" t="s">
        <v>5153</v>
      </c>
      <c r="B5133" s="2">
        <v>3.0</v>
      </c>
      <c r="C5133" s="4"/>
      <c r="E5133" s="4" t="str">
        <f t="array" ref="E5133">XLOOKUP(A5133,'Fintech, Regulatory Arbitrage, '!A:A,'Fintech, Regulatory Arbitrage, '!C:C,"")</f>
        <v/>
      </c>
    </row>
    <row r="5134">
      <c r="A5134" s="1" t="s">
        <v>5154</v>
      </c>
      <c r="B5134" s="2">
        <v>3.0</v>
      </c>
      <c r="C5134" s="4"/>
      <c r="E5134" s="4" t="str">
        <f t="array" ref="E5134">XLOOKUP(A5134,'Fintech, Regulatory Arbitrage, '!A:A,'Fintech, Regulatory Arbitrage, '!C:C,"")</f>
        <v/>
      </c>
    </row>
    <row r="5135">
      <c r="A5135" s="1" t="s">
        <v>5155</v>
      </c>
      <c r="B5135" s="2">
        <v>3.0</v>
      </c>
      <c r="C5135" s="4"/>
      <c r="E5135" s="4" t="str">
        <f t="array" ref="E5135">XLOOKUP(A5135,'Fintech, Regulatory Arbitrage, '!A:A,'Fintech, Regulatory Arbitrage, '!C:C,"")</f>
        <v/>
      </c>
    </row>
    <row r="5136">
      <c r="A5136" s="1" t="s">
        <v>5156</v>
      </c>
      <c r="B5136" s="2">
        <v>3.0</v>
      </c>
      <c r="C5136" s="4"/>
      <c r="E5136" s="4" t="str">
        <f t="array" ref="E5136">XLOOKUP(A5136,'Fintech, Regulatory Arbitrage, '!A:A,'Fintech, Regulatory Arbitrage, '!C:C,"")</f>
        <v/>
      </c>
    </row>
    <row r="5137">
      <c r="A5137" s="1" t="s">
        <v>5157</v>
      </c>
      <c r="B5137" s="2">
        <v>3.0</v>
      </c>
      <c r="C5137" s="4"/>
      <c r="E5137" s="4" t="str">
        <f t="array" ref="E5137">XLOOKUP(A5137,'Fintech, Regulatory Arbitrage, '!A:A,'Fintech, Regulatory Arbitrage, '!C:C,"")</f>
        <v/>
      </c>
    </row>
    <row r="5138">
      <c r="A5138" s="1" t="s">
        <v>5158</v>
      </c>
      <c r="B5138" s="2">
        <v>3.0</v>
      </c>
      <c r="C5138" s="4"/>
      <c r="E5138" s="4" t="str">
        <f t="array" ref="E5138">XLOOKUP(A5138,'Fintech, Regulatory Arbitrage, '!A:A,'Fintech, Regulatory Arbitrage, '!C:C,"")</f>
        <v/>
      </c>
    </row>
    <row r="5139">
      <c r="A5139" s="1" t="s">
        <v>5159</v>
      </c>
      <c r="B5139" s="2">
        <v>3.0</v>
      </c>
      <c r="C5139" s="4"/>
      <c r="E5139" s="4" t="str">
        <f t="array" ref="E5139">XLOOKUP(A5139,'Fintech, Regulatory Arbitrage, '!A:A,'Fintech, Regulatory Arbitrage, '!C:C,"")</f>
        <v/>
      </c>
    </row>
    <row r="5140">
      <c r="A5140" s="1" t="s">
        <v>5160</v>
      </c>
      <c r="B5140" s="2">
        <v>3.0</v>
      </c>
      <c r="C5140" s="4"/>
      <c r="E5140" s="4" t="str">
        <f t="array" ref="E5140">XLOOKUP(A5140,'Fintech, Regulatory Arbitrage, '!A:A,'Fintech, Regulatory Arbitrage, '!C:C,"")</f>
        <v/>
      </c>
    </row>
    <row r="5141">
      <c r="A5141" s="1" t="s">
        <v>5161</v>
      </c>
      <c r="B5141" s="2">
        <v>3.0</v>
      </c>
      <c r="C5141" s="4"/>
      <c r="E5141" s="4" t="str">
        <f t="array" ref="E5141">XLOOKUP(A5141,'Fintech, Regulatory Arbitrage, '!A:A,'Fintech, Regulatory Arbitrage, '!C:C,"")</f>
        <v/>
      </c>
    </row>
    <row r="5142">
      <c r="A5142" s="1" t="s">
        <v>5162</v>
      </c>
      <c r="B5142" s="2">
        <v>3.0</v>
      </c>
      <c r="C5142" s="4"/>
      <c r="E5142" s="4" t="str">
        <f t="array" ref="E5142">XLOOKUP(A5142,'Fintech, Regulatory Arbitrage, '!A:A,'Fintech, Regulatory Arbitrage, '!C:C,"")</f>
        <v/>
      </c>
    </row>
    <row r="5143">
      <c r="A5143" s="1" t="s">
        <v>5163</v>
      </c>
      <c r="B5143" s="2">
        <v>3.0</v>
      </c>
      <c r="C5143" s="4"/>
      <c r="E5143" s="4" t="str">
        <f t="array" ref="E5143">XLOOKUP(A5143,'Fintech, Regulatory Arbitrage, '!A:A,'Fintech, Regulatory Arbitrage, '!C:C,"")</f>
        <v/>
      </c>
    </row>
    <row r="5144">
      <c r="A5144" s="1" t="s">
        <v>5164</v>
      </c>
      <c r="B5144" s="2">
        <v>3.0</v>
      </c>
      <c r="C5144" s="4"/>
      <c r="E5144" s="4" t="str">
        <f t="array" ref="E5144">XLOOKUP(A5144,'Fintech, Regulatory Arbitrage, '!A:A,'Fintech, Regulatory Arbitrage, '!C:C,"")</f>
        <v/>
      </c>
    </row>
    <row r="5145">
      <c r="A5145" s="1" t="s">
        <v>5165</v>
      </c>
      <c r="B5145" s="2">
        <v>3.0</v>
      </c>
      <c r="C5145" s="4"/>
      <c r="E5145" s="4" t="str">
        <f t="array" ref="E5145">XLOOKUP(A5145,'Fintech, Regulatory Arbitrage, '!A:A,'Fintech, Regulatory Arbitrage, '!C:C,"")</f>
        <v/>
      </c>
    </row>
    <row r="5146">
      <c r="A5146" s="1" t="s">
        <v>5166</v>
      </c>
      <c r="B5146" s="2">
        <v>3.0</v>
      </c>
      <c r="C5146" s="4"/>
      <c r="E5146" s="4" t="str">
        <f t="array" ref="E5146">XLOOKUP(A5146,'Fintech, Regulatory Arbitrage, '!A:A,'Fintech, Regulatory Arbitrage, '!C:C,"")</f>
        <v/>
      </c>
    </row>
    <row r="5147">
      <c r="A5147" s="1" t="s">
        <v>5167</v>
      </c>
      <c r="B5147" s="2">
        <v>3.0</v>
      </c>
      <c r="C5147" s="4"/>
      <c r="E5147" s="4" t="str">
        <f t="array" ref="E5147">XLOOKUP(A5147,'Fintech, Regulatory Arbitrage, '!A:A,'Fintech, Regulatory Arbitrage, '!C:C,"")</f>
        <v/>
      </c>
    </row>
    <row r="5148">
      <c r="A5148" s="1" t="s">
        <v>5168</v>
      </c>
      <c r="B5148" s="2">
        <v>3.0</v>
      </c>
      <c r="C5148" s="4"/>
      <c r="E5148" s="4" t="str">
        <f t="array" ref="E5148">XLOOKUP(A5148,'Fintech, Regulatory Arbitrage, '!A:A,'Fintech, Regulatory Arbitrage, '!C:C,"")</f>
        <v/>
      </c>
    </row>
    <row r="5149">
      <c r="A5149" s="1" t="s">
        <v>5169</v>
      </c>
      <c r="B5149" s="2">
        <v>3.0</v>
      </c>
      <c r="C5149" s="4"/>
      <c r="E5149" s="4" t="str">
        <f t="array" ref="E5149">XLOOKUP(A5149,'Fintech, Regulatory Arbitrage, '!A:A,'Fintech, Regulatory Arbitrage, '!C:C,"")</f>
        <v/>
      </c>
    </row>
    <row r="5150">
      <c r="A5150" s="1" t="s">
        <v>5170</v>
      </c>
      <c r="B5150" s="2">
        <v>3.0</v>
      </c>
      <c r="C5150" s="4"/>
      <c r="E5150" s="4" t="str">
        <f t="array" ref="E5150">XLOOKUP(A5150,'Fintech, Regulatory Arbitrage, '!A:A,'Fintech, Regulatory Arbitrage, '!C:C,"")</f>
        <v/>
      </c>
    </row>
    <row r="5151">
      <c r="A5151" s="1" t="s">
        <v>5171</v>
      </c>
      <c r="B5151" s="2">
        <v>3.0</v>
      </c>
      <c r="C5151" s="4"/>
      <c r="E5151" s="4" t="str">
        <f t="array" ref="E5151">XLOOKUP(A5151,'Fintech, Regulatory Arbitrage, '!A:A,'Fintech, Regulatory Arbitrage, '!C:C,"")</f>
        <v/>
      </c>
    </row>
    <row r="5152">
      <c r="A5152" s="1" t="s">
        <v>5172</v>
      </c>
      <c r="B5152" s="2">
        <v>3.0</v>
      </c>
      <c r="C5152" s="4"/>
      <c r="E5152" s="4" t="str">
        <f t="array" ref="E5152">XLOOKUP(A5152,'Fintech, Regulatory Arbitrage, '!A:A,'Fintech, Regulatory Arbitrage, '!C:C,"")</f>
        <v/>
      </c>
    </row>
    <row r="5153">
      <c r="A5153" s="1" t="s">
        <v>5173</v>
      </c>
      <c r="B5153" s="2">
        <v>3.0</v>
      </c>
      <c r="C5153" s="4"/>
      <c r="E5153" s="4" t="str">
        <f t="array" ref="E5153">XLOOKUP(A5153,'Fintech, Regulatory Arbitrage, '!A:A,'Fintech, Regulatory Arbitrage, '!C:C,"")</f>
        <v/>
      </c>
    </row>
    <row r="5154">
      <c r="A5154" s="1" t="s">
        <v>5174</v>
      </c>
      <c r="B5154" s="2">
        <v>3.0</v>
      </c>
      <c r="C5154" s="4"/>
      <c r="E5154" s="4" t="str">
        <f t="array" ref="E5154">XLOOKUP(A5154,'Fintech, Regulatory Arbitrage, '!A:A,'Fintech, Regulatory Arbitrage, '!C:C,"")</f>
        <v/>
      </c>
    </row>
    <row r="5155">
      <c r="A5155" s="1" t="s">
        <v>5175</v>
      </c>
      <c r="B5155" s="2">
        <v>3.0</v>
      </c>
      <c r="C5155" s="4"/>
      <c r="E5155" s="4" t="str">
        <f t="array" ref="E5155">XLOOKUP(A5155,'Fintech, Regulatory Arbitrage, '!A:A,'Fintech, Regulatory Arbitrage, '!C:C,"")</f>
        <v/>
      </c>
    </row>
    <row r="5156">
      <c r="A5156" s="1" t="s">
        <v>5176</v>
      </c>
      <c r="B5156" s="2">
        <v>3.0</v>
      </c>
      <c r="C5156" s="4"/>
      <c r="E5156" s="4" t="str">
        <f t="array" ref="E5156">XLOOKUP(A5156,'Fintech, Regulatory Arbitrage, '!A:A,'Fintech, Regulatory Arbitrage, '!C:C,"")</f>
        <v/>
      </c>
    </row>
    <row r="5157">
      <c r="A5157" s="1" t="s">
        <v>5177</v>
      </c>
      <c r="B5157" s="2">
        <v>3.0</v>
      </c>
      <c r="C5157" s="4"/>
      <c r="E5157" s="4" t="str">
        <f t="array" ref="E5157">XLOOKUP(A5157,'Fintech, Regulatory Arbitrage, '!A:A,'Fintech, Regulatory Arbitrage, '!C:C,"")</f>
        <v/>
      </c>
    </row>
    <row r="5158">
      <c r="A5158" s="1" t="s">
        <v>5178</v>
      </c>
      <c r="B5158" s="2">
        <v>3.0</v>
      </c>
      <c r="C5158" s="4"/>
      <c r="E5158" s="4" t="str">
        <f t="array" ref="E5158">XLOOKUP(A5158,'Fintech, Regulatory Arbitrage, '!A:A,'Fintech, Regulatory Arbitrage, '!C:C,"")</f>
        <v/>
      </c>
    </row>
    <row r="5159">
      <c r="A5159" s="1" t="s">
        <v>5179</v>
      </c>
      <c r="B5159" s="2">
        <v>3.0</v>
      </c>
      <c r="C5159" s="4"/>
      <c r="E5159" s="4" t="str">
        <f t="array" ref="E5159">XLOOKUP(A5159,'Fintech, Regulatory Arbitrage, '!A:A,'Fintech, Regulatory Arbitrage, '!C:C,"")</f>
        <v/>
      </c>
    </row>
    <row r="5160">
      <c r="A5160" s="1" t="s">
        <v>5180</v>
      </c>
      <c r="B5160" s="2">
        <v>3.0</v>
      </c>
      <c r="C5160" s="4"/>
      <c r="E5160" s="4" t="str">
        <f t="array" ref="E5160">XLOOKUP(A5160,'Fintech, Regulatory Arbitrage, '!A:A,'Fintech, Regulatory Arbitrage, '!C:C,"")</f>
        <v/>
      </c>
    </row>
    <row r="5161">
      <c r="A5161" s="1" t="s">
        <v>5181</v>
      </c>
      <c r="B5161" s="2">
        <v>3.0</v>
      </c>
      <c r="C5161" s="4"/>
      <c r="E5161" s="4" t="str">
        <f t="array" ref="E5161">XLOOKUP(A5161,'Fintech, Regulatory Arbitrage, '!A:A,'Fintech, Regulatory Arbitrage, '!C:C,"")</f>
        <v/>
      </c>
    </row>
    <row r="5162">
      <c r="A5162" s="1" t="s">
        <v>5182</v>
      </c>
      <c r="B5162" s="2">
        <v>3.0</v>
      </c>
      <c r="C5162" s="4"/>
      <c r="E5162" s="4" t="str">
        <f t="array" ref="E5162">XLOOKUP(A5162,'Fintech, Regulatory Arbitrage, '!A:A,'Fintech, Regulatory Arbitrage, '!C:C,"")</f>
        <v/>
      </c>
    </row>
    <row r="5163">
      <c r="A5163" s="1" t="s">
        <v>5183</v>
      </c>
      <c r="B5163" s="2">
        <v>3.0</v>
      </c>
      <c r="C5163" s="4"/>
      <c r="E5163" s="4" t="str">
        <f t="array" ref="E5163">XLOOKUP(A5163,'Fintech, Regulatory Arbitrage, '!A:A,'Fintech, Regulatory Arbitrage, '!C:C,"")</f>
        <v/>
      </c>
    </row>
    <row r="5164">
      <c r="A5164" s="1" t="s">
        <v>5184</v>
      </c>
      <c r="B5164" s="2">
        <v>3.0</v>
      </c>
      <c r="C5164" s="4"/>
      <c r="E5164" s="4" t="str">
        <f t="array" ref="E5164">XLOOKUP(A5164,'Fintech, Regulatory Arbitrage, '!A:A,'Fintech, Regulatory Arbitrage, '!C:C,"")</f>
        <v/>
      </c>
    </row>
    <row r="5165">
      <c r="A5165" s="1" t="s">
        <v>5185</v>
      </c>
      <c r="B5165" s="2">
        <v>3.0</v>
      </c>
      <c r="C5165" s="4"/>
      <c r="E5165" s="4" t="str">
        <f t="array" ref="E5165">XLOOKUP(A5165,'Fintech, Regulatory Arbitrage, '!A:A,'Fintech, Regulatory Arbitrage, '!C:C,"")</f>
        <v/>
      </c>
    </row>
    <row r="5166">
      <c r="A5166" s="1" t="s">
        <v>5186</v>
      </c>
      <c r="B5166" s="2">
        <v>3.0</v>
      </c>
      <c r="C5166" s="4"/>
      <c r="E5166" s="4" t="str">
        <f t="array" ref="E5166">XLOOKUP(A5166,'Fintech, Regulatory Arbitrage, '!A:A,'Fintech, Regulatory Arbitrage, '!C:C,"")</f>
        <v/>
      </c>
    </row>
    <row r="5167">
      <c r="A5167" s="1" t="s">
        <v>5187</v>
      </c>
      <c r="B5167" s="2">
        <v>3.0</v>
      </c>
      <c r="C5167" s="4"/>
      <c r="E5167" s="4" t="str">
        <f t="array" ref="E5167">XLOOKUP(A5167,'Fintech, Regulatory Arbitrage, '!A:A,'Fintech, Regulatory Arbitrage, '!C:C,"")</f>
        <v/>
      </c>
    </row>
    <row r="5168">
      <c r="A5168" s="1" t="s">
        <v>5188</v>
      </c>
      <c r="B5168" s="2">
        <v>3.0</v>
      </c>
      <c r="C5168" s="4"/>
      <c r="E5168" s="4" t="str">
        <f t="array" ref="E5168">XLOOKUP(A5168,'Fintech, Regulatory Arbitrage, '!A:A,'Fintech, Regulatory Arbitrage, '!C:C,"")</f>
        <v/>
      </c>
    </row>
    <row r="5169">
      <c r="A5169" s="1" t="s">
        <v>5189</v>
      </c>
      <c r="B5169" s="2">
        <v>3.0</v>
      </c>
      <c r="C5169" s="4"/>
      <c r="E5169" s="4" t="str">
        <f t="array" ref="E5169">XLOOKUP(A5169,'Fintech, Regulatory Arbitrage, '!A:A,'Fintech, Regulatory Arbitrage, '!C:C,"")</f>
        <v/>
      </c>
    </row>
    <row r="5170">
      <c r="A5170" s="1" t="s">
        <v>5190</v>
      </c>
      <c r="B5170" s="2">
        <v>3.0</v>
      </c>
      <c r="C5170" s="4"/>
      <c r="E5170" s="4" t="str">
        <f t="array" ref="E5170">XLOOKUP(A5170,'Fintech, Regulatory Arbitrage, '!A:A,'Fintech, Regulatory Arbitrage, '!C:C,"")</f>
        <v/>
      </c>
    </row>
    <row r="5171">
      <c r="A5171" s="1" t="s">
        <v>5191</v>
      </c>
      <c r="B5171" s="2">
        <v>3.0</v>
      </c>
      <c r="C5171" s="4"/>
      <c r="E5171" s="4" t="str">
        <f t="array" ref="E5171">XLOOKUP(A5171,'Fintech, Regulatory Arbitrage, '!A:A,'Fintech, Regulatory Arbitrage, '!C:C,"")</f>
        <v/>
      </c>
    </row>
    <row r="5172">
      <c r="A5172" s="1" t="s">
        <v>5192</v>
      </c>
      <c r="B5172" s="2">
        <v>3.0</v>
      </c>
      <c r="C5172" s="4"/>
      <c r="E5172" s="4" t="str">
        <f t="array" ref="E5172">XLOOKUP(A5172,'Fintech, Regulatory Arbitrage, '!A:A,'Fintech, Regulatory Arbitrage, '!C:C,"")</f>
        <v/>
      </c>
    </row>
    <row r="5173">
      <c r="A5173" s="1" t="s">
        <v>5193</v>
      </c>
      <c r="B5173" s="2">
        <v>3.0</v>
      </c>
      <c r="C5173" s="4"/>
      <c r="E5173" s="4" t="str">
        <f t="array" ref="E5173">XLOOKUP(A5173,'Fintech, Regulatory Arbitrage, '!A:A,'Fintech, Regulatory Arbitrage, '!C:C,"")</f>
        <v/>
      </c>
    </row>
    <row r="5174">
      <c r="A5174" s="1" t="s">
        <v>5194</v>
      </c>
      <c r="B5174" s="2">
        <v>3.0</v>
      </c>
      <c r="C5174" s="4"/>
      <c r="E5174" s="4" t="str">
        <f t="array" ref="E5174">XLOOKUP(A5174,'Fintech, Regulatory Arbitrage, '!A:A,'Fintech, Regulatory Arbitrage, '!C:C,"")</f>
        <v/>
      </c>
    </row>
    <row r="5175">
      <c r="A5175" s="1" t="s">
        <v>5195</v>
      </c>
      <c r="B5175" s="2">
        <v>3.0</v>
      </c>
      <c r="C5175" s="4"/>
      <c r="E5175" s="4" t="str">
        <f t="array" ref="E5175">XLOOKUP(A5175,'Fintech, Regulatory Arbitrage, '!A:A,'Fintech, Regulatory Arbitrage, '!C:C,"")</f>
        <v/>
      </c>
    </row>
    <row r="5176">
      <c r="A5176" s="1" t="s">
        <v>5196</v>
      </c>
      <c r="B5176" s="2">
        <v>3.0</v>
      </c>
      <c r="C5176" s="4"/>
      <c r="E5176" s="4" t="str">
        <f t="array" ref="E5176">XLOOKUP(A5176,'Fintech, Regulatory Arbitrage, '!A:A,'Fintech, Regulatory Arbitrage, '!C:C,"")</f>
        <v/>
      </c>
    </row>
    <row r="5177">
      <c r="A5177" s="1" t="s">
        <v>5197</v>
      </c>
      <c r="B5177" s="2">
        <v>3.0</v>
      </c>
      <c r="C5177" s="4"/>
      <c r="E5177" s="4" t="str">
        <f t="array" ref="E5177">XLOOKUP(A5177,'Fintech, Regulatory Arbitrage, '!A:A,'Fintech, Regulatory Arbitrage, '!C:C,"")</f>
        <v/>
      </c>
    </row>
    <row r="5178">
      <c r="A5178" s="1" t="s">
        <v>5198</v>
      </c>
      <c r="B5178" s="2">
        <v>3.0</v>
      </c>
      <c r="C5178" s="4"/>
      <c r="E5178" s="4" t="str">
        <f t="array" ref="E5178">XLOOKUP(A5178,'Fintech, Regulatory Arbitrage, '!A:A,'Fintech, Regulatory Arbitrage, '!C:C,"")</f>
        <v/>
      </c>
    </row>
    <row r="5179">
      <c r="A5179" s="1" t="s">
        <v>5199</v>
      </c>
      <c r="B5179" s="2">
        <v>3.0</v>
      </c>
      <c r="C5179" s="4"/>
      <c r="E5179" s="4" t="str">
        <f t="array" ref="E5179">XLOOKUP(A5179,'Fintech, Regulatory Arbitrage, '!A:A,'Fintech, Regulatory Arbitrage, '!C:C,"")</f>
        <v/>
      </c>
    </row>
    <row r="5180">
      <c r="A5180" s="1" t="s">
        <v>5200</v>
      </c>
      <c r="B5180" s="2">
        <v>3.0</v>
      </c>
      <c r="C5180" s="4"/>
      <c r="E5180" s="4" t="str">
        <f t="array" ref="E5180">XLOOKUP(A5180,'Fintech, Regulatory Arbitrage, '!A:A,'Fintech, Regulatory Arbitrage, '!C:C,"")</f>
        <v/>
      </c>
    </row>
    <row r="5181">
      <c r="A5181" s="1" t="s">
        <v>5201</v>
      </c>
      <c r="B5181" s="2">
        <v>3.0</v>
      </c>
      <c r="C5181" s="4"/>
      <c r="E5181" s="4" t="str">
        <f t="array" ref="E5181">XLOOKUP(A5181,'Fintech, Regulatory Arbitrage, '!A:A,'Fintech, Regulatory Arbitrage, '!C:C,"")</f>
        <v/>
      </c>
    </row>
    <row r="5182">
      <c r="A5182" s="1" t="s">
        <v>5202</v>
      </c>
      <c r="B5182" s="2">
        <v>3.0</v>
      </c>
      <c r="C5182" s="4"/>
      <c r="E5182" s="4" t="str">
        <f t="array" ref="E5182">XLOOKUP(A5182,'Fintech, Regulatory Arbitrage, '!A:A,'Fintech, Regulatory Arbitrage, '!C:C,"")</f>
        <v/>
      </c>
    </row>
    <row r="5183">
      <c r="A5183" s="1" t="s">
        <v>5203</v>
      </c>
      <c r="B5183" s="2">
        <v>3.0</v>
      </c>
      <c r="C5183" s="4"/>
      <c r="E5183" s="4" t="str">
        <f t="array" ref="E5183">XLOOKUP(A5183,'Fintech, Regulatory Arbitrage, '!A:A,'Fintech, Regulatory Arbitrage, '!C:C,"")</f>
        <v/>
      </c>
    </row>
    <row r="5184">
      <c r="A5184" s="1" t="s">
        <v>5204</v>
      </c>
      <c r="B5184" s="2">
        <v>3.0</v>
      </c>
      <c r="C5184" s="4"/>
      <c r="E5184" s="4" t="str">
        <f t="array" ref="E5184">XLOOKUP(A5184,'Fintech, Regulatory Arbitrage, '!A:A,'Fintech, Regulatory Arbitrage, '!C:C,"")</f>
        <v/>
      </c>
    </row>
    <row r="5185">
      <c r="A5185" s="1" t="s">
        <v>5205</v>
      </c>
      <c r="B5185" s="2">
        <v>3.0</v>
      </c>
      <c r="C5185" s="4"/>
      <c r="E5185" s="4" t="str">
        <f t="array" ref="E5185">XLOOKUP(A5185,'Fintech, Regulatory Arbitrage, '!A:A,'Fintech, Regulatory Arbitrage, '!C:C,"")</f>
        <v/>
      </c>
    </row>
    <row r="5186">
      <c r="A5186" s="1" t="s">
        <v>5206</v>
      </c>
      <c r="B5186" s="2">
        <v>3.0</v>
      </c>
      <c r="C5186" s="4"/>
      <c r="E5186" s="4" t="str">
        <f t="array" ref="E5186">XLOOKUP(A5186,'Fintech, Regulatory Arbitrage, '!A:A,'Fintech, Regulatory Arbitrage, '!C:C,"")</f>
        <v/>
      </c>
    </row>
    <row r="5187">
      <c r="A5187" s="1" t="s">
        <v>5207</v>
      </c>
      <c r="B5187" s="2">
        <v>3.0</v>
      </c>
      <c r="C5187" s="4"/>
      <c r="E5187" s="4" t="str">
        <f t="array" ref="E5187">XLOOKUP(A5187,'Fintech, Regulatory Arbitrage, '!A:A,'Fintech, Regulatory Arbitrage, '!C:C,"")</f>
        <v/>
      </c>
    </row>
    <row r="5188">
      <c r="A5188" s="1" t="s">
        <v>5208</v>
      </c>
      <c r="B5188" s="2">
        <v>3.0</v>
      </c>
      <c r="C5188" s="4"/>
      <c r="E5188" s="4" t="str">
        <f t="array" ref="E5188">XLOOKUP(A5188,'Fintech, Regulatory Arbitrage, '!A:A,'Fintech, Regulatory Arbitrage, '!C:C,"")</f>
        <v/>
      </c>
    </row>
    <row r="5189">
      <c r="A5189" s="1" t="s">
        <v>5209</v>
      </c>
      <c r="B5189" s="2">
        <v>3.0</v>
      </c>
      <c r="C5189" s="4"/>
      <c r="E5189" s="4" t="str">
        <f t="array" ref="E5189">XLOOKUP(A5189,'Fintech, Regulatory Arbitrage, '!A:A,'Fintech, Regulatory Arbitrage, '!C:C,"")</f>
        <v/>
      </c>
    </row>
    <row r="5190">
      <c r="A5190" s="1" t="s">
        <v>5210</v>
      </c>
      <c r="B5190" s="2">
        <v>3.0</v>
      </c>
      <c r="C5190" s="4"/>
      <c r="E5190" s="4" t="str">
        <f t="array" ref="E5190">XLOOKUP(A5190,'Fintech, Regulatory Arbitrage, '!A:A,'Fintech, Regulatory Arbitrage, '!C:C,"")</f>
        <v/>
      </c>
    </row>
    <row r="5191">
      <c r="A5191" s="1" t="s">
        <v>5211</v>
      </c>
      <c r="B5191" s="2">
        <v>3.0</v>
      </c>
      <c r="C5191" s="4"/>
      <c r="E5191" s="4" t="str">
        <f t="array" ref="E5191">XLOOKUP(A5191,'Fintech, Regulatory Arbitrage, '!A:A,'Fintech, Regulatory Arbitrage, '!C:C,"")</f>
        <v/>
      </c>
    </row>
    <row r="5192">
      <c r="A5192" s="1" t="s">
        <v>5212</v>
      </c>
      <c r="B5192" s="2">
        <v>3.0</v>
      </c>
      <c r="C5192" s="4"/>
      <c r="E5192" s="4" t="str">
        <f t="array" ref="E5192">XLOOKUP(A5192,'Fintech, Regulatory Arbitrage, '!A:A,'Fintech, Regulatory Arbitrage, '!C:C,"")</f>
        <v/>
      </c>
    </row>
    <row r="5193">
      <c r="A5193" s="1" t="s">
        <v>5213</v>
      </c>
      <c r="B5193" s="2">
        <v>3.0</v>
      </c>
      <c r="C5193" s="4"/>
      <c r="E5193" s="4" t="str">
        <f t="array" ref="E5193">XLOOKUP(A5193,'Fintech, Regulatory Arbitrage, '!A:A,'Fintech, Regulatory Arbitrage, '!C:C,"")</f>
        <v/>
      </c>
    </row>
    <row r="5194">
      <c r="A5194" s="1" t="s">
        <v>5214</v>
      </c>
      <c r="B5194" s="2">
        <v>3.0</v>
      </c>
      <c r="C5194" s="4"/>
      <c r="E5194" s="4" t="str">
        <f t="array" ref="E5194">XLOOKUP(A5194,'Fintech, Regulatory Arbitrage, '!A:A,'Fintech, Regulatory Arbitrage, '!C:C,"")</f>
        <v/>
      </c>
    </row>
    <row r="5195">
      <c r="A5195" s="1" t="s">
        <v>5215</v>
      </c>
      <c r="B5195" s="2">
        <v>3.0</v>
      </c>
      <c r="C5195" s="4"/>
      <c r="E5195" s="4" t="str">
        <f t="array" ref="E5195">XLOOKUP(A5195,'Fintech, Regulatory Arbitrage, '!A:A,'Fintech, Regulatory Arbitrage, '!C:C,"")</f>
        <v/>
      </c>
    </row>
    <row r="5196">
      <c r="A5196" s="1" t="s">
        <v>5216</v>
      </c>
      <c r="B5196" s="2">
        <v>3.0</v>
      </c>
      <c r="C5196" s="4"/>
      <c r="E5196" s="4" t="str">
        <f t="array" ref="E5196">XLOOKUP(A5196,'Fintech, Regulatory Arbitrage, '!A:A,'Fintech, Regulatory Arbitrage, '!C:C,"")</f>
        <v/>
      </c>
    </row>
    <row r="5197">
      <c r="A5197" s="1" t="s">
        <v>5217</v>
      </c>
      <c r="B5197" s="2">
        <v>3.0</v>
      </c>
      <c r="C5197" s="4"/>
      <c r="E5197" s="4" t="str">
        <f t="array" ref="E5197">XLOOKUP(A5197,'Fintech, Regulatory Arbitrage, '!A:A,'Fintech, Regulatory Arbitrage, '!C:C,"")</f>
        <v/>
      </c>
    </row>
    <row r="5198">
      <c r="A5198" s="1" t="s">
        <v>5218</v>
      </c>
      <c r="B5198" s="2">
        <v>3.0</v>
      </c>
      <c r="C5198" s="4"/>
      <c r="E5198" s="4" t="str">
        <f t="array" ref="E5198">XLOOKUP(A5198,'Fintech, Regulatory Arbitrage, '!A:A,'Fintech, Regulatory Arbitrage, '!C:C,"")</f>
        <v/>
      </c>
    </row>
    <row r="5199">
      <c r="A5199" s="1" t="s">
        <v>5219</v>
      </c>
      <c r="B5199" s="2">
        <v>3.0</v>
      </c>
      <c r="C5199" s="4"/>
      <c r="E5199" s="4" t="str">
        <f t="array" ref="E5199">XLOOKUP(A5199,'Fintech, Regulatory Arbitrage, '!A:A,'Fintech, Regulatory Arbitrage, '!C:C,"")</f>
        <v/>
      </c>
    </row>
    <row r="5200">
      <c r="A5200" s="1" t="s">
        <v>5220</v>
      </c>
      <c r="B5200" s="2">
        <v>3.0</v>
      </c>
      <c r="C5200" s="4"/>
      <c r="E5200" s="4" t="str">
        <f t="array" ref="E5200">XLOOKUP(A5200,'Fintech, Regulatory Arbitrage, '!A:A,'Fintech, Regulatory Arbitrage, '!C:C,"")</f>
        <v/>
      </c>
    </row>
    <row r="5201">
      <c r="A5201" s="1" t="s">
        <v>5221</v>
      </c>
      <c r="B5201" s="2">
        <v>3.0</v>
      </c>
      <c r="C5201" s="4"/>
      <c r="E5201" s="4" t="str">
        <f t="array" ref="E5201">XLOOKUP(A5201,'Fintech, Regulatory Arbitrage, '!A:A,'Fintech, Regulatory Arbitrage, '!C:C,"")</f>
        <v/>
      </c>
    </row>
    <row r="5202">
      <c r="A5202" s="1" t="s">
        <v>5222</v>
      </c>
      <c r="B5202" s="2">
        <v>3.0</v>
      </c>
      <c r="C5202" s="4"/>
      <c r="E5202" s="4" t="str">
        <f t="array" ref="E5202">XLOOKUP(A5202,'Fintech, Regulatory Arbitrage, '!A:A,'Fintech, Regulatory Arbitrage, '!C:C,"")</f>
        <v/>
      </c>
    </row>
    <row r="5203">
      <c r="A5203" s="1" t="s">
        <v>5223</v>
      </c>
      <c r="B5203" s="2">
        <v>3.0</v>
      </c>
      <c r="C5203" s="4"/>
      <c r="E5203" s="4" t="str">
        <f t="array" ref="E5203">XLOOKUP(A5203,'Fintech, Regulatory Arbitrage, '!A:A,'Fintech, Regulatory Arbitrage, '!C:C,"")</f>
        <v/>
      </c>
    </row>
    <row r="5204">
      <c r="A5204" s="1" t="s">
        <v>5224</v>
      </c>
      <c r="B5204" s="2">
        <v>3.0</v>
      </c>
      <c r="C5204" s="4"/>
      <c r="E5204" s="4" t="str">
        <f t="array" ref="E5204">XLOOKUP(A5204,'Fintech, Regulatory Arbitrage, '!A:A,'Fintech, Regulatory Arbitrage, '!C:C,"")</f>
        <v/>
      </c>
    </row>
    <row r="5205">
      <c r="A5205" s="1" t="s">
        <v>5225</v>
      </c>
      <c r="B5205" s="2">
        <v>3.0</v>
      </c>
      <c r="C5205" s="4"/>
      <c r="E5205" s="4" t="str">
        <f t="array" ref="E5205">XLOOKUP(A5205,'Fintech, Regulatory Arbitrage, '!A:A,'Fintech, Regulatory Arbitrage, '!C:C,"")</f>
        <v/>
      </c>
    </row>
    <row r="5206">
      <c r="A5206" s="1" t="s">
        <v>5226</v>
      </c>
      <c r="B5206" s="2">
        <v>3.0</v>
      </c>
      <c r="C5206" s="4"/>
      <c r="E5206" s="4" t="str">
        <f t="array" ref="E5206">XLOOKUP(A5206,'Fintech, Regulatory Arbitrage, '!A:A,'Fintech, Regulatory Arbitrage, '!C:C,"")</f>
        <v/>
      </c>
    </row>
    <row r="5207">
      <c r="A5207" s="1" t="s">
        <v>5227</v>
      </c>
      <c r="B5207" s="2">
        <v>3.0</v>
      </c>
      <c r="C5207" s="4"/>
      <c r="E5207" s="4" t="str">
        <f t="array" ref="E5207">XLOOKUP(A5207,'Fintech, Regulatory Arbitrage, '!A:A,'Fintech, Regulatory Arbitrage, '!C:C,"")</f>
        <v/>
      </c>
    </row>
    <row r="5208">
      <c r="A5208" s="1" t="s">
        <v>5228</v>
      </c>
      <c r="B5208" s="2">
        <v>3.0</v>
      </c>
      <c r="C5208" s="4"/>
      <c r="E5208" s="4" t="str">
        <f t="array" ref="E5208">XLOOKUP(A5208,'Fintech, Regulatory Arbitrage, '!A:A,'Fintech, Regulatory Arbitrage, '!C:C,"")</f>
        <v/>
      </c>
    </row>
    <row r="5209">
      <c r="A5209" s="1" t="s">
        <v>5229</v>
      </c>
      <c r="B5209" s="2">
        <v>3.0</v>
      </c>
      <c r="C5209" s="4"/>
      <c r="E5209" s="4" t="str">
        <f t="array" ref="E5209">XLOOKUP(A5209,'Fintech, Regulatory Arbitrage, '!A:A,'Fintech, Regulatory Arbitrage, '!C:C,"")</f>
        <v/>
      </c>
    </row>
    <row r="5210">
      <c r="A5210" s="1" t="s">
        <v>5230</v>
      </c>
      <c r="B5210" s="2">
        <v>3.0</v>
      </c>
      <c r="C5210" s="4"/>
      <c r="E5210" s="4" t="str">
        <f t="array" ref="E5210">XLOOKUP(A5210,'Fintech, Regulatory Arbitrage, '!A:A,'Fintech, Regulatory Arbitrage, '!C:C,"")</f>
        <v/>
      </c>
    </row>
    <row r="5211">
      <c r="A5211" s="1" t="s">
        <v>5231</v>
      </c>
      <c r="B5211" s="2">
        <v>3.0</v>
      </c>
      <c r="C5211" s="4"/>
      <c r="E5211" s="4" t="str">
        <f t="array" ref="E5211">XLOOKUP(A5211,'Fintech, Regulatory Arbitrage, '!A:A,'Fintech, Regulatory Arbitrage, '!C:C,"")</f>
        <v/>
      </c>
    </row>
    <row r="5212">
      <c r="A5212" s="1" t="s">
        <v>5232</v>
      </c>
      <c r="B5212" s="2">
        <v>3.0</v>
      </c>
      <c r="C5212" s="4"/>
      <c r="E5212" s="4" t="str">
        <f t="array" ref="E5212">XLOOKUP(A5212,'Fintech, Regulatory Arbitrage, '!A:A,'Fintech, Regulatory Arbitrage, '!C:C,"")</f>
        <v/>
      </c>
    </row>
    <row r="5213">
      <c r="A5213" s="1" t="s">
        <v>5233</v>
      </c>
      <c r="B5213" s="2">
        <v>3.0</v>
      </c>
      <c r="C5213" s="4"/>
      <c r="E5213" s="4" t="str">
        <f t="array" ref="E5213">XLOOKUP(A5213,'Fintech, Regulatory Arbitrage, '!A:A,'Fintech, Regulatory Arbitrage, '!C:C,"")</f>
        <v/>
      </c>
    </row>
    <row r="5214">
      <c r="A5214" s="1" t="s">
        <v>5234</v>
      </c>
      <c r="B5214" s="2">
        <v>3.0</v>
      </c>
      <c r="C5214" s="4"/>
      <c r="E5214" s="4" t="str">
        <f t="array" ref="E5214">XLOOKUP(A5214,'Fintech, Regulatory Arbitrage, '!A:A,'Fintech, Regulatory Arbitrage, '!C:C,"")</f>
        <v/>
      </c>
    </row>
    <row r="5215">
      <c r="A5215" s="1" t="s">
        <v>5235</v>
      </c>
      <c r="B5215" s="2">
        <v>3.0</v>
      </c>
      <c r="C5215" s="4"/>
      <c r="E5215" s="4" t="str">
        <f t="array" ref="E5215">XLOOKUP(A5215,'Fintech, Regulatory Arbitrage, '!A:A,'Fintech, Regulatory Arbitrage, '!C:C,"")</f>
        <v/>
      </c>
    </row>
    <row r="5216">
      <c r="A5216" s="1" t="s">
        <v>5236</v>
      </c>
      <c r="B5216" s="2">
        <v>3.0</v>
      </c>
      <c r="C5216" s="4"/>
      <c r="E5216" s="4" t="str">
        <f t="array" ref="E5216">XLOOKUP(A5216,'Fintech, Regulatory Arbitrage, '!A:A,'Fintech, Regulatory Arbitrage, '!C:C,"")</f>
        <v/>
      </c>
    </row>
    <row r="5217">
      <c r="A5217" s="1" t="s">
        <v>5237</v>
      </c>
      <c r="B5217" s="2">
        <v>3.0</v>
      </c>
      <c r="C5217" s="4"/>
      <c r="E5217" s="4" t="str">
        <f t="array" ref="E5217">XLOOKUP(A5217,'Fintech, Regulatory Arbitrage, '!A:A,'Fintech, Regulatory Arbitrage, '!C:C,"")</f>
        <v/>
      </c>
    </row>
    <row r="5218">
      <c r="A5218" s="1" t="s">
        <v>5238</v>
      </c>
      <c r="B5218" s="2">
        <v>3.0</v>
      </c>
      <c r="C5218" s="4"/>
      <c r="E5218" s="4" t="str">
        <f t="array" ref="E5218">XLOOKUP(A5218,'Fintech, Regulatory Arbitrage, '!A:A,'Fintech, Regulatory Arbitrage, '!C:C,"")</f>
        <v/>
      </c>
    </row>
    <row r="5219">
      <c r="A5219" s="1" t="s">
        <v>5239</v>
      </c>
      <c r="B5219" s="2">
        <v>3.0</v>
      </c>
      <c r="C5219" s="4"/>
      <c r="E5219" s="4" t="str">
        <f t="array" ref="E5219">XLOOKUP(A5219,'Fintech, Regulatory Arbitrage, '!A:A,'Fintech, Regulatory Arbitrage, '!C:C,"")</f>
        <v/>
      </c>
    </row>
    <row r="5220">
      <c r="A5220" s="1" t="s">
        <v>5240</v>
      </c>
      <c r="B5220" s="2">
        <v>3.0</v>
      </c>
      <c r="C5220" s="4"/>
      <c r="E5220" s="4" t="str">
        <f t="array" ref="E5220">XLOOKUP(A5220,'Fintech, Regulatory Arbitrage, '!A:A,'Fintech, Regulatory Arbitrage, '!C:C,"")</f>
        <v/>
      </c>
    </row>
    <row r="5221">
      <c r="A5221" s="1" t="s">
        <v>5241</v>
      </c>
      <c r="B5221" s="2">
        <v>3.0</v>
      </c>
      <c r="C5221" s="4"/>
      <c r="E5221" s="4" t="str">
        <f t="array" ref="E5221">XLOOKUP(A5221,'Fintech, Regulatory Arbitrage, '!A:A,'Fintech, Regulatory Arbitrage, '!C:C,"")</f>
        <v/>
      </c>
    </row>
    <row r="5222">
      <c r="A5222" s="1" t="s">
        <v>5242</v>
      </c>
      <c r="B5222" s="2">
        <v>3.0</v>
      </c>
      <c r="C5222" s="4"/>
      <c r="E5222" s="4" t="str">
        <f t="array" ref="E5222">XLOOKUP(A5222,'Fintech, Regulatory Arbitrage, '!A:A,'Fintech, Regulatory Arbitrage, '!C:C,"")</f>
        <v/>
      </c>
    </row>
    <row r="5223">
      <c r="A5223" s="1" t="s">
        <v>5243</v>
      </c>
      <c r="B5223" s="2">
        <v>3.0</v>
      </c>
      <c r="C5223" s="4"/>
      <c r="E5223" s="4" t="str">
        <f t="array" ref="E5223">XLOOKUP(A5223,'Fintech, Regulatory Arbitrage, '!A:A,'Fintech, Regulatory Arbitrage, '!C:C,"")</f>
        <v/>
      </c>
    </row>
    <row r="5224">
      <c r="A5224" s="1" t="s">
        <v>5244</v>
      </c>
      <c r="B5224" s="2">
        <v>3.0</v>
      </c>
      <c r="C5224" s="4"/>
      <c r="E5224" s="4" t="str">
        <f t="array" ref="E5224">XLOOKUP(A5224,'Fintech, Regulatory Arbitrage, '!A:A,'Fintech, Regulatory Arbitrage, '!C:C,"")</f>
        <v/>
      </c>
    </row>
    <row r="5225">
      <c r="A5225" s="1" t="s">
        <v>5245</v>
      </c>
      <c r="B5225" s="2">
        <v>3.0</v>
      </c>
      <c r="C5225" s="4"/>
      <c r="E5225" s="4" t="str">
        <f t="array" ref="E5225">XLOOKUP(A5225,'Fintech, Regulatory Arbitrage, '!A:A,'Fintech, Regulatory Arbitrage, '!C:C,"")</f>
        <v/>
      </c>
    </row>
    <row r="5226">
      <c r="A5226" s="1" t="s">
        <v>5246</v>
      </c>
      <c r="B5226" s="2">
        <v>3.0</v>
      </c>
      <c r="C5226" s="4"/>
      <c r="E5226" s="4" t="str">
        <f t="array" ref="E5226">XLOOKUP(A5226,'Fintech, Regulatory Arbitrage, '!A:A,'Fintech, Regulatory Arbitrage, '!C:C,"")</f>
        <v/>
      </c>
    </row>
    <row r="5227">
      <c r="A5227" s="1" t="s">
        <v>5247</v>
      </c>
      <c r="B5227" s="2">
        <v>3.0</v>
      </c>
      <c r="C5227" s="4"/>
      <c r="E5227" s="4" t="str">
        <f t="array" ref="E5227">XLOOKUP(A5227,'Fintech, Regulatory Arbitrage, '!A:A,'Fintech, Regulatory Arbitrage, '!C:C,"")</f>
        <v/>
      </c>
    </row>
    <row r="5228">
      <c r="A5228" s="1" t="s">
        <v>5248</v>
      </c>
      <c r="B5228" s="2">
        <v>3.0</v>
      </c>
      <c r="C5228" s="4"/>
      <c r="E5228" s="4" t="str">
        <f t="array" ref="E5228">XLOOKUP(A5228,'Fintech, Regulatory Arbitrage, '!A:A,'Fintech, Regulatory Arbitrage, '!C:C,"")</f>
        <v/>
      </c>
    </row>
    <row r="5229">
      <c r="A5229" s="1" t="s">
        <v>5249</v>
      </c>
      <c r="B5229" s="2">
        <v>3.0</v>
      </c>
      <c r="C5229" s="4"/>
      <c r="E5229" s="4" t="str">
        <f t="array" ref="E5229">XLOOKUP(A5229,'Fintech, Regulatory Arbitrage, '!A:A,'Fintech, Regulatory Arbitrage, '!C:C,"")</f>
        <v/>
      </c>
    </row>
    <row r="5230">
      <c r="A5230" s="1" t="s">
        <v>5250</v>
      </c>
      <c r="B5230" s="2">
        <v>3.0</v>
      </c>
      <c r="C5230" s="4"/>
      <c r="E5230" s="4" t="str">
        <f t="array" ref="E5230">XLOOKUP(A5230,'Fintech, Regulatory Arbitrage, '!A:A,'Fintech, Regulatory Arbitrage, '!C:C,"")</f>
        <v/>
      </c>
    </row>
    <row r="5231">
      <c r="A5231" s="1" t="s">
        <v>5251</v>
      </c>
      <c r="B5231" s="2">
        <v>3.0</v>
      </c>
      <c r="C5231" s="4"/>
      <c r="E5231" s="4" t="str">
        <f t="array" ref="E5231">XLOOKUP(A5231,'Fintech, Regulatory Arbitrage, '!A:A,'Fintech, Regulatory Arbitrage, '!C:C,"")</f>
        <v/>
      </c>
    </row>
    <row r="5232">
      <c r="A5232" s="1" t="s">
        <v>5252</v>
      </c>
      <c r="B5232" s="2">
        <v>3.0</v>
      </c>
      <c r="C5232" s="4"/>
      <c r="E5232" s="4" t="str">
        <f t="array" ref="E5232">XLOOKUP(A5232,'Fintech, Regulatory Arbitrage, '!A:A,'Fintech, Regulatory Arbitrage, '!C:C,"")</f>
        <v/>
      </c>
    </row>
    <row r="5233">
      <c r="A5233" s="1" t="s">
        <v>5253</v>
      </c>
      <c r="B5233" s="2">
        <v>3.0</v>
      </c>
      <c r="C5233" s="4"/>
      <c r="E5233" s="4" t="str">
        <f t="array" ref="E5233">XLOOKUP(A5233,'Fintech, Regulatory Arbitrage, '!A:A,'Fintech, Regulatory Arbitrage, '!C:C,"")</f>
        <v/>
      </c>
    </row>
    <row r="5234">
      <c r="A5234" s="1" t="s">
        <v>5254</v>
      </c>
      <c r="B5234" s="2">
        <v>3.0</v>
      </c>
      <c r="C5234" s="4"/>
      <c r="E5234" s="4" t="str">
        <f t="array" ref="E5234">XLOOKUP(A5234,'Fintech, Regulatory Arbitrage, '!A:A,'Fintech, Regulatory Arbitrage, '!C:C,"")</f>
        <v/>
      </c>
    </row>
    <row r="5235">
      <c r="A5235" s="1" t="s">
        <v>5255</v>
      </c>
      <c r="B5235" s="2">
        <v>3.0</v>
      </c>
      <c r="C5235" s="4"/>
      <c r="E5235" s="4" t="str">
        <f t="array" ref="E5235">XLOOKUP(A5235,'Fintech, Regulatory Arbitrage, '!A:A,'Fintech, Regulatory Arbitrage, '!C:C,"")</f>
        <v/>
      </c>
    </row>
    <row r="5236">
      <c r="A5236" s="1" t="s">
        <v>5256</v>
      </c>
      <c r="B5236" s="2">
        <v>3.0</v>
      </c>
      <c r="C5236" s="4"/>
      <c r="E5236" s="4" t="str">
        <f t="array" ref="E5236">XLOOKUP(A5236,'Fintech, Regulatory Arbitrage, '!A:A,'Fintech, Regulatory Arbitrage, '!C:C,"")</f>
        <v/>
      </c>
    </row>
    <row r="5237">
      <c r="A5237" s="1" t="s">
        <v>5257</v>
      </c>
      <c r="B5237" s="2">
        <v>3.0</v>
      </c>
      <c r="C5237" s="4"/>
      <c r="E5237" s="4" t="str">
        <f t="array" ref="E5237">XLOOKUP(A5237,'Fintech, Regulatory Arbitrage, '!A:A,'Fintech, Regulatory Arbitrage, '!C:C,"")</f>
        <v/>
      </c>
    </row>
    <row r="5238">
      <c r="A5238" s="1" t="s">
        <v>5258</v>
      </c>
      <c r="B5238" s="2">
        <v>3.0</v>
      </c>
      <c r="C5238" s="4"/>
      <c r="E5238" s="4" t="str">
        <f t="array" ref="E5238">XLOOKUP(A5238,'Fintech, Regulatory Arbitrage, '!A:A,'Fintech, Regulatory Arbitrage, '!C:C,"")</f>
        <v/>
      </c>
    </row>
    <row r="5239">
      <c r="A5239" s="1" t="s">
        <v>5259</v>
      </c>
      <c r="B5239" s="2">
        <v>3.0</v>
      </c>
      <c r="C5239" s="4"/>
      <c r="E5239" s="4" t="str">
        <f t="array" ref="E5239">XLOOKUP(A5239,'Fintech, Regulatory Arbitrage, '!A:A,'Fintech, Regulatory Arbitrage, '!C:C,"")</f>
        <v/>
      </c>
    </row>
    <row r="5240">
      <c r="A5240" s="1" t="s">
        <v>5260</v>
      </c>
      <c r="B5240" s="2">
        <v>3.0</v>
      </c>
      <c r="C5240" s="4"/>
      <c r="E5240" s="4" t="str">
        <f t="array" ref="E5240">XLOOKUP(A5240,'Fintech, Regulatory Arbitrage, '!A:A,'Fintech, Regulatory Arbitrage, '!C:C,"")</f>
        <v/>
      </c>
    </row>
    <row r="5241">
      <c r="A5241" s="1" t="s">
        <v>5261</v>
      </c>
      <c r="B5241" s="2">
        <v>3.0</v>
      </c>
      <c r="C5241" s="4"/>
      <c r="E5241" s="4" t="str">
        <f t="array" ref="E5241">XLOOKUP(A5241,'Fintech, Regulatory Arbitrage, '!A:A,'Fintech, Regulatory Arbitrage, '!C:C,"")</f>
        <v/>
      </c>
    </row>
    <row r="5242">
      <c r="A5242" s="1" t="s">
        <v>5262</v>
      </c>
      <c r="B5242" s="2">
        <v>3.0</v>
      </c>
      <c r="C5242" s="4"/>
      <c r="E5242" s="4" t="str">
        <f t="array" ref="E5242">XLOOKUP(A5242,'Fintech, Regulatory Arbitrage, '!A:A,'Fintech, Regulatory Arbitrage, '!C:C,"")</f>
        <v/>
      </c>
    </row>
    <row r="5243">
      <c r="A5243" s="1" t="s">
        <v>5263</v>
      </c>
      <c r="B5243" s="2">
        <v>3.0</v>
      </c>
      <c r="C5243" s="4"/>
      <c r="E5243" s="4" t="str">
        <f t="array" ref="E5243">XLOOKUP(A5243,'Fintech, Regulatory Arbitrage, '!A:A,'Fintech, Regulatory Arbitrage, '!C:C,"")</f>
        <v/>
      </c>
    </row>
    <row r="5244">
      <c r="A5244" s="1" t="s">
        <v>5264</v>
      </c>
      <c r="B5244" s="2">
        <v>3.0</v>
      </c>
      <c r="C5244" s="4"/>
      <c r="E5244" s="4" t="str">
        <f t="array" ref="E5244">XLOOKUP(A5244,'Fintech, Regulatory Arbitrage, '!A:A,'Fintech, Regulatory Arbitrage, '!C:C,"")</f>
        <v/>
      </c>
    </row>
    <row r="5245">
      <c r="A5245" s="1" t="s">
        <v>5265</v>
      </c>
      <c r="B5245" s="2">
        <v>3.0</v>
      </c>
      <c r="C5245" s="4"/>
      <c r="E5245" s="4" t="str">
        <f t="array" ref="E5245">XLOOKUP(A5245,'Fintech, Regulatory Arbitrage, '!A:A,'Fintech, Regulatory Arbitrage, '!C:C,"")</f>
        <v/>
      </c>
    </row>
    <row r="5246">
      <c r="A5246" s="1" t="s">
        <v>5266</v>
      </c>
      <c r="B5246" s="2">
        <v>3.0</v>
      </c>
      <c r="C5246" s="4"/>
      <c r="E5246" s="4" t="str">
        <f t="array" ref="E5246">XLOOKUP(A5246,'Fintech, Regulatory Arbitrage, '!A:A,'Fintech, Regulatory Arbitrage, '!C:C,"")</f>
        <v/>
      </c>
    </row>
    <row r="5247">
      <c r="A5247" s="1" t="s">
        <v>5267</v>
      </c>
      <c r="B5247" s="2">
        <v>3.0</v>
      </c>
      <c r="C5247" s="4"/>
      <c r="E5247" s="4" t="str">
        <f t="array" ref="E5247">XLOOKUP(A5247,'Fintech, Regulatory Arbitrage, '!A:A,'Fintech, Regulatory Arbitrage, '!C:C,"")</f>
        <v/>
      </c>
    </row>
    <row r="5248">
      <c r="A5248" s="1" t="s">
        <v>5268</v>
      </c>
      <c r="B5248" s="2">
        <v>3.0</v>
      </c>
      <c r="C5248" s="4"/>
      <c r="E5248" s="4" t="str">
        <f t="array" ref="E5248">XLOOKUP(A5248,'Fintech, Regulatory Arbitrage, '!A:A,'Fintech, Regulatory Arbitrage, '!C:C,"")</f>
        <v/>
      </c>
    </row>
    <row r="5249">
      <c r="A5249" s="1" t="s">
        <v>5269</v>
      </c>
      <c r="B5249" s="2">
        <v>3.0</v>
      </c>
      <c r="C5249" s="4"/>
      <c r="E5249" s="4" t="str">
        <f t="array" ref="E5249">XLOOKUP(A5249,'Fintech, Regulatory Arbitrage, '!A:A,'Fintech, Regulatory Arbitrage, '!C:C,"")</f>
        <v/>
      </c>
    </row>
    <row r="5250">
      <c r="A5250" s="1" t="s">
        <v>5270</v>
      </c>
      <c r="B5250" s="2">
        <v>3.0</v>
      </c>
      <c r="C5250" s="4"/>
      <c r="E5250" s="4" t="str">
        <f t="array" ref="E5250">XLOOKUP(A5250,'Fintech, Regulatory Arbitrage, '!A:A,'Fintech, Regulatory Arbitrage, '!C:C,"")</f>
        <v/>
      </c>
    </row>
    <row r="5251">
      <c r="A5251" s="1" t="s">
        <v>5271</v>
      </c>
      <c r="B5251" s="2">
        <v>3.0</v>
      </c>
      <c r="C5251" s="4"/>
      <c r="E5251" s="4" t="str">
        <f t="array" ref="E5251">XLOOKUP(A5251,'Fintech, Regulatory Arbitrage, '!A:A,'Fintech, Regulatory Arbitrage, '!C:C,"")</f>
        <v/>
      </c>
    </row>
    <row r="5252">
      <c r="A5252" s="1" t="s">
        <v>5272</v>
      </c>
      <c r="B5252" s="2">
        <v>3.0</v>
      </c>
      <c r="C5252" s="4"/>
      <c r="E5252" s="4" t="str">
        <f t="array" ref="E5252">XLOOKUP(A5252,'Fintech, Regulatory Arbitrage, '!A:A,'Fintech, Regulatory Arbitrage, '!C:C,"")</f>
        <v/>
      </c>
    </row>
    <row r="5253">
      <c r="A5253" s="1" t="s">
        <v>5273</v>
      </c>
      <c r="B5253" s="2">
        <v>3.0</v>
      </c>
      <c r="C5253" s="4"/>
      <c r="E5253" s="4" t="str">
        <f t="array" ref="E5253">XLOOKUP(A5253,'Fintech, Regulatory Arbitrage, '!A:A,'Fintech, Regulatory Arbitrage, '!C:C,"")</f>
        <v/>
      </c>
    </row>
    <row r="5254">
      <c r="A5254" s="1" t="s">
        <v>5274</v>
      </c>
      <c r="B5254" s="2">
        <v>3.0</v>
      </c>
      <c r="C5254" s="4"/>
      <c r="E5254" s="4" t="str">
        <f t="array" ref="E5254">XLOOKUP(A5254,'Fintech, Regulatory Arbitrage, '!A:A,'Fintech, Regulatory Arbitrage, '!C:C,"")</f>
        <v/>
      </c>
    </row>
    <row r="5255">
      <c r="A5255" s="1" t="s">
        <v>5275</v>
      </c>
      <c r="B5255" s="2">
        <v>3.0</v>
      </c>
      <c r="C5255" s="4"/>
      <c r="E5255" s="4" t="str">
        <f t="array" ref="E5255">XLOOKUP(A5255,'Fintech, Regulatory Arbitrage, '!A:A,'Fintech, Regulatory Arbitrage, '!C:C,"")</f>
        <v/>
      </c>
    </row>
    <row r="5256">
      <c r="A5256" s="1" t="s">
        <v>5276</v>
      </c>
      <c r="B5256" s="2">
        <v>3.0</v>
      </c>
      <c r="C5256" s="4"/>
      <c r="E5256" s="4" t="str">
        <f t="array" ref="E5256">XLOOKUP(A5256,'Fintech, Regulatory Arbitrage, '!A:A,'Fintech, Regulatory Arbitrage, '!C:C,"")</f>
        <v/>
      </c>
    </row>
    <row r="5257">
      <c r="A5257" s="1" t="s">
        <v>5277</v>
      </c>
      <c r="B5257" s="2">
        <v>3.0</v>
      </c>
      <c r="C5257" s="4"/>
      <c r="E5257" s="4" t="str">
        <f t="array" ref="E5257">XLOOKUP(A5257,'Fintech, Regulatory Arbitrage, '!A:A,'Fintech, Regulatory Arbitrage, '!C:C,"")</f>
        <v/>
      </c>
    </row>
    <row r="5258">
      <c r="A5258" s="1" t="s">
        <v>5278</v>
      </c>
      <c r="B5258" s="2">
        <v>3.0</v>
      </c>
      <c r="C5258" s="4"/>
      <c r="E5258" s="4" t="str">
        <f t="array" ref="E5258">XLOOKUP(A5258,'Fintech, Regulatory Arbitrage, '!A:A,'Fintech, Regulatory Arbitrage, '!C:C,"")</f>
        <v/>
      </c>
    </row>
    <row r="5259">
      <c r="A5259" s="1" t="s">
        <v>5279</v>
      </c>
      <c r="B5259" s="2">
        <v>3.0</v>
      </c>
      <c r="C5259" s="4"/>
      <c r="E5259" s="4" t="str">
        <f t="array" ref="E5259">XLOOKUP(A5259,'Fintech, Regulatory Arbitrage, '!A:A,'Fintech, Regulatory Arbitrage, '!C:C,"")</f>
        <v/>
      </c>
    </row>
    <row r="5260">
      <c r="A5260" s="1" t="s">
        <v>5280</v>
      </c>
      <c r="B5260" s="2">
        <v>3.0</v>
      </c>
      <c r="C5260" s="4"/>
      <c r="E5260" s="4" t="str">
        <f t="array" ref="E5260">XLOOKUP(A5260,'Fintech, Regulatory Arbitrage, '!A:A,'Fintech, Regulatory Arbitrage, '!C:C,"")</f>
        <v/>
      </c>
    </row>
    <row r="5261">
      <c r="A5261" s="1" t="s">
        <v>5281</v>
      </c>
      <c r="B5261" s="2">
        <v>3.0</v>
      </c>
      <c r="C5261" s="4"/>
      <c r="E5261" s="4" t="str">
        <f t="array" ref="E5261">XLOOKUP(A5261,'Fintech, Regulatory Arbitrage, '!A:A,'Fintech, Regulatory Arbitrage, '!C:C,"")</f>
        <v/>
      </c>
    </row>
    <row r="5262">
      <c r="A5262" s="1" t="s">
        <v>5282</v>
      </c>
      <c r="B5262" s="2">
        <v>3.0</v>
      </c>
      <c r="C5262" s="4"/>
      <c r="E5262" s="4" t="str">
        <f t="array" ref="E5262">XLOOKUP(A5262,'Fintech, Regulatory Arbitrage, '!A:A,'Fintech, Regulatory Arbitrage, '!C:C,"")</f>
        <v/>
      </c>
    </row>
    <row r="5263">
      <c r="A5263" s="1" t="s">
        <v>5283</v>
      </c>
      <c r="B5263" s="2">
        <v>3.0</v>
      </c>
      <c r="C5263" s="4"/>
      <c r="E5263" s="4" t="str">
        <f t="array" ref="E5263">XLOOKUP(A5263,'Fintech, Regulatory Arbitrage, '!A:A,'Fintech, Regulatory Arbitrage, '!C:C,"")</f>
        <v/>
      </c>
    </row>
    <row r="5264">
      <c r="A5264" s="1" t="s">
        <v>5284</v>
      </c>
      <c r="B5264" s="2">
        <v>3.0</v>
      </c>
      <c r="C5264" s="4"/>
      <c r="E5264" s="4" t="str">
        <f t="array" ref="E5264">XLOOKUP(A5264,'Fintech, Regulatory Arbitrage, '!A:A,'Fintech, Regulatory Arbitrage, '!C:C,"")</f>
        <v/>
      </c>
    </row>
    <row r="5265">
      <c r="A5265" s="1" t="s">
        <v>5285</v>
      </c>
      <c r="B5265" s="2">
        <v>3.0</v>
      </c>
      <c r="C5265" s="4"/>
      <c r="E5265" s="4" t="str">
        <f t="array" ref="E5265">XLOOKUP(A5265,'Fintech, Regulatory Arbitrage, '!A:A,'Fintech, Regulatory Arbitrage, '!C:C,"")</f>
        <v/>
      </c>
    </row>
    <row r="5266">
      <c r="A5266" s="1" t="s">
        <v>5286</v>
      </c>
      <c r="B5266" s="2">
        <v>3.0</v>
      </c>
      <c r="C5266" s="4"/>
      <c r="E5266" s="4" t="str">
        <f t="array" ref="E5266">XLOOKUP(A5266,'Fintech, Regulatory Arbitrage, '!A:A,'Fintech, Regulatory Arbitrage, '!C:C,"")</f>
        <v/>
      </c>
    </row>
    <row r="5267">
      <c r="A5267" s="1" t="s">
        <v>5287</v>
      </c>
      <c r="B5267" s="2">
        <v>3.0</v>
      </c>
      <c r="C5267" s="4"/>
      <c r="E5267" s="4" t="str">
        <f t="array" ref="E5267">XLOOKUP(A5267,'Fintech, Regulatory Arbitrage, '!A:A,'Fintech, Regulatory Arbitrage, '!C:C,"")</f>
        <v/>
      </c>
    </row>
    <row r="5268">
      <c r="A5268" s="1" t="s">
        <v>5288</v>
      </c>
      <c r="B5268" s="2">
        <v>3.0</v>
      </c>
      <c r="C5268" s="4"/>
      <c r="E5268" s="4" t="str">
        <f t="array" ref="E5268">XLOOKUP(A5268,'Fintech, Regulatory Arbitrage, '!A:A,'Fintech, Regulatory Arbitrage, '!C:C,"")</f>
        <v/>
      </c>
    </row>
    <row r="5269">
      <c r="A5269" s="1" t="s">
        <v>5289</v>
      </c>
      <c r="B5269" s="2">
        <v>3.0</v>
      </c>
      <c r="C5269" s="4"/>
      <c r="E5269" s="4" t="str">
        <f t="array" ref="E5269">XLOOKUP(A5269,'Fintech, Regulatory Arbitrage, '!A:A,'Fintech, Regulatory Arbitrage, '!C:C,"")</f>
        <v/>
      </c>
    </row>
    <row r="5270">
      <c r="A5270" s="1" t="s">
        <v>5290</v>
      </c>
      <c r="B5270" s="2">
        <v>3.0</v>
      </c>
      <c r="C5270" s="4"/>
      <c r="E5270" s="4" t="str">
        <f t="array" ref="E5270">XLOOKUP(A5270,'Fintech, Regulatory Arbitrage, '!A:A,'Fintech, Regulatory Arbitrage, '!C:C,"")</f>
        <v/>
      </c>
    </row>
    <row r="5271">
      <c r="A5271" s="1" t="s">
        <v>5291</v>
      </c>
      <c r="B5271" s="2">
        <v>3.0</v>
      </c>
      <c r="C5271" s="4"/>
      <c r="E5271" s="4" t="str">
        <f t="array" ref="E5271">XLOOKUP(A5271,'Fintech, Regulatory Arbitrage, '!A:A,'Fintech, Regulatory Arbitrage, '!C:C,"")</f>
        <v/>
      </c>
    </row>
    <row r="5272">
      <c r="A5272" s="1" t="s">
        <v>5292</v>
      </c>
      <c r="B5272" s="2">
        <v>3.0</v>
      </c>
      <c r="C5272" s="4"/>
      <c r="E5272" s="4" t="str">
        <f t="array" ref="E5272">XLOOKUP(A5272,'Fintech, Regulatory Arbitrage, '!A:A,'Fintech, Regulatory Arbitrage, '!C:C,"")</f>
        <v/>
      </c>
    </row>
    <row r="5273">
      <c r="A5273" s="1" t="s">
        <v>5293</v>
      </c>
      <c r="B5273" s="2">
        <v>3.0</v>
      </c>
      <c r="C5273" s="4"/>
      <c r="E5273" s="4" t="str">
        <f t="array" ref="E5273">XLOOKUP(A5273,'Fintech, Regulatory Arbitrage, '!A:A,'Fintech, Regulatory Arbitrage, '!C:C,"")</f>
        <v/>
      </c>
    </row>
    <row r="5274">
      <c r="A5274" s="1" t="s">
        <v>5294</v>
      </c>
      <c r="B5274" s="2">
        <v>3.0</v>
      </c>
      <c r="C5274" s="4"/>
      <c r="E5274" s="4" t="str">
        <f t="array" ref="E5274">XLOOKUP(A5274,'Fintech, Regulatory Arbitrage, '!A:A,'Fintech, Regulatory Arbitrage, '!C:C,"")</f>
        <v/>
      </c>
    </row>
    <row r="5275">
      <c r="A5275" s="1" t="s">
        <v>5295</v>
      </c>
      <c r="B5275" s="2">
        <v>3.0</v>
      </c>
      <c r="C5275" s="4"/>
      <c r="E5275" s="4" t="str">
        <f t="array" ref="E5275">XLOOKUP(A5275,'Fintech, Regulatory Arbitrage, '!A:A,'Fintech, Regulatory Arbitrage, '!C:C,"")</f>
        <v/>
      </c>
    </row>
    <row r="5276">
      <c r="A5276" s="1" t="s">
        <v>5296</v>
      </c>
      <c r="B5276" s="2">
        <v>3.0</v>
      </c>
      <c r="C5276" s="4"/>
      <c r="E5276" s="4" t="str">
        <f t="array" ref="E5276">XLOOKUP(A5276,'Fintech, Regulatory Arbitrage, '!A:A,'Fintech, Regulatory Arbitrage, '!C:C,"")</f>
        <v/>
      </c>
    </row>
    <row r="5277">
      <c r="A5277" s="1" t="s">
        <v>5297</v>
      </c>
      <c r="B5277" s="2">
        <v>3.0</v>
      </c>
      <c r="C5277" s="4"/>
      <c r="E5277" s="4" t="str">
        <f t="array" ref="E5277">XLOOKUP(A5277,'Fintech, Regulatory Arbitrage, '!A:A,'Fintech, Regulatory Arbitrage, '!C:C,"")</f>
        <v/>
      </c>
    </row>
    <row r="5278">
      <c r="A5278" s="1" t="s">
        <v>5298</v>
      </c>
      <c r="B5278" s="2">
        <v>3.0</v>
      </c>
      <c r="C5278" s="4"/>
      <c r="E5278" s="4" t="str">
        <f t="array" ref="E5278">XLOOKUP(A5278,'Fintech, Regulatory Arbitrage, '!A:A,'Fintech, Regulatory Arbitrage, '!C:C,"")</f>
        <v/>
      </c>
    </row>
    <row r="5279">
      <c r="A5279" s="1" t="s">
        <v>5299</v>
      </c>
      <c r="B5279" s="2">
        <v>3.0</v>
      </c>
      <c r="C5279" s="4"/>
      <c r="E5279" s="4" t="str">
        <f t="array" ref="E5279">XLOOKUP(A5279,'Fintech, Regulatory Arbitrage, '!A:A,'Fintech, Regulatory Arbitrage, '!C:C,"")</f>
        <v/>
      </c>
    </row>
    <row r="5280">
      <c r="A5280" s="1" t="s">
        <v>5300</v>
      </c>
      <c r="B5280" s="2">
        <v>3.0</v>
      </c>
      <c r="C5280" s="4"/>
      <c r="E5280" s="4" t="str">
        <f t="array" ref="E5280">XLOOKUP(A5280,'Fintech, Regulatory Arbitrage, '!A:A,'Fintech, Regulatory Arbitrage, '!C:C,"")</f>
        <v/>
      </c>
    </row>
    <row r="5281">
      <c r="A5281" s="1" t="s">
        <v>5301</v>
      </c>
      <c r="B5281" s="2">
        <v>3.0</v>
      </c>
      <c r="C5281" s="4"/>
      <c r="E5281" s="4" t="str">
        <f t="array" ref="E5281">XLOOKUP(A5281,'Fintech, Regulatory Arbitrage, '!A:A,'Fintech, Regulatory Arbitrage, '!C:C,"")</f>
        <v/>
      </c>
    </row>
    <row r="5282">
      <c r="A5282" s="1" t="s">
        <v>5302</v>
      </c>
      <c r="B5282" s="2">
        <v>3.0</v>
      </c>
      <c r="C5282" s="4"/>
      <c r="E5282" s="4" t="str">
        <f t="array" ref="E5282">XLOOKUP(A5282,'Fintech, Regulatory Arbitrage, '!A:A,'Fintech, Regulatory Arbitrage, '!C:C,"")</f>
        <v/>
      </c>
    </row>
    <row r="5283">
      <c r="A5283" s="1" t="s">
        <v>5303</v>
      </c>
      <c r="B5283" s="2">
        <v>3.0</v>
      </c>
      <c r="C5283" s="4"/>
      <c r="E5283" s="4" t="str">
        <f t="array" ref="E5283">XLOOKUP(A5283,'Fintech, Regulatory Arbitrage, '!A:A,'Fintech, Regulatory Arbitrage, '!C:C,"")</f>
        <v/>
      </c>
    </row>
    <row r="5284">
      <c r="A5284" s="1" t="s">
        <v>5304</v>
      </c>
      <c r="B5284" s="2">
        <v>3.0</v>
      </c>
      <c r="C5284" s="4"/>
      <c r="E5284" s="4" t="str">
        <f t="array" ref="E5284">XLOOKUP(A5284,'Fintech, Regulatory Arbitrage, '!A:A,'Fintech, Regulatory Arbitrage, '!C:C,"")</f>
        <v/>
      </c>
    </row>
    <row r="5285">
      <c r="A5285" s="1" t="s">
        <v>5305</v>
      </c>
      <c r="B5285" s="2">
        <v>3.0</v>
      </c>
      <c r="C5285" s="4"/>
      <c r="E5285" s="4" t="str">
        <f t="array" ref="E5285">XLOOKUP(A5285,'Fintech, Regulatory Arbitrage, '!A:A,'Fintech, Regulatory Arbitrage, '!C:C,"")</f>
        <v/>
      </c>
    </row>
    <row r="5286">
      <c r="A5286" s="1" t="s">
        <v>5306</v>
      </c>
      <c r="B5286" s="2">
        <v>3.0</v>
      </c>
      <c r="C5286" s="4"/>
      <c r="E5286" s="4" t="str">
        <f t="array" ref="E5286">XLOOKUP(A5286,'Fintech, Regulatory Arbitrage, '!A:A,'Fintech, Regulatory Arbitrage, '!C:C,"")</f>
        <v/>
      </c>
    </row>
    <row r="5287">
      <c r="A5287" s="1" t="s">
        <v>5307</v>
      </c>
      <c r="B5287" s="2">
        <v>3.0</v>
      </c>
      <c r="C5287" s="4"/>
      <c r="E5287" s="4" t="str">
        <f t="array" ref="E5287">XLOOKUP(A5287,'Fintech, Regulatory Arbitrage, '!A:A,'Fintech, Regulatory Arbitrage, '!C:C,"")</f>
        <v/>
      </c>
    </row>
    <row r="5288">
      <c r="A5288" s="1" t="s">
        <v>5308</v>
      </c>
      <c r="B5288" s="2">
        <v>3.0</v>
      </c>
      <c r="C5288" s="4"/>
      <c r="E5288" s="4" t="str">
        <f t="array" ref="E5288">XLOOKUP(A5288,'Fintech, Regulatory Arbitrage, '!A:A,'Fintech, Regulatory Arbitrage, '!C:C,"")</f>
        <v/>
      </c>
    </row>
    <row r="5289">
      <c r="A5289" s="1" t="s">
        <v>5309</v>
      </c>
      <c r="B5289" s="2">
        <v>3.0</v>
      </c>
      <c r="C5289" s="4"/>
      <c r="E5289" s="4" t="str">
        <f t="array" ref="E5289">XLOOKUP(A5289,'Fintech, Regulatory Arbitrage, '!A:A,'Fintech, Regulatory Arbitrage, '!C:C,"")</f>
        <v/>
      </c>
    </row>
    <row r="5290">
      <c r="A5290" s="1" t="s">
        <v>5310</v>
      </c>
      <c r="B5290" s="2">
        <v>3.0</v>
      </c>
      <c r="C5290" s="4"/>
      <c r="E5290" s="4" t="str">
        <f t="array" ref="E5290">XLOOKUP(A5290,'Fintech, Regulatory Arbitrage, '!A:A,'Fintech, Regulatory Arbitrage, '!C:C,"")</f>
        <v/>
      </c>
    </row>
    <row r="5291">
      <c r="A5291" s="1" t="s">
        <v>5311</v>
      </c>
      <c r="B5291" s="2">
        <v>3.0</v>
      </c>
      <c r="C5291" s="4"/>
      <c r="E5291" s="4" t="str">
        <f t="array" ref="E5291">XLOOKUP(A5291,'Fintech, Regulatory Arbitrage, '!A:A,'Fintech, Regulatory Arbitrage, '!C:C,"")</f>
        <v/>
      </c>
    </row>
    <row r="5292">
      <c r="A5292" s="1" t="s">
        <v>5312</v>
      </c>
      <c r="B5292" s="2">
        <v>3.0</v>
      </c>
      <c r="C5292" s="4"/>
      <c r="E5292" s="4" t="str">
        <f t="array" ref="E5292">XLOOKUP(A5292,'Fintech, Regulatory Arbitrage, '!A:A,'Fintech, Regulatory Arbitrage, '!C:C,"")</f>
        <v/>
      </c>
    </row>
    <row r="5293">
      <c r="A5293" s="1" t="s">
        <v>5313</v>
      </c>
      <c r="B5293" s="2">
        <v>3.0</v>
      </c>
      <c r="C5293" s="4"/>
      <c r="E5293" s="4" t="str">
        <f t="array" ref="E5293">XLOOKUP(A5293,'Fintech, Regulatory Arbitrage, '!A:A,'Fintech, Regulatory Arbitrage, '!C:C,"")</f>
        <v/>
      </c>
    </row>
    <row r="5294">
      <c r="A5294" s="1" t="s">
        <v>5314</v>
      </c>
      <c r="B5294" s="2">
        <v>3.0</v>
      </c>
      <c r="C5294" s="4"/>
      <c r="E5294" s="4" t="str">
        <f t="array" ref="E5294">XLOOKUP(A5294,'Fintech, Regulatory Arbitrage, '!A:A,'Fintech, Regulatory Arbitrage, '!C:C,"")</f>
        <v/>
      </c>
    </row>
    <row r="5295">
      <c r="A5295" s="1" t="s">
        <v>5315</v>
      </c>
      <c r="B5295" s="2">
        <v>3.0</v>
      </c>
      <c r="C5295" s="4"/>
      <c r="E5295" s="4" t="str">
        <f t="array" ref="E5295">XLOOKUP(A5295,'Fintech, Regulatory Arbitrage, '!A:A,'Fintech, Regulatory Arbitrage, '!C:C,"")</f>
        <v/>
      </c>
    </row>
    <row r="5296">
      <c r="A5296" s="1" t="s">
        <v>5316</v>
      </c>
      <c r="B5296" s="2">
        <v>3.0</v>
      </c>
      <c r="C5296" s="4"/>
      <c r="E5296" s="4" t="str">
        <f t="array" ref="E5296">XLOOKUP(A5296,'Fintech, Regulatory Arbitrage, '!A:A,'Fintech, Regulatory Arbitrage, '!C:C,"")</f>
        <v/>
      </c>
    </row>
    <row r="5297">
      <c r="A5297" s="1" t="s">
        <v>5317</v>
      </c>
      <c r="B5297" s="2">
        <v>3.0</v>
      </c>
      <c r="C5297" s="4"/>
      <c r="E5297" s="4" t="str">
        <f t="array" ref="E5297">XLOOKUP(A5297,'Fintech, Regulatory Arbitrage, '!A:A,'Fintech, Regulatory Arbitrage, '!C:C,"")</f>
        <v/>
      </c>
    </row>
    <row r="5298">
      <c r="A5298" s="1" t="s">
        <v>5318</v>
      </c>
      <c r="B5298" s="2">
        <v>3.0</v>
      </c>
      <c r="C5298" s="4"/>
      <c r="E5298" s="4" t="str">
        <f t="array" ref="E5298">XLOOKUP(A5298,'Fintech, Regulatory Arbitrage, '!A:A,'Fintech, Regulatory Arbitrage, '!C:C,"")</f>
        <v/>
      </c>
    </row>
    <row r="5299">
      <c r="A5299" s="1" t="s">
        <v>5319</v>
      </c>
      <c r="B5299" s="2">
        <v>3.0</v>
      </c>
      <c r="C5299" s="4"/>
      <c r="E5299" s="4" t="str">
        <f t="array" ref="E5299">XLOOKUP(A5299,'Fintech, Regulatory Arbitrage, '!A:A,'Fintech, Regulatory Arbitrage, '!C:C,"")</f>
        <v/>
      </c>
    </row>
    <row r="5300">
      <c r="A5300" s="1" t="s">
        <v>5320</v>
      </c>
      <c r="B5300" s="2">
        <v>3.0</v>
      </c>
      <c r="C5300" s="4"/>
      <c r="E5300" s="4" t="str">
        <f t="array" ref="E5300">XLOOKUP(A5300,'Fintech, Regulatory Arbitrage, '!A:A,'Fintech, Regulatory Arbitrage, '!C:C,"")</f>
        <v/>
      </c>
    </row>
    <row r="5301">
      <c r="A5301" s="1" t="s">
        <v>5321</v>
      </c>
      <c r="B5301" s="2">
        <v>3.0</v>
      </c>
      <c r="C5301" s="4"/>
      <c r="E5301" s="4" t="str">
        <f t="array" ref="E5301">XLOOKUP(A5301,'Fintech, Regulatory Arbitrage, '!A:A,'Fintech, Regulatory Arbitrage, '!C:C,"")</f>
        <v/>
      </c>
    </row>
    <row r="5302">
      <c r="A5302" s="1" t="s">
        <v>5322</v>
      </c>
      <c r="B5302" s="2">
        <v>3.0</v>
      </c>
      <c r="C5302" s="4"/>
      <c r="E5302" s="4" t="str">
        <f t="array" ref="E5302">XLOOKUP(A5302,'Fintech, Regulatory Arbitrage, '!A:A,'Fintech, Regulatory Arbitrage, '!C:C,"")</f>
        <v/>
      </c>
    </row>
    <row r="5303">
      <c r="A5303" s="1" t="s">
        <v>5323</v>
      </c>
      <c r="B5303" s="2">
        <v>3.0</v>
      </c>
      <c r="C5303" s="4"/>
      <c r="E5303" s="4" t="str">
        <f t="array" ref="E5303">XLOOKUP(A5303,'Fintech, Regulatory Arbitrage, '!A:A,'Fintech, Regulatory Arbitrage, '!C:C,"")</f>
        <v/>
      </c>
    </row>
    <row r="5304">
      <c r="A5304" s="1" t="s">
        <v>5324</v>
      </c>
      <c r="B5304" s="2">
        <v>3.0</v>
      </c>
      <c r="C5304" s="4"/>
      <c r="E5304" s="4" t="str">
        <f t="array" ref="E5304">XLOOKUP(A5304,'Fintech, Regulatory Arbitrage, '!A:A,'Fintech, Regulatory Arbitrage, '!C:C,"")</f>
        <v/>
      </c>
    </row>
    <row r="5305">
      <c r="A5305" s="1" t="s">
        <v>5325</v>
      </c>
      <c r="B5305" s="2">
        <v>3.0</v>
      </c>
      <c r="C5305" s="4"/>
      <c r="E5305" s="4" t="str">
        <f t="array" ref="E5305">XLOOKUP(A5305,'Fintech, Regulatory Arbitrage, '!A:A,'Fintech, Regulatory Arbitrage, '!C:C,"")</f>
        <v/>
      </c>
    </row>
    <row r="5306">
      <c r="A5306" s="1" t="s">
        <v>5326</v>
      </c>
      <c r="B5306" s="2">
        <v>3.0</v>
      </c>
      <c r="C5306" s="4"/>
      <c r="E5306" s="4" t="str">
        <f t="array" ref="E5306">XLOOKUP(A5306,'Fintech, Regulatory Arbitrage, '!A:A,'Fintech, Regulatory Arbitrage, '!C:C,"")</f>
        <v/>
      </c>
    </row>
    <row r="5307">
      <c r="A5307" s="1" t="s">
        <v>5327</v>
      </c>
      <c r="B5307" s="2">
        <v>3.0</v>
      </c>
      <c r="C5307" s="4"/>
      <c r="E5307" s="4" t="str">
        <f t="array" ref="E5307">XLOOKUP(A5307,'Fintech, Regulatory Arbitrage, '!A:A,'Fintech, Regulatory Arbitrage, '!C:C,"")</f>
        <v/>
      </c>
    </row>
    <row r="5308">
      <c r="A5308" s="1" t="s">
        <v>5328</v>
      </c>
      <c r="B5308" s="2">
        <v>3.0</v>
      </c>
      <c r="C5308" s="4"/>
      <c r="E5308" s="4" t="str">
        <f t="array" ref="E5308">XLOOKUP(A5308,'Fintech, Regulatory Arbitrage, '!A:A,'Fintech, Regulatory Arbitrage, '!C:C,"")</f>
        <v/>
      </c>
    </row>
    <row r="5309">
      <c r="A5309" s="1" t="s">
        <v>5329</v>
      </c>
      <c r="B5309" s="2">
        <v>3.0</v>
      </c>
      <c r="C5309" s="4"/>
      <c r="E5309" s="4" t="str">
        <f t="array" ref="E5309">XLOOKUP(A5309,'Fintech, Regulatory Arbitrage, '!A:A,'Fintech, Regulatory Arbitrage, '!C:C,"")</f>
        <v/>
      </c>
    </row>
    <row r="5310">
      <c r="A5310" s="1" t="s">
        <v>5330</v>
      </c>
      <c r="B5310" s="2">
        <v>3.0</v>
      </c>
      <c r="C5310" s="4"/>
      <c r="E5310" s="4" t="str">
        <f t="array" ref="E5310">XLOOKUP(A5310,'Fintech, Regulatory Arbitrage, '!A:A,'Fintech, Regulatory Arbitrage, '!C:C,"")</f>
        <v/>
      </c>
    </row>
    <row r="5311">
      <c r="A5311" s="1" t="s">
        <v>5331</v>
      </c>
      <c r="B5311" s="2">
        <v>3.0</v>
      </c>
      <c r="C5311" s="4"/>
      <c r="E5311" s="4" t="str">
        <f t="array" ref="E5311">XLOOKUP(A5311,'Fintech, Regulatory Arbitrage, '!A:A,'Fintech, Regulatory Arbitrage, '!C:C,"")</f>
        <v/>
      </c>
    </row>
    <row r="5312">
      <c r="A5312" s="1" t="s">
        <v>5332</v>
      </c>
      <c r="B5312" s="2">
        <v>3.0</v>
      </c>
      <c r="C5312" s="4"/>
      <c r="E5312" s="4" t="str">
        <f t="array" ref="E5312">XLOOKUP(A5312,'Fintech, Regulatory Arbitrage, '!A:A,'Fintech, Regulatory Arbitrage, '!C:C,"")</f>
        <v/>
      </c>
    </row>
    <row r="5313">
      <c r="A5313" s="1" t="s">
        <v>5333</v>
      </c>
      <c r="B5313" s="2">
        <v>3.0</v>
      </c>
      <c r="C5313" s="4"/>
      <c r="E5313" s="4" t="str">
        <f t="array" ref="E5313">XLOOKUP(A5313,'Fintech, Regulatory Arbitrage, '!A:A,'Fintech, Regulatory Arbitrage, '!C:C,"")</f>
        <v/>
      </c>
    </row>
    <row r="5314">
      <c r="A5314" s="1" t="s">
        <v>5334</v>
      </c>
      <c r="B5314" s="2">
        <v>3.0</v>
      </c>
      <c r="C5314" s="4"/>
      <c r="E5314" s="4" t="str">
        <f t="array" ref="E5314">XLOOKUP(A5314,'Fintech, Regulatory Arbitrage, '!A:A,'Fintech, Regulatory Arbitrage, '!C:C,"")</f>
        <v/>
      </c>
    </row>
    <row r="5315">
      <c r="A5315" s="1" t="s">
        <v>5335</v>
      </c>
      <c r="B5315" s="2">
        <v>3.0</v>
      </c>
      <c r="C5315" s="4"/>
      <c r="E5315" s="4" t="str">
        <f t="array" ref="E5315">XLOOKUP(A5315,'Fintech, Regulatory Arbitrage, '!A:A,'Fintech, Regulatory Arbitrage, '!C:C,"")</f>
        <v/>
      </c>
    </row>
    <row r="5316">
      <c r="A5316" s="1" t="s">
        <v>5336</v>
      </c>
      <c r="B5316" s="2">
        <v>3.0</v>
      </c>
      <c r="C5316" s="4"/>
      <c r="E5316" s="4" t="str">
        <f t="array" ref="E5316">XLOOKUP(A5316,'Fintech, Regulatory Arbitrage, '!A:A,'Fintech, Regulatory Arbitrage, '!C:C,"")</f>
        <v/>
      </c>
    </row>
    <row r="5317">
      <c r="A5317" s="1" t="s">
        <v>5337</v>
      </c>
      <c r="B5317" s="2">
        <v>3.0</v>
      </c>
      <c r="C5317" s="4"/>
      <c r="E5317" s="4" t="str">
        <f t="array" ref="E5317">XLOOKUP(A5317,'Fintech, Regulatory Arbitrage, '!A:A,'Fintech, Regulatory Arbitrage, '!C:C,"")</f>
        <v/>
      </c>
    </row>
    <row r="5318">
      <c r="A5318" s="1" t="s">
        <v>5338</v>
      </c>
      <c r="B5318" s="2">
        <v>3.0</v>
      </c>
      <c r="C5318" s="4"/>
      <c r="E5318" s="4" t="str">
        <f t="array" ref="E5318">XLOOKUP(A5318,'Fintech, Regulatory Arbitrage, '!A:A,'Fintech, Regulatory Arbitrage, '!C:C,"")</f>
        <v/>
      </c>
    </row>
    <row r="5319">
      <c r="A5319" s="1" t="s">
        <v>5339</v>
      </c>
      <c r="B5319" s="2">
        <v>3.0</v>
      </c>
      <c r="C5319" s="4"/>
      <c r="E5319" s="4" t="str">
        <f t="array" ref="E5319">XLOOKUP(A5319,'Fintech, Regulatory Arbitrage, '!A:A,'Fintech, Regulatory Arbitrage, '!C:C,"")</f>
        <v/>
      </c>
    </row>
    <row r="5320">
      <c r="A5320" s="1" t="s">
        <v>5340</v>
      </c>
      <c r="B5320" s="2">
        <v>3.0</v>
      </c>
      <c r="C5320" s="4"/>
      <c r="E5320" s="4" t="str">
        <f t="array" ref="E5320">XLOOKUP(A5320,'Fintech, Regulatory Arbitrage, '!A:A,'Fintech, Regulatory Arbitrage, '!C:C,"")</f>
        <v/>
      </c>
    </row>
    <row r="5321">
      <c r="A5321" s="1" t="s">
        <v>5341</v>
      </c>
      <c r="B5321" s="2">
        <v>3.0</v>
      </c>
      <c r="C5321" s="4"/>
      <c r="E5321" s="4" t="str">
        <f t="array" ref="E5321">XLOOKUP(A5321,'Fintech, Regulatory Arbitrage, '!A:A,'Fintech, Regulatory Arbitrage, '!C:C,"")</f>
        <v/>
      </c>
    </row>
    <row r="5322">
      <c r="A5322" s="1" t="s">
        <v>5342</v>
      </c>
      <c r="B5322" s="2">
        <v>3.0</v>
      </c>
      <c r="C5322" s="4"/>
      <c r="E5322" s="4" t="str">
        <f t="array" ref="E5322">XLOOKUP(A5322,'Fintech, Regulatory Arbitrage, '!A:A,'Fintech, Regulatory Arbitrage, '!C:C,"")</f>
        <v/>
      </c>
    </row>
    <row r="5323">
      <c r="A5323" s="1" t="s">
        <v>5343</v>
      </c>
      <c r="B5323" s="2">
        <v>3.0</v>
      </c>
      <c r="C5323" s="4"/>
      <c r="E5323" s="4" t="str">
        <f t="array" ref="E5323">XLOOKUP(A5323,'Fintech, Regulatory Arbitrage, '!A:A,'Fintech, Regulatory Arbitrage, '!C:C,"")</f>
        <v/>
      </c>
    </row>
    <row r="5324">
      <c r="A5324" s="1" t="s">
        <v>5344</v>
      </c>
      <c r="B5324" s="2">
        <v>3.0</v>
      </c>
      <c r="C5324" s="4"/>
      <c r="E5324" s="4" t="str">
        <f t="array" ref="E5324">XLOOKUP(A5324,'Fintech, Regulatory Arbitrage, '!A:A,'Fintech, Regulatory Arbitrage, '!C:C,"")</f>
        <v/>
      </c>
    </row>
    <row r="5325">
      <c r="A5325" s="1" t="s">
        <v>5345</v>
      </c>
      <c r="B5325" s="2">
        <v>3.0</v>
      </c>
      <c r="C5325" s="4"/>
      <c r="E5325" s="4" t="str">
        <f t="array" ref="E5325">XLOOKUP(A5325,'Fintech, Regulatory Arbitrage, '!A:A,'Fintech, Regulatory Arbitrage, '!C:C,"")</f>
        <v/>
      </c>
    </row>
    <row r="5326">
      <c r="A5326" s="1" t="s">
        <v>5346</v>
      </c>
      <c r="B5326" s="2">
        <v>3.0</v>
      </c>
      <c r="C5326" s="4"/>
      <c r="E5326" s="4" t="str">
        <f t="array" ref="E5326">XLOOKUP(A5326,'Fintech, Regulatory Arbitrage, '!A:A,'Fintech, Regulatory Arbitrage, '!C:C,"")</f>
        <v/>
      </c>
    </row>
    <row r="5327">
      <c r="A5327" s="1" t="s">
        <v>5347</v>
      </c>
      <c r="B5327" s="2">
        <v>3.0</v>
      </c>
      <c r="C5327" s="4"/>
      <c r="E5327" s="4" t="str">
        <f t="array" ref="E5327">XLOOKUP(A5327,'Fintech, Regulatory Arbitrage, '!A:A,'Fintech, Regulatory Arbitrage, '!C:C,"")</f>
        <v/>
      </c>
    </row>
    <row r="5328">
      <c r="A5328" s="1" t="s">
        <v>5348</v>
      </c>
      <c r="B5328" s="2">
        <v>3.0</v>
      </c>
      <c r="C5328" s="4"/>
      <c r="E5328" s="4" t="str">
        <f t="array" ref="E5328">XLOOKUP(A5328,'Fintech, Regulatory Arbitrage, '!A:A,'Fintech, Regulatory Arbitrage, '!C:C,"")</f>
        <v/>
      </c>
    </row>
    <row r="5329">
      <c r="A5329" s="1" t="s">
        <v>5349</v>
      </c>
      <c r="B5329" s="2">
        <v>3.0</v>
      </c>
      <c r="C5329" s="4"/>
      <c r="E5329" s="4" t="str">
        <f t="array" ref="E5329">XLOOKUP(A5329,'Fintech, Regulatory Arbitrage, '!A:A,'Fintech, Regulatory Arbitrage, '!C:C,"")</f>
        <v/>
      </c>
    </row>
    <row r="5330">
      <c r="A5330" s="1" t="s">
        <v>5350</v>
      </c>
      <c r="B5330" s="2">
        <v>3.0</v>
      </c>
      <c r="C5330" s="4"/>
      <c r="E5330" s="4" t="str">
        <f t="array" ref="E5330">XLOOKUP(A5330,'Fintech, Regulatory Arbitrage, '!A:A,'Fintech, Regulatory Arbitrage, '!C:C,"")</f>
        <v/>
      </c>
    </row>
    <row r="5331">
      <c r="A5331" s="1" t="s">
        <v>5351</v>
      </c>
      <c r="B5331" s="2">
        <v>3.0</v>
      </c>
      <c r="C5331" s="4"/>
      <c r="E5331" s="4" t="str">
        <f t="array" ref="E5331">XLOOKUP(A5331,'Fintech, Regulatory Arbitrage, '!A:A,'Fintech, Regulatory Arbitrage, '!C:C,"")</f>
        <v/>
      </c>
    </row>
    <row r="5332">
      <c r="A5332" s="1" t="s">
        <v>5352</v>
      </c>
      <c r="B5332" s="2">
        <v>3.0</v>
      </c>
      <c r="C5332" s="4"/>
      <c r="E5332" s="4" t="str">
        <f t="array" ref="E5332">XLOOKUP(A5332,'Fintech, Regulatory Arbitrage, '!A:A,'Fintech, Regulatory Arbitrage, '!C:C,"")</f>
        <v/>
      </c>
    </row>
    <row r="5333">
      <c r="A5333" s="1" t="s">
        <v>5353</v>
      </c>
      <c r="B5333" s="2">
        <v>3.0</v>
      </c>
      <c r="C5333" s="4"/>
      <c r="E5333" s="4" t="str">
        <f t="array" ref="E5333">XLOOKUP(A5333,'Fintech, Regulatory Arbitrage, '!A:A,'Fintech, Regulatory Arbitrage, '!C:C,"")</f>
        <v/>
      </c>
    </row>
    <row r="5334">
      <c r="A5334" s="1" t="s">
        <v>5354</v>
      </c>
      <c r="B5334" s="2">
        <v>3.0</v>
      </c>
      <c r="C5334" s="4"/>
      <c r="E5334" s="4" t="str">
        <f t="array" ref="E5334">XLOOKUP(A5334,'Fintech, Regulatory Arbitrage, '!A:A,'Fintech, Regulatory Arbitrage, '!C:C,"")</f>
        <v/>
      </c>
    </row>
    <row r="5335">
      <c r="A5335" s="1" t="s">
        <v>5355</v>
      </c>
      <c r="B5335" s="2">
        <v>3.0</v>
      </c>
      <c r="C5335" s="4"/>
      <c r="E5335" s="4" t="str">
        <f t="array" ref="E5335">XLOOKUP(A5335,'Fintech, Regulatory Arbitrage, '!A:A,'Fintech, Regulatory Arbitrage, '!C:C,"")</f>
        <v/>
      </c>
    </row>
    <row r="5336">
      <c r="A5336" s="1" t="s">
        <v>5356</v>
      </c>
      <c r="B5336" s="2">
        <v>3.0</v>
      </c>
      <c r="C5336" s="4"/>
      <c r="E5336" s="4" t="str">
        <f t="array" ref="E5336">XLOOKUP(A5336,'Fintech, Regulatory Arbitrage, '!A:A,'Fintech, Regulatory Arbitrage, '!C:C,"")</f>
        <v/>
      </c>
    </row>
    <row r="5337">
      <c r="A5337" s="1" t="s">
        <v>5357</v>
      </c>
      <c r="B5337" s="2">
        <v>3.0</v>
      </c>
      <c r="C5337" s="4"/>
      <c r="E5337" s="4" t="str">
        <f t="array" ref="E5337">XLOOKUP(A5337,'Fintech, Regulatory Arbitrage, '!A:A,'Fintech, Regulatory Arbitrage, '!C:C,"")</f>
        <v/>
      </c>
    </row>
    <row r="5338">
      <c r="A5338" s="1" t="s">
        <v>5358</v>
      </c>
      <c r="B5338" s="2">
        <v>3.0</v>
      </c>
      <c r="C5338" s="4"/>
      <c r="E5338" s="4" t="str">
        <f t="array" ref="E5338">XLOOKUP(A5338,'Fintech, Regulatory Arbitrage, '!A:A,'Fintech, Regulatory Arbitrage, '!C:C,"")</f>
        <v/>
      </c>
    </row>
    <row r="5339">
      <c r="A5339" s="1" t="s">
        <v>5359</v>
      </c>
      <c r="B5339" s="2">
        <v>3.0</v>
      </c>
      <c r="C5339" s="4"/>
      <c r="E5339" s="4" t="str">
        <f t="array" ref="E5339">XLOOKUP(A5339,'Fintech, Regulatory Arbitrage, '!A:A,'Fintech, Regulatory Arbitrage, '!C:C,"")</f>
        <v/>
      </c>
    </row>
    <row r="5340">
      <c r="A5340" s="1" t="s">
        <v>5360</v>
      </c>
      <c r="B5340" s="2">
        <v>3.0</v>
      </c>
      <c r="C5340" s="4"/>
      <c r="E5340" s="4" t="str">
        <f t="array" ref="E5340">XLOOKUP(A5340,'Fintech, Regulatory Arbitrage, '!A:A,'Fintech, Regulatory Arbitrage, '!C:C,"")</f>
        <v/>
      </c>
    </row>
    <row r="5341">
      <c r="A5341" s="1" t="s">
        <v>5361</v>
      </c>
      <c r="B5341" s="2">
        <v>3.0</v>
      </c>
      <c r="C5341" s="4"/>
      <c r="E5341" s="4" t="str">
        <f t="array" ref="E5341">XLOOKUP(A5341,'Fintech, Regulatory Arbitrage, '!A:A,'Fintech, Regulatory Arbitrage, '!C:C,"")</f>
        <v/>
      </c>
    </row>
    <row r="5342">
      <c r="A5342" s="1" t="s">
        <v>5362</v>
      </c>
      <c r="B5342" s="2">
        <v>3.0</v>
      </c>
      <c r="C5342" s="4"/>
      <c r="E5342" s="4" t="str">
        <f t="array" ref="E5342">XLOOKUP(A5342,'Fintech, Regulatory Arbitrage, '!A:A,'Fintech, Regulatory Arbitrage, '!C:C,"")</f>
        <v/>
      </c>
    </row>
    <row r="5343">
      <c r="A5343" s="1" t="s">
        <v>5363</v>
      </c>
      <c r="B5343" s="2">
        <v>3.0</v>
      </c>
      <c r="C5343" s="4"/>
      <c r="E5343" s="4" t="str">
        <f t="array" ref="E5343">XLOOKUP(A5343,'Fintech, Regulatory Arbitrage, '!A:A,'Fintech, Regulatory Arbitrage, '!C:C,"")</f>
        <v/>
      </c>
    </row>
    <row r="5344">
      <c r="A5344" s="1" t="s">
        <v>5364</v>
      </c>
      <c r="B5344" s="2">
        <v>3.0</v>
      </c>
      <c r="C5344" s="4"/>
      <c r="E5344" s="4" t="str">
        <f t="array" ref="E5344">XLOOKUP(A5344,'Fintech, Regulatory Arbitrage, '!A:A,'Fintech, Regulatory Arbitrage, '!C:C,"")</f>
        <v/>
      </c>
    </row>
    <row r="5345">
      <c r="A5345" s="1" t="s">
        <v>5365</v>
      </c>
      <c r="B5345" s="2">
        <v>3.0</v>
      </c>
      <c r="C5345" s="4"/>
      <c r="E5345" s="4" t="str">
        <f t="array" ref="E5345">XLOOKUP(A5345,'Fintech, Regulatory Arbitrage, '!A:A,'Fintech, Regulatory Arbitrage, '!C:C,"")</f>
        <v/>
      </c>
    </row>
    <row r="5346">
      <c r="A5346" s="1" t="s">
        <v>5366</v>
      </c>
      <c r="B5346" s="2">
        <v>3.0</v>
      </c>
      <c r="C5346" s="4"/>
      <c r="E5346" s="4" t="str">
        <f t="array" ref="E5346">XLOOKUP(A5346,'Fintech, Regulatory Arbitrage, '!A:A,'Fintech, Regulatory Arbitrage, '!C:C,"")</f>
        <v/>
      </c>
    </row>
    <row r="5347">
      <c r="A5347" s="1" t="s">
        <v>5367</v>
      </c>
      <c r="B5347" s="2">
        <v>3.0</v>
      </c>
      <c r="C5347" s="4"/>
      <c r="E5347" s="4" t="str">
        <f t="array" ref="E5347">XLOOKUP(A5347,'Fintech, Regulatory Arbitrage, '!A:A,'Fintech, Regulatory Arbitrage, '!C:C,"")</f>
        <v/>
      </c>
    </row>
    <row r="5348">
      <c r="A5348" s="1" t="s">
        <v>5368</v>
      </c>
      <c r="B5348" s="2">
        <v>3.0</v>
      </c>
      <c r="C5348" s="4"/>
      <c r="E5348" s="4" t="str">
        <f t="array" ref="E5348">XLOOKUP(A5348,'Fintech, Regulatory Arbitrage, '!A:A,'Fintech, Regulatory Arbitrage, '!C:C,"")</f>
        <v/>
      </c>
    </row>
    <row r="5349">
      <c r="A5349" s="1" t="s">
        <v>5369</v>
      </c>
      <c r="B5349" s="2">
        <v>3.0</v>
      </c>
      <c r="C5349" s="4"/>
      <c r="E5349" s="4" t="str">
        <f t="array" ref="E5349">XLOOKUP(A5349,'Fintech, Regulatory Arbitrage, '!A:A,'Fintech, Regulatory Arbitrage, '!C:C,"")</f>
        <v/>
      </c>
    </row>
    <row r="5350">
      <c r="A5350" s="1" t="s">
        <v>5370</v>
      </c>
      <c r="B5350" s="2">
        <v>3.0</v>
      </c>
      <c r="C5350" s="4"/>
      <c r="E5350" s="4" t="str">
        <f t="array" ref="E5350">XLOOKUP(A5350,'Fintech, Regulatory Arbitrage, '!A:A,'Fintech, Regulatory Arbitrage, '!C:C,"")</f>
        <v/>
      </c>
    </row>
    <row r="5351">
      <c r="A5351" s="1" t="s">
        <v>5371</v>
      </c>
      <c r="B5351" s="2">
        <v>3.0</v>
      </c>
      <c r="C5351" s="4"/>
      <c r="E5351" s="4" t="str">
        <f t="array" ref="E5351">XLOOKUP(A5351,'Fintech, Regulatory Arbitrage, '!A:A,'Fintech, Regulatory Arbitrage, '!C:C,"")</f>
        <v/>
      </c>
    </row>
    <row r="5352">
      <c r="A5352" s="1" t="s">
        <v>5372</v>
      </c>
      <c r="B5352" s="2">
        <v>3.0</v>
      </c>
      <c r="C5352" s="4"/>
      <c r="E5352" s="4" t="str">
        <f t="array" ref="E5352">XLOOKUP(A5352,'Fintech, Regulatory Arbitrage, '!A:A,'Fintech, Regulatory Arbitrage, '!C:C,"")</f>
        <v/>
      </c>
    </row>
    <row r="5353">
      <c r="A5353" s="1" t="s">
        <v>5373</v>
      </c>
      <c r="B5353" s="2">
        <v>3.0</v>
      </c>
      <c r="C5353" s="4"/>
      <c r="E5353" s="4" t="str">
        <f t="array" ref="E5353">XLOOKUP(A5353,'Fintech, Regulatory Arbitrage, '!A:A,'Fintech, Regulatory Arbitrage, '!C:C,"")</f>
        <v/>
      </c>
    </row>
    <row r="5354">
      <c r="A5354" s="1" t="s">
        <v>5374</v>
      </c>
      <c r="B5354" s="2">
        <v>3.0</v>
      </c>
      <c r="C5354" s="4"/>
      <c r="E5354" s="4" t="str">
        <f t="array" ref="E5354">XLOOKUP(A5354,'Fintech, Regulatory Arbitrage, '!A:A,'Fintech, Regulatory Arbitrage, '!C:C,"")</f>
        <v/>
      </c>
    </row>
    <row r="5355">
      <c r="A5355" s="1" t="s">
        <v>5375</v>
      </c>
      <c r="B5355" s="2">
        <v>3.0</v>
      </c>
      <c r="C5355" s="4"/>
      <c r="E5355" s="4" t="str">
        <f t="array" ref="E5355">XLOOKUP(A5355,'Fintech, Regulatory Arbitrage, '!A:A,'Fintech, Regulatory Arbitrage, '!C:C,"")</f>
        <v/>
      </c>
    </row>
    <row r="5356">
      <c r="A5356" s="1" t="s">
        <v>5376</v>
      </c>
      <c r="B5356" s="2">
        <v>3.0</v>
      </c>
      <c r="C5356" s="4"/>
      <c r="E5356" s="4" t="str">
        <f t="array" ref="E5356">XLOOKUP(A5356,'Fintech, Regulatory Arbitrage, '!A:A,'Fintech, Regulatory Arbitrage, '!C:C,"")</f>
        <v/>
      </c>
    </row>
    <row r="5357">
      <c r="A5357" s="1" t="s">
        <v>5377</v>
      </c>
      <c r="B5357" s="2">
        <v>3.0</v>
      </c>
      <c r="C5357" s="4"/>
      <c r="E5357" s="4" t="str">
        <f t="array" ref="E5357">XLOOKUP(A5357,'Fintech, Regulatory Arbitrage, '!A:A,'Fintech, Regulatory Arbitrage, '!C:C,"")</f>
        <v/>
      </c>
    </row>
    <row r="5358">
      <c r="A5358" s="1" t="s">
        <v>5378</v>
      </c>
      <c r="B5358" s="2">
        <v>3.0</v>
      </c>
      <c r="C5358" s="4"/>
      <c r="E5358" s="4" t="str">
        <f t="array" ref="E5358">XLOOKUP(A5358,'Fintech, Regulatory Arbitrage, '!A:A,'Fintech, Regulatory Arbitrage, '!C:C,"")</f>
        <v/>
      </c>
    </row>
    <row r="5359">
      <c r="A5359" s="1" t="s">
        <v>5379</v>
      </c>
      <c r="B5359" s="2">
        <v>3.0</v>
      </c>
      <c r="C5359" s="4"/>
      <c r="E5359" s="4" t="str">
        <f t="array" ref="E5359">XLOOKUP(A5359,'Fintech, Regulatory Arbitrage, '!A:A,'Fintech, Regulatory Arbitrage, '!C:C,"")</f>
        <v/>
      </c>
    </row>
    <row r="5360">
      <c r="A5360" s="1" t="s">
        <v>5380</v>
      </c>
      <c r="B5360" s="2">
        <v>3.0</v>
      </c>
      <c r="C5360" s="4"/>
      <c r="E5360" s="4" t="str">
        <f t="array" ref="E5360">XLOOKUP(A5360,'Fintech, Regulatory Arbitrage, '!A:A,'Fintech, Regulatory Arbitrage, '!C:C,"")</f>
        <v/>
      </c>
    </row>
    <row r="5361">
      <c r="A5361" s="1" t="s">
        <v>5381</v>
      </c>
      <c r="B5361" s="2">
        <v>3.0</v>
      </c>
      <c r="C5361" s="4"/>
      <c r="E5361" s="4" t="str">
        <f t="array" ref="E5361">XLOOKUP(A5361,'Fintech, Regulatory Arbitrage, '!A:A,'Fintech, Regulatory Arbitrage, '!C:C,"")</f>
        <v/>
      </c>
    </row>
    <row r="5362">
      <c r="A5362" s="1" t="s">
        <v>5382</v>
      </c>
      <c r="B5362" s="2">
        <v>3.0</v>
      </c>
      <c r="C5362" s="4"/>
      <c r="E5362" s="4" t="str">
        <f t="array" ref="E5362">XLOOKUP(A5362,'Fintech, Regulatory Arbitrage, '!A:A,'Fintech, Regulatory Arbitrage, '!C:C,"")</f>
        <v/>
      </c>
    </row>
    <row r="5363">
      <c r="A5363" s="1" t="s">
        <v>5383</v>
      </c>
      <c r="B5363" s="2">
        <v>3.0</v>
      </c>
      <c r="C5363" s="4"/>
      <c r="E5363" s="4" t="str">
        <f t="array" ref="E5363">XLOOKUP(A5363,'Fintech, Regulatory Arbitrage, '!A:A,'Fintech, Regulatory Arbitrage, '!C:C,"")</f>
        <v/>
      </c>
    </row>
    <row r="5364">
      <c r="A5364" s="1" t="s">
        <v>5384</v>
      </c>
      <c r="B5364" s="2">
        <v>3.0</v>
      </c>
      <c r="C5364" s="4"/>
      <c r="E5364" s="4" t="str">
        <f t="array" ref="E5364">XLOOKUP(A5364,'Fintech, Regulatory Arbitrage, '!A:A,'Fintech, Regulatory Arbitrage, '!C:C,"")</f>
        <v/>
      </c>
    </row>
    <row r="5365">
      <c r="A5365" s="1" t="s">
        <v>5385</v>
      </c>
      <c r="B5365" s="2">
        <v>3.0</v>
      </c>
      <c r="C5365" s="4"/>
      <c r="E5365" s="4" t="str">
        <f t="array" ref="E5365">XLOOKUP(A5365,'Fintech, Regulatory Arbitrage, '!A:A,'Fintech, Regulatory Arbitrage, '!C:C,"")</f>
        <v/>
      </c>
    </row>
    <row r="5366">
      <c r="A5366" s="1" t="s">
        <v>5386</v>
      </c>
      <c r="B5366" s="2">
        <v>3.0</v>
      </c>
      <c r="C5366" s="4"/>
      <c r="E5366" s="4" t="str">
        <f t="array" ref="E5366">XLOOKUP(A5366,'Fintech, Regulatory Arbitrage, '!A:A,'Fintech, Regulatory Arbitrage, '!C:C,"")</f>
        <v/>
      </c>
    </row>
    <row r="5367">
      <c r="A5367" s="1" t="s">
        <v>5387</v>
      </c>
      <c r="B5367" s="2">
        <v>3.0</v>
      </c>
      <c r="C5367" s="4"/>
      <c r="E5367" s="4" t="str">
        <f t="array" ref="E5367">XLOOKUP(A5367,'Fintech, Regulatory Arbitrage, '!A:A,'Fintech, Regulatory Arbitrage, '!C:C,"")</f>
        <v/>
      </c>
    </row>
    <row r="5368">
      <c r="A5368" s="1" t="s">
        <v>5388</v>
      </c>
      <c r="B5368" s="2">
        <v>3.0</v>
      </c>
      <c r="C5368" s="4"/>
      <c r="E5368" s="4" t="str">
        <f t="array" ref="E5368">XLOOKUP(A5368,'Fintech, Regulatory Arbitrage, '!A:A,'Fintech, Regulatory Arbitrage, '!C:C,"")</f>
        <v/>
      </c>
    </row>
    <row r="5369">
      <c r="A5369" s="1" t="s">
        <v>5389</v>
      </c>
      <c r="B5369" s="2">
        <v>3.0</v>
      </c>
      <c r="C5369" s="4"/>
      <c r="E5369" s="4" t="str">
        <f t="array" ref="E5369">XLOOKUP(A5369,'Fintech, Regulatory Arbitrage, '!A:A,'Fintech, Regulatory Arbitrage, '!C:C,"")</f>
        <v/>
      </c>
    </row>
    <row r="5370">
      <c r="A5370" s="1" t="s">
        <v>5390</v>
      </c>
      <c r="B5370" s="2">
        <v>3.0</v>
      </c>
      <c r="C5370" s="4"/>
      <c r="E5370" s="4" t="str">
        <f t="array" ref="E5370">XLOOKUP(A5370,'Fintech, Regulatory Arbitrage, '!A:A,'Fintech, Regulatory Arbitrage, '!C:C,"")</f>
        <v/>
      </c>
    </row>
    <row r="5371">
      <c r="A5371" s="1" t="s">
        <v>5391</v>
      </c>
      <c r="B5371" s="2">
        <v>3.0</v>
      </c>
      <c r="C5371" s="4"/>
      <c r="E5371" s="4" t="str">
        <f t="array" ref="E5371">XLOOKUP(A5371,'Fintech, Regulatory Arbitrage, '!A:A,'Fintech, Regulatory Arbitrage, '!C:C,"")</f>
        <v/>
      </c>
    </row>
    <row r="5372">
      <c r="A5372" s="1" t="s">
        <v>5392</v>
      </c>
      <c r="B5372" s="2">
        <v>3.0</v>
      </c>
      <c r="C5372" s="4"/>
      <c r="E5372" s="4" t="str">
        <f t="array" ref="E5372">XLOOKUP(A5372,'Fintech, Regulatory Arbitrage, '!A:A,'Fintech, Regulatory Arbitrage, '!C:C,"")</f>
        <v/>
      </c>
    </row>
    <row r="5373">
      <c r="A5373" s="1" t="s">
        <v>5393</v>
      </c>
      <c r="B5373" s="2">
        <v>3.0</v>
      </c>
      <c r="C5373" s="4"/>
      <c r="E5373" s="4" t="str">
        <f t="array" ref="E5373">XLOOKUP(A5373,'Fintech, Regulatory Arbitrage, '!A:A,'Fintech, Regulatory Arbitrage, '!C:C,"")</f>
        <v/>
      </c>
    </row>
    <row r="5374">
      <c r="A5374" s="1" t="s">
        <v>5394</v>
      </c>
      <c r="B5374" s="2">
        <v>3.0</v>
      </c>
      <c r="C5374" s="4"/>
      <c r="E5374" s="4" t="str">
        <f t="array" ref="E5374">XLOOKUP(A5374,'Fintech, Regulatory Arbitrage, '!A:A,'Fintech, Regulatory Arbitrage, '!C:C,"")</f>
        <v/>
      </c>
    </row>
    <row r="5375">
      <c r="A5375" s="1" t="s">
        <v>5395</v>
      </c>
      <c r="B5375" s="2">
        <v>3.0</v>
      </c>
      <c r="C5375" s="4"/>
      <c r="E5375" s="4" t="str">
        <f t="array" ref="E5375">XLOOKUP(A5375,'Fintech, Regulatory Arbitrage, '!A:A,'Fintech, Regulatory Arbitrage, '!C:C,"")</f>
        <v/>
      </c>
    </row>
    <row r="5376">
      <c r="A5376" s="1" t="s">
        <v>5396</v>
      </c>
      <c r="B5376" s="2">
        <v>3.0</v>
      </c>
      <c r="C5376" s="4"/>
      <c r="E5376" s="4" t="str">
        <f t="array" ref="E5376">XLOOKUP(A5376,'Fintech, Regulatory Arbitrage, '!A:A,'Fintech, Regulatory Arbitrage, '!C:C,"")</f>
        <v/>
      </c>
    </row>
    <row r="5377">
      <c r="A5377" s="1" t="s">
        <v>5397</v>
      </c>
      <c r="B5377" s="2">
        <v>3.0</v>
      </c>
      <c r="C5377" s="4"/>
      <c r="E5377" s="4" t="str">
        <f t="array" ref="E5377">XLOOKUP(A5377,'Fintech, Regulatory Arbitrage, '!A:A,'Fintech, Regulatory Arbitrage, '!C:C,"")</f>
        <v/>
      </c>
    </row>
    <row r="5378">
      <c r="A5378" s="1" t="s">
        <v>5398</v>
      </c>
      <c r="B5378" s="2">
        <v>3.0</v>
      </c>
      <c r="C5378" s="4"/>
      <c r="E5378" s="4" t="str">
        <f t="array" ref="E5378">XLOOKUP(A5378,'Fintech, Regulatory Arbitrage, '!A:A,'Fintech, Regulatory Arbitrage, '!C:C,"")</f>
        <v/>
      </c>
    </row>
    <row r="5379">
      <c r="A5379" s="1" t="s">
        <v>5399</v>
      </c>
      <c r="B5379" s="2">
        <v>3.0</v>
      </c>
      <c r="C5379" s="4"/>
      <c r="E5379" s="4" t="str">
        <f t="array" ref="E5379">XLOOKUP(A5379,'Fintech, Regulatory Arbitrage, '!A:A,'Fintech, Regulatory Arbitrage, '!C:C,"")</f>
        <v/>
      </c>
    </row>
    <row r="5380">
      <c r="A5380" s="1" t="s">
        <v>5400</v>
      </c>
      <c r="B5380" s="2">
        <v>3.0</v>
      </c>
      <c r="C5380" s="4"/>
      <c r="E5380" s="4" t="str">
        <f t="array" ref="E5380">XLOOKUP(A5380,'Fintech, Regulatory Arbitrage, '!A:A,'Fintech, Regulatory Arbitrage, '!C:C,"")</f>
        <v/>
      </c>
    </row>
    <row r="5381">
      <c r="A5381" s="1" t="s">
        <v>5401</v>
      </c>
      <c r="B5381" s="2">
        <v>3.0</v>
      </c>
      <c r="C5381" s="4"/>
      <c r="E5381" s="4" t="str">
        <f t="array" ref="E5381">XLOOKUP(A5381,'Fintech, Regulatory Arbitrage, '!A:A,'Fintech, Regulatory Arbitrage, '!C:C,"")</f>
        <v/>
      </c>
    </row>
    <row r="5382">
      <c r="A5382" s="1" t="s">
        <v>5402</v>
      </c>
      <c r="B5382" s="2">
        <v>3.0</v>
      </c>
      <c r="C5382" s="4"/>
      <c r="E5382" s="4" t="str">
        <f t="array" ref="E5382">XLOOKUP(A5382,'Fintech, Regulatory Arbitrage, '!A:A,'Fintech, Regulatory Arbitrage, '!C:C,"")</f>
        <v/>
      </c>
    </row>
    <row r="5383">
      <c r="A5383" s="1" t="s">
        <v>5403</v>
      </c>
      <c r="B5383" s="2">
        <v>3.0</v>
      </c>
      <c r="C5383" s="4"/>
      <c r="E5383" s="4" t="str">
        <f t="array" ref="E5383">XLOOKUP(A5383,'Fintech, Regulatory Arbitrage, '!A:A,'Fintech, Regulatory Arbitrage, '!C:C,"")</f>
        <v/>
      </c>
    </row>
    <row r="5384">
      <c r="A5384" s="1" t="s">
        <v>5404</v>
      </c>
      <c r="B5384" s="2">
        <v>3.0</v>
      </c>
      <c r="C5384" s="4"/>
      <c r="E5384" s="4" t="str">
        <f t="array" ref="E5384">XLOOKUP(A5384,'Fintech, Regulatory Arbitrage, '!A:A,'Fintech, Regulatory Arbitrage, '!C:C,"")</f>
        <v/>
      </c>
    </row>
    <row r="5385">
      <c r="A5385" s="1" t="s">
        <v>5405</v>
      </c>
      <c r="B5385" s="2">
        <v>3.0</v>
      </c>
      <c r="C5385" s="4"/>
      <c r="E5385" s="4" t="str">
        <f t="array" ref="E5385">XLOOKUP(A5385,'Fintech, Regulatory Arbitrage, '!A:A,'Fintech, Regulatory Arbitrage, '!C:C,"")</f>
        <v/>
      </c>
    </row>
    <row r="5386">
      <c r="A5386" s="1" t="s">
        <v>5406</v>
      </c>
      <c r="B5386" s="2">
        <v>3.0</v>
      </c>
      <c r="C5386" s="4"/>
      <c r="E5386" s="4" t="str">
        <f t="array" ref="E5386">XLOOKUP(A5386,'Fintech, Regulatory Arbitrage, '!A:A,'Fintech, Regulatory Arbitrage, '!C:C,"")</f>
        <v/>
      </c>
    </row>
    <row r="5387">
      <c r="A5387" s="1" t="s">
        <v>5407</v>
      </c>
      <c r="B5387" s="2">
        <v>3.0</v>
      </c>
      <c r="C5387" s="4"/>
      <c r="E5387" s="4" t="str">
        <f t="array" ref="E5387">XLOOKUP(A5387,'Fintech, Regulatory Arbitrage, '!A:A,'Fintech, Regulatory Arbitrage, '!C:C,"")</f>
        <v/>
      </c>
    </row>
    <row r="5388">
      <c r="A5388" s="1" t="s">
        <v>5408</v>
      </c>
      <c r="B5388" s="2">
        <v>3.0</v>
      </c>
      <c r="C5388" s="4"/>
      <c r="E5388" s="4" t="str">
        <f t="array" ref="E5388">XLOOKUP(A5388,'Fintech, Regulatory Arbitrage, '!A:A,'Fintech, Regulatory Arbitrage, '!C:C,"")</f>
        <v/>
      </c>
    </row>
    <row r="5389">
      <c r="A5389" s="1" t="s">
        <v>5409</v>
      </c>
      <c r="B5389" s="2">
        <v>3.0</v>
      </c>
      <c r="C5389" s="4"/>
      <c r="E5389" s="4" t="str">
        <f t="array" ref="E5389">XLOOKUP(A5389,'Fintech, Regulatory Arbitrage, '!A:A,'Fintech, Regulatory Arbitrage, '!C:C,"")</f>
        <v/>
      </c>
    </row>
    <row r="5390">
      <c r="A5390" s="1" t="s">
        <v>5410</v>
      </c>
      <c r="B5390" s="2">
        <v>3.0</v>
      </c>
      <c r="C5390" s="4"/>
      <c r="E5390" s="4" t="str">
        <f t="array" ref="E5390">XLOOKUP(A5390,'Fintech, Regulatory Arbitrage, '!A:A,'Fintech, Regulatory Arbitrage, '!C:C,"")</f>
        <v/>
      </c>
    </row>
    <row r="5391">
      <c r="A5391" s="1" t="s">
        <v>5411</v>
      </c>
      <c r="B5391" s="2">
        <v>3.0</v>
      </c>
      <c r="C5391" s="4"/>
      <c r="E5391" s="4" t="str">
        <f t="array" ref="E5391">XLOOKUP(A5391,'Fintech, Regulatory Arbitrage, '!A:A,'Fintech, Regulatory Arbitrage, '!C:C,"")</f>
        <v/>
      </c>
    </row>
    <row r="5392">
      <c r="A5392" s="1" t="s">
        <v>5412</v>
      </c>
      <c r="B5392" s="2">
        <v>3.0</v>
      </c>
      <c r="C5392" s="4"/>
      <c r="E5392" s="4" t="str">
        <f t="array" ref="E5392">XLOOKUP(A5392,'Fintech, Regulatory Arbitrage, '!A:A,'Fintech, Regulatory Arbitrage, '!C:C,"")</f>
        <v/>
      </c>
    </row>
    <row r="5393">
      <c r="A5393" s="1" t="s">
        <v>5413</v>
      </c>
      <c r="B5393" s="2">
        <v>3.0</v>
      </c>
      <c r="C5393" s="4"/>
      <c r="E5393" s="4" t="str">
        <f t="array" ref="E5393">XLOOKUP(A5393,'Fintech, Regulatory Arbitrage, '!A:A,'Fintech, Regulatory Arbitrage, '!C:C,"")</f>
        <v/>
      </c>
    </row>
    <row r="5394">
      <c r="A5394" s="1" t="s">
        <v>5414</v>
      </c>
      <c r="B5394" s="2">
        <v>3.0</v>
      </c>
      <c r="C5394" s="4"/>
      <c r="E5394" s="4" t="str">
        <f t="array" ref="E5394">XLOOKUP(A5394,'Fintech, Regulatory Arbitrage, '!A:A,'Fintech, Regulatory Arbitrage, '!C:C,"")</f>
        <v/>
      </c>
    </row>
    <row r="5395">
      <c r="A5395" s="1" t="s">
        <v>5415</v>
      </c>
      <c r="B5395" s="2">
        <v>3.0</v>
      </c>
      <c r="C5395" s="4"/>
      <c r="E5395" s="4" t="str">
        <f t="array" ref="E5395">XLOOKUP(A5395,'Fintech, Regulatory Arbitrage, '!A:A,'Fintech, Regulatory Arbitrage, '!C:C,"")</f>
        <v/>
      </c>
    </row>
    <row r="5396">
      <c r="A5396" s="1" t="s">
        <v>5416</v>
      </c>
      <c r="B5396" s="2">
        <v>3.0</v>
      </c>
      <c r="C5396" s="4"/>
      <c r="E5396" s="4" t="str">
        <f t="array" ref="E5396">XLOOKUP(A5396,'Fintech, Regulatory Arbitrage, '!A:A,'Fintech, Regulatory Arbitrage, '!C:C,"")</f>
        <v/>
      </c>
    </row>
    <row r="5397">
      <c r="A5397" s="1" t="s">
        <v>5417</v>
      </c>
      <c r="B5397" s="2">
        <v>3.0</v>
      </c>
      <c r="C5397" s="4"/>
      <c r="E5397" s="4" t="str">
        <f t="array" ref="E5397">XLOOKUP(A5397,'Fintech, Regulatory Arbitrage, '!A:A,'Fintech, Regulatory Arbitrage, '!C:C,"")</f>
        <v/>
      </c>
    </row>
    <row r="5398">
      <c r="A5398" s="1" t="s">
        <v>5418</v>
      </c>
      <c r="B5398" s="2">
        <v>3.0</v>
      </c>
      <c r="C5398" s="4"/>
      <c r="E5398" s="4" t="str">
        <f t="array" ref="E5398">XLOOKUP(A5398,'Fintech, Regulatory Arbitrage, '!A:A,'Fintech, Regulatory Arbitrage, '!C:C,"")</f>
        <v/>
      </c>
    </row>
    <row r="5399">
      <c r="A5399" s="1" t="s">
        <v>5419</v>
      </c>
      <c r="B5399" s="2">
        <v>3.0</v>
      </c>
      <c r="C5399" s="4"/>
      <c r="E5399" s="4" t="str">
        <f t="array" ref="E5399">XLOOKUP(A5399,'Fintech, Regulatory Arbitrage, '!A:A,'Fintech, Regulatory Arbitrage, '!C:C,"")</f>
        <v/>
      </c>
    </row>
    <row r="5400">
      <c r="A5400" s="1" t="s">
        <v>5420</v>
      </c>
      <c r="B5400" s="2">
        <v>3.0</v>
      </c>
      <c r="C5400" s="4"/>
      <c r="E5400" s="4" t="str">
        <f t="array" ref="E5400">XLOOKUP(A5400,'Fintech, Regulatory Arbitrage, '!A:A,'Fintech, Regulatory Arbitrage, '!C:C,"")</f>
        <v/>
      </c>
    </row>
    <row r="5401">
      <c r="A5401" s="1" t="s">
        <v>5421</v>
      </c>
      <c r="B5401" s="2">
        <v>3.0</v>
      </c>
      <c r="C5401" s="4"/>
      <c r="E5401" s="4" t="str">
        <f t="array" ref="E5401">XLOOKUP(A5401,'Fintech, Regulatory Arbitrage, '!A:A,'Fintech, Regulatory Arbitrage, '!C:C,"")</f>
        <v/>
      </c>
    </row>
    <row r="5402">
      <c r="A5402" s="1" t="s">
        <v>5422</v>
      </c>
      <c r="B5402" s="2">
        <v>3.0</v>
      </c>
      <c r="C5402" s="4"/>
      <c r="E5402" s="4" t="str">
        <f t="array" ref="E5402">XLOOKUP(A5402,'Fintech, Regulatory Arbitrage, '!A:A,'Fintech, Regulatory Arbitrage, '!C:C,"")</f>
        <v/>
      </c>
    </row>
    <row r="5403">
      <c r="A5403" s="1" t="s">
        <v>5423</v>
      </c>
      <c r="B5403" s="2">
        <v>3.0</v>
      </c>
      <c r="C5403" s="4"/>
      <c r="E5403" s="4" t="str">
        <f t="array" ref="E5403">XLOOKUP(A5403,'Fintech, Regulatory Arbitrage, '!A:A,'Fintech, Regulatory Arbitrage, '!C:C,"")</f>
        <v/>
      </c>
    </row>
    <row r="5404">
      <c r="A5404" s="1" t="s">
        <v>5424</v>
      </c>
      <c r="B5404" s="2">
        <v>3.0</v>
      </c>
      <c r="C5404" s="4"/>
      <c r="E5404" s="4" t="str">
        <f t="array" ref="E5404">XLOOKUP(A5404,'Fintech, Regulatory Arbitrage, '!A:A,'Fintech, Regulatory Arbitrage, '!C:C,"")</f>
        <v/>
      </c>
    </row>
    <row r="5405">
      <c r="A5405" s="1" t="s">
        <v>5425</v>
      </c>
      <c r="B5405" s="2">
        <v>3.0</v>
      </c>
      <c r="C5405" s="4"/>
      <c r="E5405" s="4" t="str">
        <f t="array" ref="E5405">XLOOKUP(A5405,'Fintech, Regulatory Arbitrage, '!A:A,'Fintech, Regulatory Arbitrage, '!C:C,"")</f>
        <v/>
      </c>
    </row>
    <row r="5406">
      <c r="A5406" s="1" t="s">
        <v>5426</v>
      </c>
      <c r="B5406" s="2">
        <v>3.0</v>
      </c>
      <c r="C5406" s="4"/>
      <c r="E5406" s="4" t="str">
        <f t="array" ref="E5406">XLOOKUP(A5406,'Fintech, Regulatory Arbitrage, '!A:A,'Fintech, Regulatory Arbitrage, '!C:C,"")</f>
        <v/>
      </c>
    </row>
    <row r="5407">
      <c r="A5407" s="1" t="s">
        <v>5427</v>
      </c>
      <c r="B5407" s="2">
        <v>3.0</v>
      </c>
      <c r="C5407" s="4"/>
      <c r="E5407" s="4" t="str">
        <f t="array" ref="E5407">XLOOKUP(A5407,'Fintech, Regulatory Arbitrage, '!A:A,'Fintech, Regulatory Arbitrage, '!C:C,"")</f>
        <v/>
      </c>
    </row>
    <row r="5408">
      <c r="A5408" s="1" t="s">
        <v>5428</v>
      </c>
      <c r="B5408" s="2">
        <v>3.0</v>
      </c>
      <c r="C5408" s="4"/>
      <c r="E5408" s="4" t="str">
        <f t="array" ref="E5408">XLOOKUP(A5408,'Fintech, Regulatory Arbitrage, '!A:A,'Fintech, Regulatory Arbitrage, '!C:C,"")</f>
        <v/>
      </c>
    </row>
    <row r="5409">
      <c r="A5409" s="1" t="s">
        <v>5429</v>
      </c>
      <c r="B5409" s="2">
        <v>3.0</v>
      </c>
      <c r="C5409" s="4"/>
      <c r="E5409" s="4" t="str">
        <f t="array" ref="E5409">XLOOKUP(A5409,'Fintech, Regulatory Arbitrage, '!A:A,'Fintech, Regulatory Arbitrage, '!C:C,"")</f>
        <v/>
      </c>
    </row>
    <row r="5410">
      <c r="A5410" s="1" t="s">
        <v>5430</v>
      </c>
      <c r="B5410" s="2">
        <v>3.0</v>
      </c>
      <c r="C5410" s="4"/>
      <c r="E5410" s="4" t="str">
        <f t="array" ref="E5410">XLOOKUP(A5410,'Fintech, Regulatory Arbitrage, '!A:A,'Fintech, Regulatory Arbitrage, '!C:C,"")</f>
        <v/>
      </c>
    </row>
    <row r="5411">
      <c r="A5411" s="1" t="s">
        <v>5431</v>
      </c>
      <c r="B5411" s="2">
        <v>3.0</v>
      </c>
      <c r="C5411" s="4"/>
      <c r="E5411" s="4" t="str">
        <f t="array" ref="E5411">XLOOKUP(A5411,'Fintech, Regulatory Arbitrage, '!A:A,'Fintech, Regulatory Arbitrage, '!C:C,"")</f>
        <v/>
      </c>
    </row>
    <row r="5412">
      <c r="A5412" s="1" t="s">
        <v>5432</v>
      </c>
      <c r="B5412" s="2">
        <v>3.0</v>
      </c>
      <c r="C5412" s="4"/>
      <c r="E5412" s="4" t="str">
        <f t="array" ref="E5412">XLOOKUP(A5412,'Fintech, Regulatory Arbitrage, '!A:A,'Fintech, Regulatory Arbitrage, '!C:C,"")</f>
        <v/>
      </c>
    </row>
    <row r="5413">
      <c r="A5413" s="1" t="s">
        <v>5433</v>
      </c>
      <c r="B5413" s="2">
        <v>3.0</v>
      </c>
      <c r="C5413" s="4"/>
      <c r="E5413" s="4" t="str">
        <f t="array" ref="E5413">XLOOKUP(A5413,'Fintech, Regulatory Arbitrage, '!A:A,'Fintech, Regulatory Arbitrage, '!C:C,"")</f>
        <v/>
      </c>
    </row>
    <row r="5414">
      <c r="A5414" s="1" t="s">
        <v>5434</v>
      </c>
      <c r="B5414" s="2">
        <v>3.0</v>
      </c>
      <c r="C5414" s="4"/>
      <c r="E5414" s="4" t="str">
        <f t="array" ref="E5414">XLOOKUP(A5414,'Fintech, Regulatory Arbitrage, '!A:A,'Fintech, Regulatory Arbitrage, '!C:C,"")</f>
        <v/>
      </c>
    </row>
    <row r="5415">
      <c r="A5415" s="1" t="s">
        <v>5435</v>
      </c>
      <c r="B5415" s="2">
        <v>3.0</v>
      </c>
      <c r="C5415" s="4"/>
      <c r="E5415" s="4" t="str">
        <f t="array" ref="E5415">XLOOKUP(A5415,'Fintech, Regulatory Arbitrage, '!A:A,'Fintech, Regulatory Arbitrage, '!C:C,"")</f>
        <v/>
      </c>
    </row>
    <row r="5416">
      <c r="A5416" s="1" t="s">
        <v>5436</v>
      </c>
      <c r="B5416" s="2">
        <v>3.0</v>
      </c>
      <c r="C5416" s="4"/>
      <c r="E5416" s="4" t="str">
        <f t="array" ref="E5416">XLOOKUP(A5416,'Fintech, Regulatory Arbitrage, '!A:A,'Fintech, Regulatory Arbitrage, '!C:C,"")</f>
        <v/>
      </c>
    </row>
    <row r="5417">
      <c r="A5417" s="1" t="s">
        <v>5437</v>
      </c>
      <c r="B5417" s="2">
        <v>3.0</v>
      </c>
      <c r="C5417" s="4"/>
      <c r="E5417" s="4" t="str">
        <f t="array" ref="E5417">XLOOKUP(A5417,'Fintech, Regulatory Arbitrage, '!A:A,'Fintech, Regulatory Arbitrage, '!C:C,"")</f>
        <v/>
      </c>
    </row>
    <row r="5418">
      <c r="A5418" s="1" t="s">
        <v>5438</v>
      </c>
      <c r="B5418" s="2">
        <v>3.0</v>
      </c>
      <c r="C5418" s="4"/>
      <c r="E5418" s="4" t="str">
        <f t="array" ref="E5418">XLOOKUP(A5418,'Fintech, Regulatory Arbitrage, '!A:A,'Fintech, Regulatory Arbitrage, '!C:C,"")</f>
        <v/>
      </c>
    </row>
    <row r="5419">
      <c r="A5419" s="1" t="s">
        <v>5439</v>
      </c>
      <c r="B5419" s="2">
        <v>3.0</v>
      </c>
      <c r="C5419" s="4"/>
      <c r="E5419" s="4" t="str">
        <f t="array" ref="E5419">XLOOKUP(A5419,'Fintech, Regulatory Arbitrage, '!A:A,'Fintech, Regulatory Arbitrage, '!C:C,"")</f>
        <v/>
      </c>
    </row>
    <row r="5420">
      <c r="A5420" s="1" t="s">
        <v>5440</v>
      </c>
      <c r="B5420" s="2">
        <v>3.0</v>
      </c>
      <c r="C5420" s="4"/>
      <c r="E5420" s="4" t="str">
        <f t="array" ref="E5420">XLOOKUP(A5420,'Fintech, Regulatory Arbitrage, '!A:A,'Fintech, Regulatory Arbitrage, '!C:C,"")</f>
        <v/>
      </c>
    </row>
    <row r="5421">
      <c r="A5421" s="1" t="s">
        <v>5441</v>
      </c>
      <c r="B5421" s="2">
        <v>3.0</v>
      </c>
      <c r="C5421" s="4"/>
      <c r="E5421" s="4" t="str">
        <f t="array" ref="E5421">XLOOKUP(A5421,'Fintech, Regulatory Arbitrage, '!A:A,'Fintech, Regulatory Arbitrage, '!C:C,"")</f>
        <v/>
      </c>
    </row>
    <row r="5422">
      <c r="A5422" s="1" t="s">
        <v>5442</v>
      </c>
      <c r="B5422" s="2">
        <v>3.0</v>
      </c>
      <c r="C5422" s="4"/>
      <c r="E5422" s="4" t="str">
        <f t="array" ref="E5422">XLOOKUP(A5422,'Fintech, Regulatory Arbitrage, '!A:A,'Fintech, Regulatory Arbitrage, '!C:C,"")</f>
        <v/>
      </c>
    </row>
    <row r="5423">
      <c r="A5423" s="1" t="s">
        <v>5443</v>
      </c>
      <c r="B5423" s="2">
        <v>3.0</v>
      </c>
      <c r="C5423" s="4"/>
      <c r="E5423" s="4" t="str">
        <f t="array" ref="E5423">XLOOKUP(A5423,'Fintech, Regulatory Arbitrage, '!A:A,'Fintech, Regulatory Arbitrage, '!C:C,"")</f>
        <v/>
      </c>
    </row>
    <row r="5424">
      <c r="A5424" s="1" t="s">
        <v>5444</v>
      </c>
      <c r="B5424" s="2">
        <v>3.0</v>
      </c>
      <c r="C5424" s="4"/>
      <c r="E5424" s="4" t="str">
        <f t="array" ref="E5424">XLOOKUP(A5424,'Fintech, Regulatory Arbitrage, '!A:A,'Fintech, Regulatory Arbitrage, '!C:C,"")</f>
        <v/>
      </c>
    </row>
    <row r="5425">
      <c r="A5425" s="1" t="s">
        <v>5445</v>
      </c>
      <c r="B5425" s="2">
        <v>3.0</v>
      </c>
      <c r="C5425" s="4"/>
      <c r="E5425" s="4" t="str">
        <f t="array" ref="E5425">XLOOKUP(A5425,'Fintech, Regulatory Arbitrage, '!A:A,'Fintech, Regulatory Arbitrage, '!C:C,"")</f>
        <v/>
      </c>
    </row>
    <row r="5426">
      <c r="A5426" s="1" t="s">
        <v>5446</v>
      </c>
      <c r="B5426" s="2">
        <v>3.0</v>
      </c>
      <c r="C5426" s="4"/>
      <c r="E5426" s="4" t="str">
        <f t="array" ref="E5426">XLOOKUP(A5426,'Fintech, Regulatory Arbitrage, '!A:A,'Fintech, Regulatory Arbitrage, '!C:C,"")</f>
        <v/>
      </c>
    </row>
    <row r="5427">
      <c r="A5427" s="1" t="s">
        <v>5447</v>
      </c>
      <c r="B5427" s="2">
        <v>3.0</v>
      </c>
      <c r="C5427" s="4"/>
      <c r="E5427" s="4" t="str">
        <f t="array" ref="E5427">XLOOKUP(A5427,'Fintech, Regulatory Arbitrage, '!A:A,'Fintech, Regulatory Arbitrage, '!C:C,"")</f>
        <v/>
      </c>
    </row>
    <row r="5428">
      <c r="A5428" s="1" t="s">
        <v>5448</v>
      </c>
      <c r="B5428" s="2">
        <v>3.0</v>
      </c>
      <c r="C5428" s="4"/>
      <c r="E5428" s="4" t="str">
        <f t="array" ref="E5428">XLOOKUP(A5428,'Fintech, Regulatory Arbitrage, '!A:A,'Fintech, Regulatory Arbitrage, '!C:C,"")</f>
        <v/>
      </c>
    </row>
    <row r="5429">
      <c r="A5429" s="1" t="s">
        <v>5449</v>
      </c>
      <c r="B5429" s="2">
        <v>3.0</v>
      </c>
      <c r="C5429" s="4"/>
      <c r="E5429" s="4" t="str">
        <f t="array" ref="E5429">XLOOKUP(A5429,'Fintech, Regulatory Arbitrage, '!A:A,'Fintech, Regulatory Arbitrage, '!C:C,"")</f>
        <v/>
      </c>
    </row>
    <row r="5430">
      <c r="A5430" s="1" t="s">
        <v>5450</v>
      </c>
      <c r="B5430" s="2">
        <v>3.0</v>
      </c>
      <c r="C5430" s="4"/>
      <c r="E5430" s="4" t="str">
        <f t="array" ref="E5430">XLOOKUP(A5430,'Fintech, Regulatory Arbitrage, '!A:A,'Fintech, Regulatory Arbitrage, '!C:C,"")</f>
        <v/>
      </c>
    </row>
    <row r="5431">
      <c r="A5431" s="1" t="s">
        <v>5451</v>
      </c>
      <c r="B5431" s="2">
        <v>3.0</v>
      </c>
      <c r="C5431" s="4"/>
      <c r="E5431" s="4" t="str">
        <f t="array" ref="E5431">XLOOKUP(A5431,'Fintech, Regulatory Arbitrage, '!A:A,'Fintech, Regulatory Arbitrage, '!C:C,"")</f>
        <v/>
      </c>
    </row>
    <row r="5432">
      <c r="A5432" s="1" t="s">
        <v>5452</v>
      </c>
      <c r="B5432" s="2">
        <v>3.0</v>
      </c>
      <c r="C5432" s="4"/>
      <c r="E5432" s="4" t="str">
        <f t="array" ref="E5432">XLOOKUP(A5432,'Fintech, Regulatory Arbitrage, '!A:A,'Fintech, Regulatory Arbitrage, '!C:C,"")</f>
        <v/>
      </c>
    </row>
    <row r="5433">
      <c r="A5433" s="1" t="s">
        <v>5453</v>
      </c>
      <c r="B5433" s="2">
        <v>3.0</v>
      </c>
      <c r="C5433" s="4"/>
      <c r="E5433" s="4" t="str">
        <f t="array" ref="E5433">XLOOKUP(A5433,'Fintech, Regulatory Arbitrage, '!A:A,'Fintech, Regulatory Arbitrage, '!C:C,"")</f>
        <v/>
      </c>
    </row>
    <row r="5434">
      <c r="A5434" s="1" t="s">
        <v>5454</v>
      </c>
      <c r="B5434" s="2">
        <v>3.0</v>
      </c>
      <c r="C5434" s="4"/>
      <c r="E5434" s="4" t="str">
        <f t="array" ref="E5434">XLOOKUP(A5434,'Fintech, Regulatory Arbitrage, '!A:A,'Fintech, Regulatory Arbitrage, '!C:C,"")</f>
        <v/>
      </c>
    </row>
    <row r="5435">
      <c r="A5435" s="1" t="s">
        <v>5455</v>
      </c>
      <c r="B5435" s="2">
        <v>3.0</v>
      </c>
      <c r="C5435" s="4"/>
      <c r="E5435" s="4" t="str">
        <f t="array" ref="E5435">XLOOKUP(A5435,'Fintech, Regulatory Arbitrage, '!A:A,'Fintech, Regulatory Arbitrage, '!C:C,"")</f>
        <v/>
      </c>
    </row>
    <row r="5436">
      <c r="A5436" s="1" t="s">
        <v>5456</v>
      </c>
      <c r="B5436" s="2">
        <v>3.0</v>
      </c>
      <c r="C5436" s="4"/>
      <c r="E5436" s="4" t="str">
        <f t="array" ref="E5436">XLOOKUP(A5436,'Fintech, Regulatory Arbitrage, '!A:A,'Fintech, Regulatory Arbitrage, '!C:C,"")</f>
        <v/>
      </c>
    </row>
    <row r="5437">
      <c r="A5437" s="1" t="s">
        <v>5457</v>
      </c>
      <c r="B5437" s="2">
        <v>3.0</v>
      </c>
      <c r="C5437" s="4"/>
      <c r="E5437" s="4" t="str">
        <f t="array" ref="E5437">XLOOKUP(A5437,'Fintech, Regulatory Arbitrage, '!A:A,'Fintech, Regulatory Arbitrage, '!C:C,"")</f>
        <v/>
      </c>
    </row>
    <row r="5438">
      <c r="A5438" s="1" t="s">
        <v>5458</v>
      </c>
      <c r="B5438" s="2">
        <v>3.0</v>
      </c>
      <c r="C5438" s="4"/>
      <c r="E5438" s="4" t="str">
        <f t="array" ref="E5438">XLOOKUP(A5438,'Fintech, Regulatory Arbitrage, '!A:A,'Fintech, Regulatory Arbitrage, '!C:C,"")</f>
        <v/>
      </c>
    </row>
    <row r="5439">
      <c r="A5439" s="1" t="s">
        <v>5459</v>
      </c>
      <c r="B5439" s="2">
        <v>3.0</v>
      </c>
      <c r="C5439" s="4"/>
      <c r="E5439" s="4" t="str">
        <f t="array" ref="E5439">XLOOKUP(A5439,'Fintech, Regulatory Arbitrage, '!A:A,'Fintech, Regulatory Arbitrage, '!C:C,"")</f>
        <v/>
      </c>
    </row>
    <row r="5440">
      <c r="A5440" s="1" t="s">
        <v>5460</v>
      </c>
      <c r="B5440" s="2">
        <v>3.0</v>
      </c>
      <c r="C5440" s="4"/>
      <c r="E5440" s="4" t="str">
        <f t="array" ref="E5440">XLOOKUP(A5440,'Fintech, Regulatory Arbitrage, '!A:A,'Fintech, Regulatory Arbitrage, '!C:C,"")</f>
        <v/>
      </c>
    </row>
    <row r="5441">
      <c r="A5441" s="1" t="s">
        <v>5461</v>
      </c>
      <c r="B5441" s="2">
        <v>3.0</v>
      </c>
      <c r="C5441" s="4"/>
      <c r="E5441" s="4" t="str">
        <f t="array" ref="E5441">XLOOKUP(A5441,'Fintech, Regulatory Arbitrage, '!A:A,'Fintech, Regulatory Arbitrage, '!C:C,"")</f>
        <v/>
      </c>
    </row>
    <row r="5442">
      <c r="A5442" s="1" t="s">
        <v>5462</v>
      </c>
      <c r="B5442" s="2">
        <v>3.0</v>
      </c>
      <c r="C5442" s="4"/>
      <c r="E5442" s="4" t="str">
        <f t="array" ref="E5442">XLOOKUP(A5442,'Fintech, Regulatory Arbitrage, '!A:A,'Fintech, Regulatory Arbitrage, '!C:C,"")</f>
        <v/>
      </c>
    </row>
    <row r="5443">
      <c r="A5443" s="1" t="s">
        <v>5463</v>
      </c>
      <c r="B5443" s="2">
        <v>3.0</v>
      </c>
      <c r="C5443" s="4"/>
      <c r="E5443" s="4" t="str">
        <f t="array" ref="E5443">XLOOKUP(A5443,'Fintech, Regulatory Arbitrage, '!A:A,'Fintech, Regulatory Arbitrage, '!C:C,"")</f>
        <v/>
      </c>
    </row>
    <row r="5444">
      <c r="A5444" s="1" t="s">
        <v>5464</v>
      </c>
      <c r="B5444" s="2">
        <v>3.0</v>
      </c>
      <c r="C5444" s="4"/>
      <c r="E5444" s="4" t="str">
        <f t="array" ref="E5444">XLOOKUP(A5444,'Fintech, Regulatory Arbitrage, '!A:A,'Fintech, Regulatory Arbitrage, '!C:C,"")</f>
        <v/>
      </c>
    </row>
    <row r="5445">
      <c r="A5445" s="1" t="s">
        <v>5465</v>
      </c>
      <c r="B5445" s="2">
        <v>3.0</v>
      </c>
      <c r="C5445" s="4"/>
      <c r="E5445" s="4" t="str">
        <f t="array" ref="E5445">XLOOKUP(A5445,'Fintech, Regulatory Arbitrage, '!A:A,'Fintech, Regulatory Arbitrage, '!C:C,"")</f>
        <v/>
      </c>
    </row>
    <row r="5446">
      <c r="A5446" s="1" t="s">
        <v>5466</v>
      </c>
      <c r="B5446" s="2">
        <v>3.0</v>
      </c>
      <c r="C5446" s="4"/>
      <c r="E5446" s="4" t="str">
        <f t="array" ref="E5446">XLOOKUP(A5446,'Fintech, Regulatory Arbitrage, '!A:A,'Fintech, Regulatory Arbitrage, '!C:C,"")</f>
        <v/>
      </c>
    </row>
    <row r="5447">
      <c r="A5447" s="1" t="s">
        <v>5467</v>
      </c>
      <c r="B5447" s="2">
        <v>3.0</v>
      </c>
      <c r="C5447" s="4"/>
      <c r="E5447" s="4" t="str">
        <f t="array" ref="E5447">XLOOKUP(A5447,'Fintech, Regulatory Arbitrage, '!A:A,'Fintech, Regulatory Arbitrage, '!C:C,"")</f>
        <v/>
      </c>
    </row>
    <row r="5448">
      <c r="A5448" s="1" t="s">
        <v>5468</v>
      </c>
      <c r="B5448" s="2">
        <v>3.0</v>
      </c>
      <c r="C5448" s="4"/>
      <c r="E5448" s="4" t="str">
        <f t="array" ref="E5448">XLOOKUP(A5448,'Fintech, Regulatory Arbitrage, '!A:A,'Fintech, Regulatory Arbitrage, '!C:C,"")</f>
        <v/>
      </c>
    </row>
    <row r="5449">
      <c r="A5449" s="1" t="s">
        <v>5469</v>
      </c>
      <c r="B5449" s="2">
        <v>3.0</v>
      </c>
      <c r="C5449" s="4"/>
      <c r="E5449" s="4" t="str">
        <f t="array" ref="E5449">XLOOKUP(A5449,'Fintech, Regulatory Arbitrage, '!A:A,'Fintech, Regulatory Arbitrage, '!C:C,"")</f>
        <v/>
      </c>
    </row>
    <row r="5450">
      <c r="A5450" s="1" t="s">
        <v>5470</v>
      </c>
      <c r="B5450" s="2">
        <v>3.0</v>
      </c>
      <c r="C5450" s="4"/>
      <c r="E5450" s="4" t="str">
        <f t="array" ref="E5450">XLOOKUP(A5450,'Fintech, Regulatory Arbitrage, '!A:A,'Fintech, Regulatory Arbitrage, '!C:C,"")</f>
        <v/>
      </c>
    </row>
    <row r="5451">
      <c r="A5451" s="1" t="s">
        <v>5471</v>
      </c>
      <c r="B5451" s="2">
        <v>3.0</v>
      </c>
      <c r="C5451" s="4"/>
      <c r="E5451" s="4" t="str">
        <f t="array" ref="E5451">XLOOKUP(A5451,'Fintech, Regulatory Arbitrage, '!A:A,'Fintech, Regulatory Arbitrage, '!C:C,"")</f>
        <v/>
      </c>
    </row>
    <row r="5452">
      <c r="A5452" s="1" t="s">
        <v>5472</v>
      </c>
      <c r="B5452" s="2">
        <v>3.0</v>
      </c>
      <c r="C5452" s="4"/>
      <c r="E5452" s="4" t="str">
        <f t="array" ref="E5452">XLOOKUP(A5452,'Fintech, Regulatory Arbitrage, '!A:A,'Fintech, Regulatory Arbitrage, '!C:C,"")</f>
        <v/>
      </c>
    </row>
    <row r="5453">
      <c r="A5453" s="1" t="s">
        <v>5473</v>
      </c>
      <c r="B5453" s="2">
        <v>3.0</v>
      </c>
      <c r="C5453" s="4"/>
      <c r="E5453" s="4" t="str">
        <f t="array" ref="E5453">XLOOKUP(A5453,'Fintech, Regulatory Arbitrage, '!A:A,'Fintech, Regulatory Arbitrage, '!C:C,"")</f>
        <v/>
      </c>
    </row>
    <row r="5454">
      <c r="A5454" s="1" t="s">
        <v>5474</v>
      </c>
      <c r="B5454" s="2">
        <v>3.0</v>
      </c>
      <c r="C5454" s="4"/>
      <c r="E5454" s="4" t="str">
        <f t="array" ref="E5454">XLOOKUP(A5454,'Fintech, Regulatory Arbitrage, '!A:A,'Fintech, Regulatory Arbitrage, '!C:C,"")</f>
        <v/>
      </c>
    </row>
    <row r="5455">
      <c r="A5455" s="1" t="s">
        <v>5475</v>
      </c>
      <c r="B5455" s="2">
        <v>3.0</v>
      </c>
      <c r="C5455" s="4"/>
      <c r="E5455" s="4" t="str">
        <f t="array" ref="E5455">XLOOKUP(A5455,'Fintech, Regulatory Arbitrage, '!A:A,'Fintech, Regulatory Arbitrage, '!C:C,"")</f>
        <v/>
      </c>
    </row>
    <row r="5456">
      <c r="A5456" s="1" t="s">
        <v>5476</v>
      </c>
      <c r="B5456" s="2">
        <v>3.0</v>
      </c>
      <c r="C5456" s="4"/>
      <c r="E5456" s="4" t="str">
        <f t="array" ref="E5456">XLOOKUP(A5456,'Fintech, Regulatory Arbitrage, '!A:A,'Fintech, Regulatory Arbitrage, '!C:C,"")</f>
        <v/>
      </c>
    </row>
    <row r="5457">
      <c r="A5457" s="1" t="s">
        <v>5477</v>
      </c>
      <c r="B5457" s="2">
        <v>3.0</v>
      </c>
      <c r="C5457" s="4"/>
      <c r="E5457" s="4" t="str">
        <f t="array" ref="E5457">XLOOKUP(A5457,'Fintech, Regulatory Arbitrage, '!A:A,'Fintech, Regulatory Arbitrage, '!C:C,"")</f>
        <v/>
      </c>
    </row>
    <row r="5458">
      <c r="A5458" s="1" t="s">
        <v>5478</v>
      </c>
      <c r="B5458" s="2">
        <v>3.0</v>
      </c>
      <c r="C5458" s="4"/>
      <c r="E5458" s="4" t="str">
        <f t="array" ref="E5458">XLOOKUP(A5458,'Fintech, Regulatory Arbitrage, '!A:A,'Fintech, Regulatory Arbitrage, '!C:C,"")</f>
        <v/>
      </c>
    </row>
    <row r="5459">
      <c r="A5459" s="1" t="s">
        <v>5479</v>
      </c>
      <c r="B5459" s="2">
        <v>3.0</v>
      </c>
      <c r="C5459" s="4"/>
      <c r="E5459" s="4" t="str">
        <f t="array" ref="E5459">XLOOKUP(A5459,'Fintech, Regulatory Arbitrage, '!A:A,'Fintech, Regulatory Arbitrage, '!C:C,"")</f>
        <v/>
      </c>
    </row>
    <row r="5460">
      <c r="A5460" s="1" t="s">
        <v>5480</v>
      </c>
      <c r="B5460" s="2">
        <v>3.0</v>
      </c>
      <c r="C5460" s="4"/>
      <c r="E5460" s="4" t="str">
        <f t="array" ref="E5460">XLOOKUP(A5460,'Fintech, Regulatory Arbitrage, '!A:A,'Fintech, Regulatory Arbitrage, '!C:C,"")</f>
        <v/>
      </c>
    </row>
    <row r="5461">
      <c r="A5461" s="1" t="s">
        <v>5481</v>
      </c>
      <c r="B5461" s="2">
        <v>3.0</v>
      </c>
      <c r="C5461" s="4"/>
      <c r="E5461" s="4" t="str">
        <f t="array" ref="E5461">XLOOKUP(A5461,'Fintech, Regulatory Arbitrage, '!A:A,'Fintech, Regulatory Arbitrage, '!C:C,"")</f>
        <v/>
      </c>
    </row>
    <row r="5462">
      <c r="A5462" s="1" t="s">
        <v>5482</v>
      </c>
      <c r="B5462" s="2">
        <v>3.0</v>
      </c>
      <c r="C5462" s="4"/>
      <c r="E5462" s="4" t="str">
        <f t="array" ref="E5462">XLOOKUP(A5462,'Fintech, Regulatory Arbitrage, '!A:A,'Fintech, Regulatory Arbitrage, '!C:C,"")</f>
        <v/>
      </c>
    </row>
    <row r="5463">
      <c r="A5463" s="1" t="s">
        <v>5483</v>
      </c>
      <c r="B5463" s="2">
        <v>3.0</v>
      </c>
      <c r="C5463" s="4"/>
      <c r="E5463" s="4" t="str">
        <f t="array" ref="E5463">XLOOKUP(A5463,'Fintech, Regulatory Arbitrage, '!A:A,'Fintech, Regulatory Arbitrage, '!C:C,"")</f>
        <v/>
      </c>
    </row>
    <row r="5464">
      <c r="A5464" s="1" t="s">
        <v>5484</v>
      </c>
      <c r="B5464" s="2">
        <v>3.0</v>
      </c>
      <c r="C5464" s="4"/>
      <c r="E5464" s="4" t="str">
        <f t="array" ref="E5464">XLOOKUP(A5464,'Fintech, Regulatory Arbitrage, '!A:A,'Fintech, Regulatory Arbitrage, '!C:C,"")</f>
        <v/>
      </c>
    </row>
    <row r="5465">
      <c r="A5465" s="1" t="s">
        <v>5485</v>
      </c>
      <c r="B5465" s="2">
        <v>3.0</v>
      </c>
      <c r="C5465" s="4"/>
      <c r="E5465" s="4" t="str">
        <f t="array" ref="E5465">XLOOKUP(A5465,'Fintech, Regulatory Arbitrage, '!A:A,'Fintech, Regulatory Arbitrage, '!C:C,"")</f>
        <v/>
      </c>
    </row>
    <row r="5466">
      <c r="A5466" s="1" t="s">
        <v>5486</v>
      </c>
      <c r="B5466" s="2">
        <v>3.0</v>
      </c>
      <c r="C5466" s="4"/>
      <c r="E5466" s="4" t="str">
        <f t="array" ref="E5466">XLOOKUP(A5466,'Fintech, Regulatory Arbitrage, '!A:A,'Fintech, Regulatory Arbitrage, '!C:C,"")</f>
        <v/>
      </c>
    </row>
    <row r="5467">
      <c r="A5467" s="1" t="s">
        <v>5487</v>
      </c>
      <c r="B5467" s="2">
        <v>3.0</v>
      </c>
      <c r="C5467" s="4"/>
      <c r="E5467" s="4" t="str">
        <f t="array" ref="E5467">XLOOKUP(A5467,'Fintech, Regulatory Arbitrage, '!A:A,'Fintech, Regulatory Arbitrage, '!C:C,"")</f>
        <v/>
      </c>
    </row>
    <row r="5468">
      <c r="A5468" s="1" t="s">
        <v>5488</v>
      </c>
      <c r="B5468" s="2">
        <v>3.0</v>
      </c>
      <c r="C5468" s="4"/>
      <c r="E5468" s="4" t="str">
        <f t="array" ref="E5468">XLOOKUP(A5468,'Fintech, Regulatory Arbitrage, '!A:A,'Fintech, Regulatory Arbitrage, '!C:C,"")</f>
        <v/>
      </c>
    </row>
    <row r="5469">
      <c r="A5469" s="1" t="s">
        <v>5489</v>
      </c>
      <c r="B5469" s="2">
        <v>3.0</v>
      </c>
      <c r="C5469" s="4"/>
      <c r="E5469" s="4" t="str">
        <f t="array" ref="E5469">XLOOKUP(A5469,'Fintech, Regulatory Arbitrage, '!A:A,'Fintech, Regulatory Arbitrage, '!C:C,"")</f>
        <v/>
      </c>
    </row>
    <row r="5470">
      <c r="A5470" s="1" t="s">
        <v>5490</v>
      </c>
      <c r="B5470" s="2">
        <v>3.0</v>
      </c>
      <c r="C5470" s="4"/>
      <c r="E5470" s="4" t="str">
        <f t="array" ref="E5470">XLOOKUP(A5470,'Fintech, Regulatory Arbitrage, '!A:A,'Fintech, Regulatory Arbitrage, '!C:C,"")</f>
        <v/>
      </c>
    </row>
    <row r="5471">
      <c r="A5471" s="1" t="s">
        <v>5491</v>
      </c>
      <c r="B5471" s="2">
        <v>3.0</v>
      </c>
      <c r="C5471" s="4"/>
      <c r="E5471" s="4" t="str">
        <f t="array" ref="E5471">XLOOKUP(A5471,'Fintech, Regulatory Arbitrage, '!A:A,'Fintech, Regulatory Arbitrage, '!C:C,"")</f>
        <v/>
      </c>
    </row>
    <row r="5472">
      <c r="A5472" s="1" t="s">
        <v>5492</v>
      </c>
      <c r="B5472" s="2">
        <v>3.0</v>
      </c>
      <c r="C5472" s="4"/>
      <c r="E5472" s="4" t="str">
        <f t="array" ref="E5472">XLOOKUP(A5472,'Fintech, Regulatory Arbitrage, '!A:A,'Fintech, Regulatory Arbitrage, '!C:C,"")</f>
        <v/>
      </c>
    </row>
    <row r="5473">
      <c r="A5473" s="1" t="s">
        <v>5493</v>
      </c>
      <c r="B5473" s="2">
        <v>3.0</v>
      </c>
      <c r="C5473" s="4"/>
      <c r="E5473" s="4" t="str">
        <f t="array" ref="E5473">XLOOKUP(A5473,'Fintech, Regulatory Arbitrage, '!A:A,'Fintech, Regulatory Arbitrage, '!C:C,"")</f>
        <v/>
      </c>
    </row>
    <row r="5474">
      <c r="A5474" s="1" t="s">
        <v>5494</v>
      </c>
      <c r="B5474" s="2">
        <v>3.0</v>
      </c>
      <c r="C5474" s="4"/>
      <c r="E5474" s="4" t="str">
        <f t="array" ref="E5474">XLOOKUP(A5474,'Fintech, Regulatory Arbitrage, '!A:A,'Fintech, Regulatory Arbitrage, '!C:C,"")</f>
        <v/>
      </c>
    </row>
    <row r="5475">
      <c r="A5475" s="1" t="s">
        <v>5495</v>
      </c>
      <c r="B5475" s="2">
        <v>3.0</v>
      </c>
      <c r="C5475" s="4"/>
      <c r="E5475" s="4" t="str">
        <f t="array" ref="E5475">XLOOKUP(A5475,'Fintech, Regulatory Arbitrage, '!A:A,'Fintech, Regulatory Arbitrage, '!C:C,"")</f>
        <v/>
      </c>
    </row>
    <row r="5476">
      <c r="A5476" s="1" t="s">
        <v>5496</v>
      </c>
      <c r="B5476" s="2">
        <v>3.0</v>
      </c>
      <c r="C5476" s="4"/>
      <c r="E5476" s="4" t="str">
        <f t="array" ref="E5476">XLOOKUP(A5476,'Fintech, Regulatory Arbitrage, '!A:A,'Fintech, Regulatory Arbitrage, '!C:C,"")</f>
        <v/>
      </c>
    </row>
    <row r="5477">
      <c r="A5477" s="1" t="s">
        <v>5497</v>
      </c>
      <c r="B5477" s="2">
        <v>3.0</v>
      </c>
      <c r="C5477" s="4"/>
      <c r="E5477" s="4" t="str">
        <f t="array" ref="E5477">XLOOKUP(A5477,'Fintech, Regulatory Arbitrage, '!A:A,'Fintech, Regulatory Arbitrage, '!C:C,"")</f>
        <v/>
      </c>
    </row>
    <row r="5478">
      <c r="A5478" s="1" t="s">
        <v>5498</v>
      </c>
      <c r="B5478" s="2">
        <v>3.0</v>
      </c>
      <c r="C5478" s="4"/>
      <c r="E5478" s="4" t="str">
        <f t="array" ref="E5478">XLOOKUP(A5478,'Fintech, Regulatory Arbitrage, '!A:A,'Fintech, Regulatory Arbitrage, '!C:C,"")</f>
        <v/>
      </c>
    </row>
    <row r="5479">
      <c r="A5479" s="1" t="s">
        <v>5499</v>
      </c>
      <c r="B5479" s="2">
        <v>3.0</v>
      </c>
      <c r="C5479" s="4"/>
      <c r="E5479" s="4" t="str">
        <f t="array" ref="E5479">XLOOKUP(A5479,'Fintech, Regulatory Arbitrage, '!A:A,'Fintech, Regulatory Arbitrage, '!C:C,"")</f>
        <v/>
      </c>
    </row>
    <row r="5480">
      <c r="A5480" s="1" t="s">
        <v>5500</v>
      </c>
      <c r="B5480" s="2">
        <v>3.0</v>
      </c>
      <c r="C5480" s="4"/>
      <c r="E5480" s="4" t="str">
        <f t="array" ref="E5480">XLOOKUP(A5480,'Fintech, Regulatory Arbitrage, '!A:A,'Fintech, Regulatory Arbitrage, '!C:C,"")</f>
        <v/>
      </c>
    </row>
    <row r="5481">
      <c r="A5481" s="1" t="s">
        <v>5501</v>
      </c>
      <c r="B5481" s="2">
        <v>3.0</v>
      </c>
      <c r="C5481" s="4"/>
      <c r="E5481" s="4" t="str">
        <f t="array" ref="E5481">XLOOKUP(A5481,'Fintech, Regulatory Arbitrage, '!A:A,'Fintech, Regulatory Arbitrage, '!C:C,"")</f>
        <v/>
      </c>
    </row>
    <row r="5482">
      <c r="A5482" s="1" t="s">
        <v>5502</v>
      </c>
      <c r="B5482" s="2">
        <v>3.0</v>
      </c>
      <c r="C5482" s="4"/>
      <c r="E5482" s="4" t="str">
        <f t="array" ref="E5482">XLOOKUP(A5482,'Fintech, Regulatory Arbitrage, '!A:A,'Fintech, Regulatory Arbitrage, '!C:C,"")</f>
        <v/>
      </c>
    </row>
    <row r="5483">
      <c r="A5483" s="1" t="s">
        <v>5503</v>
      </c>
      <c r="B5483" s="2">
        <v>3.0</v>
      </c>
      <c r="C5483" s="4"/>
      <c r="E5483" s="4" t="str">
        <f t="array" ref="E5483">XLOOKUP(A5483,'Fintech, Regulatory Arbitrage, '!A:A,'Fintech, Regulatory Arbitrage, '!C:C,"")</f>
        <v/>
      </c>
    </row>
    <row r="5484">
      <c r="A5484" s="1" t="s">
        <v>5504</v>
      </c>
      <c r="B5484" s="2">
        <v>3.0</v>
      </c>
      <c r="C5484" s="4"/>
      <c r="E5484" s="4" t="str">
        <f t="array" ref="E5484">XLOOKUP(A5484,'Fintech, Regulatory Arbitrage, '!A:A,'Fintech, Regulatory Arbitrage, '!C:C,"")</f>
        <v/>
      </c>
    </row>
    <row r="5485">
      <c r="A5485" s="1" t="s">
        <v>5505</v>
      </c>
      <c r="B5485" s="2">
        <v>3.0</v>
      </c>
      <c r="C5485" s="4"/>
      <c r="E5485" s="4" t="str">
        <f t="array" ref="E5485">XLOOKUP(A5485,'Fintech, Regulatory Arbitrage, '!A:A,'Fintech, Regulatory Arbitrage, '!C:C,"")</f>
        <v/>
      </c>
    </row>
    <row r="5486">
      <c r="A5486" s="1" t="s">
        <v>5506</v>
      </c>
      <c r="B5486" s="2">
        <v>3.0</v>
      </c>
      <c r="C5486" s="4"/>
      <c r="E5486" s="4" t="str">
        <f t="array" ref="E5486">XLOOKUP(A5486,'Fintech, Regulatory Arbitrage, '!A:A,'Fintech, Regulatory Arbitrage, '!C:C,"")</f>
        <v/>
      </c>
    </row>
    <row r="5487">
      <c r="A5487" s="1" t="s">
        <v>5507</v>
      </c>
      <c r="B5487" s="2">
        <v>3.0</v>
      </c>
      <c r="C5487" s="4"/>
      <c r="E5487" s="4" t="str">
        <f t="array" ref="E5487">XLOOKUP(A5487,'Fintech, Regulatory Arbitrage, '!A:A,'Fintech, Regulatory Arbitrage, '!C:C,"")</f>
        <v/>
      </c>
    </row>
    <row r="5488">
      <c r="A5488" s="1" t="s">
        <v>5508</v>
      </c>
      <c r="B5488" s="2">
        <v>3.0</v>
      </c>
      <c r="C5488" s="4"/>
      <c r="E5488" s="4" t="str">
        <f t="array" ref="E5488">XLOOKUP(A5488,'Fintech, Regulatory Arbitrage, '!A:A,'Fintech, Regulatory Arbitrage, '!C:C,"")</f>
        <v/>
      </c>
    </row>
    <row r="5489">
      <c r="A5489" s="1" t="s">
        <v>5509</v>
      </c>
      <c r="B5489" s="2">
        <v>3.0</v>
      </c>
      <c r="C5489" s="4"/>
      <c r="E5489" s="4" t="str">
        <f t="array" ref="E5489">XLOOKUP(A5489,'Fintech, Regulatory Arbitrage, '!A:A,'Fintech, Regulatory Arbitrage, '!C:C,"")</f>
        <v/>
      </c>
    </row>
    <row r="5490">
      <c r="A5490" s="1" t="s">
        <v>5510</v>
      </c>
      <c r="B5490" s="2">
        <v>3.0</v>
      </c>
      <c r="C5490" s="4"/>
      <c r="E5490" s="4" t="str">
        <f t="array" ref="E5490">XLOOKUP(A5490,'Fintech, Regulatory Arbitrage, '!A:A,'Fintech, Regulatory Arbitrage, '!C:C,"")</f>
        <v/>
      </c>
    </row>
    <row r="5491">
      <c r="A5491" s="1" t="s">
        <v>5511</v>
      </c>
      <c r="B5491" s="2">
        <v>3.0</v>
      </c>
      <c r="C5491" s="4"/>
      <c r="E5491" s="4" t="str">
        <f t="array" ref="E5491">XLOOKUP(A5491,'Fintech, Regulatory Arbitrage, '!A:A,'Fintech, Regulatory Arbitrage, '!C:C,"")</f>
        <v/>
      </c>
    </row>
    <row r="5492">
      <c r="A5492" s="1" t="s">
        <v>5512</v>
      </c>
      <c r="B5492" s="2">
        <v>3.0</v>
      </c>
      <c r="C5492" s="4"/>
      <c r="E5492" s="4" t="str">
        <f t="array" ref="E5492">XLOOKUP(A5492,'Fintech, Regulatory Arbitrage, '!A:A,'Fintech, Regulatory Arbitrage, '!C:C,"")</f>
        <v/>
      </c>
    </row>
    <row r="5493">
      <c r="A5493" s="1" t="s">
        <v>5513</v>
      </c>
      <c r="B5493" s="2">
        <v>3.0</v>
      </c>
      <c r="C5493" s="4"/>
      <c r="E5493" s="4" t="str">
        <f t="array" ref="E5493">XLOOKUP(A5493,'Fintech, Regulatory Arbitrage, '!A:A,'Fintech, Regulatory Arbitrage, '!C:C,"")</f>
        <v/>
      </c>
    </row>
    <row r="5494">
      <c r="A5494" s="1" t="s">
        <v>5514</v>
      </c>
      <c r="B5494" s="2">
        <v>3.0</v>
      </c>
      <c r="C5494" s="4"/>
      <c r="E5494" s="4" t="str">
        <f t="array" ref="E5494">XLOOKUP(A5494,'Fintech, Regulatory Arbitrage, '!A:A,'Fintech, Regulatory Arbitrage, '!C:C,"")</f>
        <v/>
      </c>
    </row>
    <row r="5495">
      <c r="A5495" s="1" t="s">
        <v>5515</v>
      </c>
      <c r="B5495" s="2">
        <v>3.0</v>
      </c>
      <c r="C5495" s="4"/>
      <c r="E5495" s="4" t="str">
        <f t="array" ref="E5495">XLOOKUP(A5495,'Fintech, Regulatory Arbitrage, '!A:A,'Fintech, Regulatory Arbitrage, '!C:C,"")</f>
        <v/>
      </c>
    </row>
    <row r="5496">
      <c r="A5496" s="1" t="s">
        <v>5516</v>
      </c>
      <c r="B5496" s="2">
        <v>3.0</v>
      </c>
      <c r="C5496" s="4"/>
      <c r="E5496" s="4" t="str">
        <f t="array" ref="E5496">XLOOKUP(A5496,'Fintech, Regulatory Arbitrage, '!A:A,'Fintech, Regulatory Arbitrage, '!C:C,"")</f>
        <v/>
      </c>
    </row>
    <row r="5497">
      <c r="A5497" s="1" t="s">
        <v>5517</v>
      </c>
      <c r="B5497" s="2">
        <v>3.0</v>
      </c>
      <c r="C5497" s="4"/>
      <c r="E5497" s="4" t="str">
        <f t="array" ref="E5497">XLOOKUP(A5497,'Fintech, Regulatory Arbitrage, '!A:A,'Fintech, Regulatory Arbitrage, '!C:C,"")</f>
        <v/>
      </c>
    </row>
    <row r="5498">
      <c r="A5498" s="1" t="s">
        <v>5518</v>
      </c>
      <c r="B5498" s="2">
        <v>3.0</v>
      </c>
      <c r="C5498" s="4"/>
      <c r="E5498" s="4" t="str">
        <f t="array" ref="E5498">XLOOKUP(A5498,'Fintech, Regulatory Arbitrage, '!A:A,'Fintech, Regulatory Arbitrage, '!C:C,"")</f>
        <v/>
      </c>
    </row>
    <row r="5499">
      <c r="A5499" s="1" t="s">
        <v>5519</v>
      </c>
      <c r="B5499" s="2">
        <v>3.0</v>
      </c>
      <c r="C5499" s="4"/>
      <c r="E5499" s="4" t="str">
        <f t="array" ref="E5499">XLOOKUP(A5499,'Fintech, Regulatory Arbitrage, '!A:A,'Fintech, Regulatory Arbitrage, '!C:C,"")</f>
        <v/>
      </c>
    </row>
    <row r="5500">
      <c r="A5500" s="1" t="s">
        <v>5520</v>
      </c>
      <c r="B5500" s="2">
        <v>3.0</v>
      </c>
      <c r="C5500" s="4"/>
      <c r="E5500" s="4" t="str">
        <f t="array" ref="E5500">XLOOKUP(A5500,'Fintech, Regulatory Arbitrage, '!A:A,'Fintech, Regulatory Arbitrage, '!C:C,"")</f>
        <v/>
      </c>
    </row>
    <row r="5501">
      <c r="A5501" s="1" t="s">
        <v>5521</v>
      </c>
      <c r="B5501" s="2">
        <v>3.0</v>
      </c>
      <c r="C5501" s="4"/>
      <c r="E5501" s="4" t="str">
        <f t="array" ref="E5501">XLOOKUP(A5501,'Fintech, Regulatory Arbitrage, '!A:A,'Fintech, Regulatory Arbitrage, '!C:C,"")</f>
        <v/>
      </c>
    </row>
    <row r="5502">
      <c r="A5502" s="1" t="s">
        <v>5522</v>
      </c>
      <c r="B5502" s="2">
        <v>3.0</v>
      </c>
      <c r="C5502" s="4"/>
      <c r="E5502" s="4" t="str">
        <f t="array" ref="E5502">XLOOKUP(A5502,'Fintech, Regulatory Arbitrage, '!A:A,'Fintech, Regulatory Arbitrage, '!C:C,"")</f>
        <v/>
      </c>
    </row>
    <row r="5503">
      <c r="A5503" s="1" t="s">
        <v>5523</v>
      </c>
      <c r="B5503" s="2">
        <v>3.0</v>
      </c>
      <c r="C5503" s="4"/>
      <c r="E5503" s="4" t="str">
        <f t="array" ref="E5503">XLOOKUP(A5503,'Fintech, Regulatory Arbitrage, '!A:A,'Fintech, Regulatory Arbitrage, '!C:C,"")</f>
        <v/>
      </c>
    </row>
    <row r="5504">
      <c r="A5504" s="1" t="s">
        <v>5524</v>
      </c>
      <c r="B5504" s="2">
        <v>3.0</v>
      </c>
      <c r="C5504" s="4"/>
      <c r="E5504" s="4" t="str">
        <f t="array" ref="E5504">XLOOKUP(A5504,'Fintech, Regulatory Arbitrage, '!A:A,'Fintech, Regulatory Arbitrage, '!C:C,"")</f>
        <v/>
      </c>
    </row>
    <row r="5505">
      <c r="A5505" s="1" t="s">
        <v>5525</v>
      </c>
      <c r="B5505" s="2">
        <v>3.0</v>
      </c>
      <c r="C5505" s="4"/>
      <c r="E5505" s="4" t="str">
        <f t="array" ref="E5505">XLOOKUP(A5505,'Fintech, Regulatory Arbitrage, '!A:A,'Fintech, Regulatory Arbitrage, '!C:C,"")</f>
        <v/>
      </c>
    </row>
    <row r="5506">
      <c r="A5506" s="1" t="s">
        <v>5526</v>
      </c>
      <c r="B5506" s="2">
        <v>3.0</v>
      </c>
      <c r="C5506" s="4"/>
      <c r="E5506" s="4" t="str">
        <f t="array" ref="E5506">XLOOKUP(A5506,'Fintech, Regulatory Arbitrage, '!A:A,'Fintech, Regulatory Arbitrage, '!C:C,"")</f>
        <v/>
      </c>
    </row>
    <row r="5507">
      <c r="A5507" s="1" t="s">
        <v>5527</v>
      </c>
      <c r="B5507" s="2">
        <v>3.0</v>
      </c>
      <c r="C5507" s="4"/>
      <c r="E5507" s="4" t="str">
        <f t="array" ref="E5507">XLOOKUP(A5507,'Fintech, Regulatory Arbitrage, '!A:A,'Fintech, Regulatory Arbitrage, '!C:C,"")</f>
        <v/>
      </c>
    </row>
    <row r="5508">
      <c r="A5508" s="1" t="s">
        <v>5528</v>
      </c>
      <c r="B5508" s="2">
        <v>3.0</v>
      </c>
      <c r="C5508" s="4"/>
      <c r="E5508" s="4" t="str">
        <f t="array" ref="E5508">XLOOKUP(A5508,'Fintech, Regulatory Arbitrage, '!A:A,'Fintech, Regulatory Arbitrage, '!C:C,"")</f>
        <v/>
      </c>
    </row>
    <row r="5509">
      <c r="A5509" s="1" t="s">
        <v>5529</v>
      </c>
      <c r="B5509" s="2">
        <v>3.0</v>
      </c>
      <c r="C5509" s="4"/>
      <c r="E5509" s="4" t="str">
        <f t="array" ref="E5509">XLOOKUP(A5509,'Fintech, Regulatory Arbitrage, '!A:A,'Fintech, Regulatory Arbitrage, '!C:C,"")</f>
        <v/>
      </c>
    </row>
    <row r="5510">
      <c r="A5510" s="1" t="s">
        <v>5530</v>
      </c>
      <c r="B5510" s="2">
        <v>3.0</v>
      </c>
      <c r="C5510" s="4"/>
      <c r="E5510" s="4" t="str">
        <f t="array" ref="E5510">XLOOKUP(A5510,'Fintech, Regulatory Arbitrage, '!A:A,'Fintech, Regulatory Arbitrage, '!C:C,"")</f>
        <v/>
      </c>
    </row>
    <row r="5511">
      <c r="A5511" s="1" t="s">
        <v>5531</v>
      </c>
      <c r="B5511" s="2">
        <v>3.0</v>
      </c>
      <c r="C5511" s="4"/>
      <c r="E5511" s="4" t="str">
        <f t="array" ref="E5511">XLOOKUP(A5511,'Fintech, Regulatory Arbitrage, '!A:A,'Fintech, Regulatory Arbitrage, '!C:C,"")</f>
        <v/>
      </c>
    </row>
    <row r="5512">
      <c r="A5512" s="1" t="s">
        <v>5532</v>
      </c>
      <c r="B5512" s="2">
        <v>3.0</v>
      </c>
      <c r="C5512" s="4"/>
      <c r="E5512" s="4" t="str">
        <f t="array" ref="E5512">XLOOKUP(A5512,'Fintech, Regulatory Arbitrage, '!A:A,'Fintech, Regulatory Arbitrage, '!C:C,"")</f>
        <v/>
      </c>
    </row>
    <row r="5513">
      <c r="A5513" s="1" t="s">
        <v>5533</v>
      </c>
      <c r="B5513" s="2">
        <v>3.0</v>
      </c>
      <c r="C5513" s="4"/>
      <c r="E5513" s="4" t="str">
        <f t="array" ref="E5513">XLOOKUP(A5513,'Fintech, Regulatory Arbitrage, '!A:A,'Fintech, Regulatory Arbitrage, '!C:C,"")</f>
        <v/>
      </c>
    </row>
    <row r="5514">
      <c r="A5514" s="1" t="s">
        <v>5534</v>
      </c>
      <c r="B5514" s="2">
        <v>3.0</v>
      </c>
      <c r="C5514" s="4"/>
      <c r="E5514" s="4" t="str">
        <f t="array" ref="E5514">XLOOKUP(A5514,'Fintech, Regulatory Arbitrage, '!A:A,'Fintech, Regulatory Arbitrage, '!C:C,"")</f>
        <v/>
      </c>
    </row>
    <row r="5515">
      <c r="A5515" s="1" t="s">
        <v>5535</v>
      </c>
      <c r="B5515" s="2">
        <v>3.0</v>
      </c>
      <c r="C5515" s="4"/>
      <c r="E5515" s="4" t="str">
        <f t="array" ref="E5515">XLOOKUP(A5515,'Fintech, Regulatory Arbitrage, '!A:A,'Fintech, Regulatory Arbitrage, '!C:C,"")</f>
        <v/>
      </c>
    </row>
    <row r="5516">
      <c r="A5516" s="1" t="s">
        <v>5536</v>
      </c>
      <c r="B5516" s="2">
        <v>3.0</v>
      </c>
      <c r="C5516" s="4"/>
      <c r="E5516" s="4" t="str">
        <f t="array" ref="E5516">XLOOKUP(A5516,'Fintech, Regulatory Arbitrage, '!A:A,'Fintech, Regulatory Arbitrage, '!C:C,"")</f>
        <v/>
      </c>
    </row>
    <row r="5517">
      <c r="A5517" s="1" t="s">
        <v>5537</v>
      </c>
      <c r="B5517" s="2">
        <v>3.0</v>
      </c>
      <c r="C5517" s="4"/>
      <c r="E5517" s="4" t="str">
        <f t="array" ref="E5517">XLOOKUP(A5517,'Fintech, Regulatory Arbitrage, '!A:A,'Fintech, Regulatory Arbitrage, '!C:C,"")</f>
        <v/>
      </c>
    </row>
    <row r="5518">
      <c r="A5518" s="1" t="s">
        <v>5538</v>
      </c>
      <c r="B5518" s="2">
        <v>3.0</v>
      </c>
      <c r="C5518" s="4"/>
      <c r="E5518" s="4" t="str">
        <f t="array" ref="E5518">XLOOKUP(A5518,'Fintech, Regulatory Arbitrage, '!A:A,'Fintech, Regulatory Arbitrage, '!C:C,"")</f>
        <v/>
      </c>
    </row>
    <row r="5519">
      <c r="A5519" s="1" t="s">
        <v>5539</v>
      </c>
      <c r="B5519" s="2">
        <v>3.0</v>
      </c>
      <c r="C5519" s="4"/>
      <c r="E5519" s="4" t="str">
        <f t="array" ref="E5519">XLOOKUP(A5519,'Fintech, Regulatory Arbitrage, '!A:A,'Fintech, Regulatory Arbitrage, '!C:C,"")</f>
        <v/>
      </c>
    </row>
    <row r="5520">
      <c r="A5520" s="1" t="s">
        <v>5540</v>
      </c>
      <c r="B5520" s="2">
        <v>3.0</v>
      </c>
      <c r="C5520" s="4"/>
      <c r="E5520" s="4" t="str">
        <f t="array" ref="E5520">XLOOKUP(A5520,'Fintech, Regulatory Arbitrage, '!A:A,'Fintech, Regulatory Arbitrage, '!C:C,"")</f>
        <v/>
      </c>
    </row>
    <row r="5521">
      <c r="A5521" s="1" t="s">
        <v>5541</v>
      </c>
      <c r="B5521" s="2">
        <v>3.0</v>
      </c>
      <c r="C5521" s="4"/>
      <c r="E5521" s="4" t="str">
        <f t="array" ref="E5521">XLOOKUP(A5521,'Fintech, Regulatory Arbitrage, '!A:A,'Fintech, Regulatory Arbitrage, '!C:C,"")</f>
        <v/>
      </c>
    </row>
    <row r="5522">
      <c r="A5522" s="1" t="s">
        <v>5542</v>
      </c>
      <c r="B5522" s="2">
        <v>3.0</v>
      </c>
      <c r="C5522" s="4"/>
      <c r="E5522" s="4" t="str">
        <f t="array" ref="E5522">XLOOKUP(A5522,'Fintech, Regulatory Arbitrage, '!A:A,'Fintech, Regulatory Arbitrage, '!C:C,"")</f>
        <v/>
      </c>
    </row>
    <row r="5523">
      <c r="A5523" s="1" t="s">
        <v>5543</v>
      </c>
      <c r="B5523" s="2">
        <v>3.0</v>
      </c>
      <c r="C5523" s="4"/>
      <c r="E5523" s="4" t="str">
        <f t="array" ref="E5523">XLOOKUP(A5523,'Fintech, Regulatory Arbitrage, '!A:A,'Fintech, Regulatory Arbitrage, '!C:C,"")</f>
        <v/>
      </c>
    </row>
    <row r="5524">
      <c r="A5524" s="1" t="s">
        <v>5544</v>
      </c>
      <c r="B5524" s="2">
        <v>3.0</v>
      </c>
      <c r="C5524" s="4"/>
      <c r="E5524" s="4" t="str">
        <f t="array" ref="E5524">XLOOKUP(A5524,'Fintech, Regulatory Arbitrage, '!A:A,'Fintech, Regulatory Arbitrage, '!C:C,"")</f>
        <v/>
      </c>
    </row>
    <row r="5525">
      <c r="A5525" s="1" t="s">
        <v>5545</v>
      </c>
      <c r="B5525" s="2">
        <v>3.0</v>
      </c>
      <c r="C5525" s="4"/>
      <c r="E5525" s="4" t="str">
        <f t="array" ref="E5525">XLOOKUP(A5525,'Fintech, Regulatory Arbitrage, '!A:A,'Fintech, Regulatory Arbitrage, '!C:C,"")</f>
        <v/>
      </c>
    </row>
    <row r="5526">
      <c r="A5526" s="1" t="s">
        <v>5546</v>
      </c>
      <c r="B5526" s="2">
        <v>3.0</v>
      </c>
      <c r="C5526" s="4"/>
      <c r="E5526" s="4" t="str">
        <f t="array" ref="E5526">XLOOKUP(A5526,'Fintech, Regulatory Arbitrage, '!A:A,'Fintech, Regulatory Arbitrage, '!C:C,"")</f>
        <v/>
      </c>
    </row>
    <row r="5527">
      <c r="A5527" s="1" t="s">
        <v>5547</v>
      </c>
      <c r="B5527" s="2">
        <v>3.0</v>
      </c>
      <c r="C5527" s="4"/>
      <c r="E5527" s="4" t="str">
        <f t="array" ref="E5527">XLOOKUP(A5527,'Fintech, Regulatory Arbitrage, '!A:A,'Fintech, Regulatory Arbitrage, '!C:C,"")</f>
        <v/>
      </c>
    </row>
    <row r="5528">
      <c r="A5528" s="1" t="s">
        <v>5548</v>
      </c>
      <c r="B5528" s="2">
        <v>3.0</v>
      </c>
      <c r="C5528" s="4"/>
      <c r="E5528" s="4" t="str">
        <f t="array" ref="E5528">XLOOKUP(A5528,'Fintech, Regulatory Arbitrage, '!A:A,'Fintech, Regulatory Arbitrage, '!C:C,"")</f>
        <v/>
      </c>
    </row>
    <row r="5529">
      <c r="A5529" s="1" t="s">
        <v>5549</v>
      </c>
      <c r="B5529" s="2">
        <v>3.0</v>
      </c>
      <c r="C5529" s="4"/>
      <c r="E5529" s="4" t="str">
        <f t="array" ref="E5529">XLOOKUP(A5529,'Fintech, Regulatory Arbitrage, '!A:A,'Fintech, Regulatory Arbitrage, '!C:C,"")</f>
        <v/>
      </c>
    </row>
    <row r="5530">
      <c r="A5530" s="1" t="s">
        <v>5550</v>
      </c>
      <c r="B5530" s="2">
        <v>3.0</v>
      </c>
      <c r="C5530" s="4"/>
      <c r="E5530" s="4" t="str">
        <f t="array" ref="E5530">XLOOKUP(A5530,'Fintech, Regulatory Arbitrage, '!A:A,'Fintech, Regulatory Arbitrage, '!C:C,"")</f>
        <v/>
      </c>
    </row>
    <row r="5531">
      <c r="A5531" s="1" t="s">
        <v>5551</v>
      </c>
      <c r="B5531" s="2">
        <v>3.0</v>
      </c>
      <c r="C5531" s="4"/>
      <c r="E5531" s="4" t="str">
        <f t="array" ref="E5531">XLOOKUP(A5531,'Fintech, Regulatory Arbitrage, '!A:A,'Fintech, Regulatory Arbitrage, '!C:C,"")</f>
        <v/>
      </c>
    </row>
    <row r="5532">
      <c r="A5532" s="1" t="s">
        <v>5552</v>
      </c>
      <c r="B5532" s="2">
        <v>3.0</v>
      </c>
      <c r="C5532" s="4"/>
      <c r="E5532" s="4" t="str">
        <f t="array" ref="E5532">XLOOKUP(A5532,'Fintech, Regulatory Arbitrage, '!A:A,'Fintech, Regulatory Arbitrage, '!C:C,"")</f>
        <v/>
      </c>
    </row>
    <row r="5533">
      <c r="A5533" s="1" t="s">
        <v>5553</v>
      </c>
      <c r="B5533" s="2">
        <v>3.0</v>
      </c>
      <c r="C5533" s="4"/>
      <c r="E5533" s="4" t="str">
        <f t="array" ref="E5533">XLOOKUP(A5533,'Fintech, Regulatory Arbitrage, '!A:A,'Fintech, Regulatory Arbitrage, '!C:C,"")</f>
        <v/>
      </c>
    </row>
    <row r="5534">
      <c r="A5534" s="1" t="s">
        <v>5554</v>
      </c>
      <c r="B5534" s="2">
        <v>3.0</v>
      </c>
      <c r="C5534" s="4"/>
      <c r="E5534" s="4" t="str">
        <f t="array" ref="E5534">XLOOKUP(A5534,'Fintech, Regulatory Arbitrage, '!A:A,'Fintech, Regulatory Arbitrage, '!C:C,"")</f>
        <v/>
      </c>
    </row>
    <row r="5535">
      <c r="A5535" s="1" t="s">
        <v>5555</v>
      </c>
      <c r="B5535" s="2">
        <v>3.0</v>
      </c>
      <c r="C5535" s="4"/>
      <c r="E5535" s="4" t="str">
        <f t="array" ref="E5535">XLOOKUP(A5535,'Fintech, Regulatory Arbitrage, '!A:A,'Fintech, Regulatory Arbitrage, '!C:C,"")</f>
        <v/>
      </c>
    </row>
    <row r="5536">
      <c r="A5536" s="1" t="s">
        <v>5556</v>
      </c>
      <c r="B5536" s="2">
        <v>3.0</v>
      </c>
      <c r="C5536" s="4"/>
      <c r="E5536" s="4" t="str">
        <f t="array" ref="E5536">XLOOKUP(A5536,'Fintech, Regulatory Arbitrage, '!A:A,'Fintech, Regulatory Arbitrage, '!C:C,"")</f>
        <v/>
      </c>
    </row>
    <row r="5537">
      <c r="A5537" s="1" t="s">
        <v>5557</v>
      </c>
      <c r="B5537" s="2">
        <v>3.0</v>
      </c>
      <c r="C5537" s="4"/>
      <c r="E5537" s="4" t="str">
        <f t="array" ref="E5537">XLOOKUP(A5537,'Fintech, Regulatory Arbitrage, '!A:A,'Fintech, Regulatory Arbitrage, '!C:C,"")</f>
        <v/>
      </c>
    </row>
    <row r="5538">
      <c r="A5538" s="1" t="s">
        <v>5558</v>
      </c>
      <c r="B5538" s="2">
        <v>3.0</v>
      </c>
      <c r="C5538" s="4"/>
      <c r="E5538" s="4" t="str">
        <f t="array" ref="E5538">XLOOKUP(A5538,'Fintech, Regulatory Arbitrage, '!A:A,'Fintech, Regulatory Arbitrage, '!C:C,"")</f>
        <v/>
      </c>
    </row>
    <row r="5539">
      <c r="A5539" s="1" t="s">
        <v>5559</v>
      </c>
      <c r="B5539" s="2">
        <v>3.0</v>
      </c>
      <c r="C5539" s="4"/>
      <c r="E5539" s="4" t="str">
        <f t="array" ref="E5539">XLOOKUP(A5539,'Fintech, Regulatory Arbitrage, '!A:A,'Fintech, Regulatory Arbitrage, '!C:C,"")</f>
        <v/>
      </c>
    </row>
    <row r="5540">
      <c r="A5540" s="1" t="s">
        <v>5560</v>
      </c>
      <c r="B5540" s="2">
        <v>3.0</v>
      </c>
      <c r="C5540" s="4"/>
      <c r="E5540" s="4" t="str">
        <f t="array" ref="E5540">XLOOKUP(A5540,'Fintech, Regulatory Arbitrage, '!A:A,'Fintech, Regulatory Arbitrage, '!C:C,"")</f>
        <v/>
      </c>
    </row>
    <row r="5541">
      <c r="A5541" s="1" t="s">
        <v>5561</v>
      </c>
      <c r="B5541" s="2">
        <v>3.0</v>
      </c>
      <c r="C5541" s="4"/>
      <c r="E5541" s="4" t="str">
        <f t="array" ref="E5541">XLOOKUP(A5541,'Fintech, Regulatory Arbitrage, '!A:A,'Fintech, Regulatory Arbitrage, '!C:C,"")</f>
        <v/>
      </c>
    </row>
    <row r="5542">
      <c r="A5542" s="1" t="s">
        <v>5562</v>
      </c>
      <c r="B5542" s="2">
        <v>3.0</v>
      </c>
      <c r="C5542" s="4"/>
      <c r="E5542" s="4" t="str">
        <f t="array" ref="E5542">XLOOKUP(A5542,'Fintech, Regulatory Arbitrage, '!A:A,'Fintech, Regulatory Arbitrage, '!C:C,"")</f>
        <v/>
      </c>
    </row>
    <row r="5543">
      <c r="A5543" s="1" t="s">
        <v>5563</v>
      </c>
      <c r="B5543" s="2">
        <v>3.0</v>
      </c>
      <c r="C5543" s="4"/>
      <c r="E5543" s="4" t="str">
        <f t="array" ref="E5543">XLOOKUP(A5543,'Fintech, Regulatory Arbitrage, '!A:A,'Fintech, Regulatory Arbitrage, '!C:C,"")</f>
        <v/>
      </c>
    </row>
    <row r="5544">
      <c r="A5544" s="1" t="s">
        <v>5564</v>
      </c>
      <c r="B5544" s="2">
        <v>3.0</v>
      </c>
      <c r="C5544" s="4"/>
      <c r="E5544" s="4" t="str">
        <f t="array" ref="E5544">XLOOKUP(A5544,'Fintech, Regulatory Arbitrage, '!A:A,'Fintech, Regulatory Arbitrage, '!C:C,"")</f>
        <v/>
      </c>
    </row>
    <row r="5545">
      <c r="A5545" s="1" t="s">
        <v>5565</v>
      </c>
      <c r="B5545" s="2">
        <v>3.0</v>
      </c>
      <c r="C5545" s="4"/>
      <c r="E5545" s="4" t="str">
        <f t="array" ref="E5545">XLOOKUP(A5545,'Fintech, Regulatory Arbitrage, '!A:A,'Fintech, Regulatory Arbitrage, '!C:C,"")</f>
        <v/>
      </c>
    </row>
    <row r="5546">
      <c r="A5546" s="1" t="s">
        <v>5566</v>
      </c>
      <c r="B5546" s="2">
        <v>3.0</v>
      </c>
      <c r="C5546" s="4"/>
      <c r="E5546" s="4" t="str">
        <f t="array" ref="E5546">XLOOKUP(A5546,'Fintech, Regulatory Arbitrage, '!A:A,'Fintech, Regulatory Arbitrage, '!C:C,"")</f>
        <v/>
      </c>
    </row>
    <row r="5547">
      <c r="A5547" s="1" t="s">
        <v>5567</v>
      </c>
      <c r="B5547" s="2">
        <v>3.0</v>
      </c>
      <c r="C5547" s="4"/>
      <c r="E5547" s="4" t="str">
        <f t="array" ref="E5547">XLOOKUP(A5547,'Fintech, Regulatory Arbitrage, '!A:A,'Fintech, Regulatory Arbitrage, '!C:C,"")</f>
        <v/>
      </c>
    </row>
    <row r="5548">
      <c r="A5548" s="1" t="s">
        <v>5568</v>
      </c>
      <c r="B5548" s="2">
        <v>3.0</v>
      </c>
      <c r="C5548" s="4"/>
      <c r="E5548" s="4" t="str">
        <f t="array" ref="E5548">XLOOKUP(A5548,'Fintech, Regulatory Arbitrage, '!A:A,'Fintech, Regulatory Arbitrage, '!C:C,"")</f>
        <v/>
      </c>
    </row>
    <row r="5549">
      <c r="A5549" s="1" t="s">
        <v>5569</v>
      </c>
      <c r="B5549" s="2">
        <v>3.0</v>
      </c>
      <c r="C5549" s="4"/>
      <c r="E5549" s="4" t="str">
        <f t="array" ref="E5549">XLOOKUP(A5549,'Fintech, Regulatory Arbitrage, '!A:A,'Fintech, Regulatory Arbitrage, '!C:C,"")</f>
        <v/>
      </c>
    </row>
    <row r="5550">
      <c r="A5550" s="1" t="s">
        <v>5570</v>
      </c>
      <c r="B5550" s="2">
        <v>3.0</v>
      </c>
      <c r="C5550" s="4"/>
      <c r="E5550" s="4" t="str">
        <f t="array" ref="E5550">XLOOKUP(A5550,'Fintech, Regulatory Arbitrage, '!A:A,'Fintech, Regulatory Arbitrage, '!C:C,"")</f>
        <v/>
      </c>
    </row>
    <row r="5551">
      <c r="A5551" s="1" t="s">
        <v>5571</v>
      </c>
      <c r="B5551" s="2">
        <v>3.0</v>
      </c>
      <c r="C5551" s="4"/>
      <c r="E5551" s="4" t="str">
        <f t="array" ref="E5551">XLOOKUP(A5551,'Fintech, Regulatory Arbitrage, '!A:A,'Fintech, Regulatory Arbitrage, '!C:C,"")</f>
        <v/>
      </c>
    </row>
    <row r="5552">
      <c r="A5552" s="1" t="s">
        <v>5572</v>
      </c>
      <c r="B5552" s="2">
        <v>3.0</v>
      </c>
      <c r="C5552" s="4"/>
      <c r="E5552" s="4" t="str">
        <f t="array" ref="E5552">XLOOKUP(A5552,'Fintech, Regulatory Arbitrage, '!A:A,'Fintech, Regulatory Arbitrage, '!C:C,"")</f>
        <v/>
      </c>
    </row>
    <row r="5553">
      <c r="A5553" s="1" t="s">
        <v>5573</v>
      </c>
      <c r="B5553" s="2">
        <v>3.0</v>
      </c>
      <c r="C5553" s="4"/>
      <c r="E5553" s="4" t="str">
        <f t="array" ref="E5553">XLOOKUP(A5553,'Fintech, Regulatory Arbitrage, '!A:A,'Fintech, Regulatory Arbitrage, '!C:C,"")</f>
        <v/>
      </c>
    </row>
    <row r="5554">
      <c r="A5554" s="1" t="s">
        <v>5574</v>
      </c>
      <c r="B5554" s="2">
        <v>3.0</v>
      </c>
      <c r="C5554" s="4"/>
      <c r="E5554" s="4" t="str">
        <f t="array" ref="E5554">XLOOKUP(A5554,'Fintech, Regulatory Arbitrage, '!A:A,'Fintech, Regulatory Arbitrage, '!C:C,"")</f>
        <v/>
      </c>
    </row>
    <row r="5555">
      <c r="A5555" s="1" t="s">
        <v>5575</v>
      </c>
      <c r="B5555" s="2">
        <v>3.0</v>
      </c>
      <c r="C5555" s="4"/>
      <c r="E5555" s="4" t="str">
        <f t="array" ref="E5555">XLOOKUP(A5555,'Fintech, Regulatory Arbitrage, '!A:A,'Fintech, Regulatory Arbitrage, '!C:C,"")</f>
        <v/>
      </c>
    </row>
    <row r="5556">
      <c r="A5556" s="1" t="s">
        <v>5576</v>
      </c>
      <c r="B5556" s="2">
        <v>3.0</v>
      </c>
      <c r="C5556" s="4"/>
      <c r="E5556" s="4" t="str">
        <f t="array" ref="E5556">XLOOKUP(A5556,'Fintech, Regulatory Arbitrage, '!A:A,'Fintech, Regulatory Arbitrage, '!C:C,"")</f>
        <v/>
      </c>
    </row>
    <row r="5557">
      <c r="A5557" s="1" t="s">
        <v>5577</v>
      </c>
      <c r="B5557" s="2">
        <v>3.0</v>
      </c>
      <c r="C5557" s="4"/>
      <c r="E5557" s="4" t="str">
        <f t="array" ref="E5557">XLOOKUP(A5557,'Fintech, Regulatory Arbitrage, '!A:A,'Fintech, Regulatory Arbitrage, '!C:C,"")</f>
        <v/>
      </c>
    </row>
    <row r="5558">
      <c r="A5558" s="1" t="s">
        <v>5578</v>
      </c>
      <c r="B5558" s="2">
        <v>3.0</v>
      </c>
      <c r="C5558" s="4"/>
      <c r="E5558" s="4" t="str">
        <f t="array" ref="E5558">XLOOKUP(A5558,'Fintech, Regulatory Arbitrage, '!A:A,'Fintech, Regulatory Arbitrage, '!C:C,"")</f>
        <v/>
      </c>
    </row>
    <row r="5559">
      <c r="A5559" s="1" t="s">
        <v>5579</v>
      </c>
      <c r="B5559" s="2">
        <v>3.0</v>
      </c>
      <c r="C5559" s="4"/>
      <c r="E5559" s="4" t="str">
        <f t="array" ref="E5559">XLOOKUP(A5559,'Fintech, Regulatory Arbitrage, '!A:A,'Fintech, Regulatory Arbitrage, '!C:C,"")</f>
        <v/>
      </c>
    </row>
    <row r="5560">
      <c r="A5560" s="1" t="s">
        <v>5580</v>
      </c>
      <c r="B5560" s="2">
        <v>3.0</v>
      </c>
      <c r="C5560" s="4"/>
      <c r="E5560" s="4" t="str">
        <f t="array" ref="E5560">XLOOKUP(A5560,'Fintech, Regulatory Arbitrage, '!A:A,'Fintech, Regulatory Arbitrage, '!C:C,"")</f>
        <v/>
      </c>
    </row>
    <row r="5561">
      <c r="A5561" s="1" t="s">
        <v>5581</v>
      </c>
      <c r="B5561" s="2">
        <v>3.0</v>
      </c>
      <c r="C5561" s="4"/>
      <c r="E5561" s="4" t="str">
        <f t="array" ref="E5561">XLOOKUP(A5561,'Fintech, Regulatory Arbitrage, '!A:A,'Fintech, Regulatory Arbitrage, '!C:C,"")</f>
        <v/>
      </c>
    </row>
    <row r="5562">
      <c r="A5562" s="1" t="s">
        <v>5582</v>
      </c>
      <c r="B5562" s="2">
        <v>3.0</v>
      </c>
      <c r="C5562" s="4"/>
      <c r="E5562" s="4" t="str">
        <f t="array" ref="E5562">XLOOKUP(A5562,'Fintech, Regulatory Arbitrage, '!A:A,'Fintech, Regulatory Arbitrage, '!C:C,"")</f>
        <v/>
      </c>
    </row>
    <row r="5563">
      <c r="A5563" s="1" t="s">
        <v>5583</v>
      </c>
      <c r="B5563" s="2">
        <v>3.0</v>
      </c>
      <c r="C5563" s="4"/>
      <c r="E5563" s="4" t="str">
        <f t="array" ref="E5563">XLOOKUP(A5563,'Fintech, Regulatory Arbitrage, '!A:A,'Fintech, Regulatory Arbitrage, '!C:C,"")</f>
        <v/>
      </c>
    </row>
    <row r="5564">
      <c r="A5564" s="1" t="s">
        <v>5584</v>
      </c>
      <c r="B5564" s="2">
        <v>3.0</v>
      </c>
      <c r="C5564" s="4"/>
      <c r="E5564" s="4" t="str">
        <f t="array" ref="E5564">XLOOKUP(A5564,'Fintech, Regulatory Arbitrage, '!A:A,'Fintech, Regulatory Arbitrage, '!C:C,"")</f>
        <v/>
      </c>
    </row>
    <row r="5565">
      <c r="A5565" s="1" t="s">
        <v>5585</v>
      </c>
      <c r="B5565" s="2">
        <v>3.0</v>
      </c>
      <c r="C5565" s="4"/>
      <c r="E5565" s="4" t="str">
        <f t="array" ref="E5565">XLOOKUP(A5565,'Fintech, Regulatory Arbitrage, '!A:A,'Fintech, Regulatory Arbitrage, '!C:C,"")</f>
        <v/>
      </c>
    </row>
    <row r="5566">
      <c r="A5566" s="1" t="s">
        <v>5586</v>
      </c>
      <c r="B5566" s="2">
        <v>3.0</v>
      </c>
      <c r="C5566" s="4"/>
      <c r="E5566" s="4" t="str">
        <f t="array" ref="E5566">XLOOKUP(A5566,'Fintech, Regulatory Arbitrage, '!A:A,'Fintech, Regulatory Arbitrage, '!C:C,"")</f>
        <v/>
      </c>
    </row>
    <row r="5567">
      <c r="A5567" s="1" t="s">
        <v>5587</v>
      </c>
      <c r="B5567" s="2">
        <v>3.0</v>
      </c>
      <c r="C5567" s="4"/>
      <c r="E5567" s="4" t="str">
        <f t="array" ref="E5567">XLOOKUP(A5567,'Fintech, Regulatory Arbitrage, '!A:A,'Fintech, Regulatory Arbitrage, '!C:C,"")</f>
        <v/>
      </c>
    </row>
    <row r="5568">
      <c r="A5568" s="1" t="s">
        <v>5588</v>
      </c>
      <c r="B5568" s="2">
        <v>3.0</v>
      </c>
      <c r="C5568" s="4"/>
      <c r="E5568" s="4" t="str">
        <f t="array" ref="E5568">XLOOKUP(A5568,'Fintech, Regulatory Arbitrage, '!A:A,'Fintech, Regulatory Arbitrage, '!C:C,"")</f>
        <v/>
      </c>
    </row>
    <row r="5569">
      <c r="A5569" s="1" t="s">
        <v>5589</v>
      </c>
      <c r="B5569" s="2">
        <v>3.0</v>
      </c>
      <c r="C5569" s="4"/>
      <c r="E5569" s="4" t="str">
        <f t="array" ref="E5569">XLOOKUP(A5569,'Fintech, Regulatory Arbitrage, '!A:A,'Fintech, Regulatory Arbitrage, '!C:C,"")</f>
        <v/>
      </c>
    </row>
    <row r="5570">
      <c r="A5570" s="1" t="s">
        <v>5590</v>
      </c>
      <c r="B5570" s="2">
        <v>3.0</v>
      </c>
      <c r="C5570" s="4"/>
      <c r="E5570" s="4" t="str">
        <f t="array" ref="E5570">XLOOKUP(A5570,'Fintech, Regulatory Arbitrage, '!A:A,'Fintech, Regulatory Arbitrage, '!C:C,"")</f>
        <v/>
      </c>
    </row>
    <row r="5571">
      <c r="A5571" s="1" t="s">
        <v>5591</v>
      </c>
      <c r="B5571" s="2">
        <v>3.0</v>
      </c>
      <c r="C5571" s="4"/>
      <c r="E5571" s="4" t="str">
        <f t="array" ref="E5571">XLOOKUP(A5571,'Fintech, Regulatory Arbitrage, '!A:A,'Fintech, Regulatory Arbitrage, '!C:C,"")</f>
        <v/>
      </c>
    </row>
    <row r="5572">
      <c r="A5572" s="1" t="s">
        <v>5592</v>
      </c>
      <c r="B5572" s="2">
        <v>3.0</v>
      </c>
      <c r="C5572" s="4"/>
      <c r="E5572" s="4" t="str">
        <f t="array" ref="E5572">XLOOKUP(A5572,'Fintech, Regulatory Arbitrage, '!A:A,'Fintech, Regulatory Arbitrage, '!C:C,"")</f>
        <v/>
      </c>
    </row>
    <row r="5573">
      <c r="A5573" s="1" t="s">
        <v>5593</v>
      </c>
      <c r="B5573" s="2">
        <v>2.0</v>
      </c>
      <c r="C5573" s="4"/>
      <c r="E5573" s="4" t="str">
        <f t="array" ref="E5573">XLOOKUP(A5573,'Fintech, Regulatory Arbitrage, '!A:A,'Fintech, Regulatory Arbitrage, '!C:C,"")</f>
        <v/>
      </c>
    </row>
    <row r="5574">
      <c r="A5574" s="1" t="s">
        <v>5594</v>
      </c>
      <c r="B5574" s="2">
        <v>2.0</v>
      </c>
      <c r="C5574" s="4"/>
      <c r="E5574" s="4" t="str">
        <f t="array" ref="E5574">XLOOKUP(A5574,'Fintech, Regulatory Arbitrage, '!A:A,'Fintech, Regulatory Arbitrage, '!C:C,"")</f>
        <v/>
      </c>
    </row>
    <row r="5575">
      <c r="A5575" s="1" t="s">
        <v>5595</v>
      </c>
      <c r="B5575" s="2">
        <v>2.0</v>
      </c>
      <c r="C5575" s="4"/>
      <c r="E5575" s="4" t="str">
        <f t="array" ref="E5575">XLOOKUP(A5575,'Fintech, Regulatory Arbitrage, '!A:A,'Fintech, Regulatory Arbitrage, '!C:C,"")</f>
        <v/>
      </c>
    </row>
    <row r="5576">
      <c r="A5576" s="1" t="s">
        <v>5596</v>
      </c>
      <c r="B5576" s="2">
        <v>2.0</v>
      </c>
      <c r="C5576" s="4"/>
      <c r="E5576" s="4" t="str">
        <f t="array" ref="E5576">XLOOKUP(A5576,'Fintech, Regulatory Arbitrage, '!A:A,'Fintech, Regulatory Arbitrage, '!C:C,"")</f>
        <v/>
      </c>
    </row>
    <row r="5577">
      <c r="A5577" s="1" t="s">
        <v>5597</v>
      </c>
      <c r="B5577" s="2">
        <v>2.0</v>
      </c>
      <c r="C5577" s="4"/>
      <c r="E5577" s="4" t="str">
        <f t="array" ref="E5577">XLOOKUP(A5577,'Fintech, Regulatory Arbitrage, '!A:A,'Fintech, Regulatory Arbitrage, '!C:C,"")</f>
        <v/>
      </c>
    </row>
    <row r="5578">
      <c r="A5578" s="1" t="s">
        <v>5598</v>
      </c>
      <c r="B5578" s="2">
        <v>2.0</v>
      </c>
      <c r="C5578" s="4"/>
      <c r="E5578" s="4" t="str">
        <f t="array" ref="E5578">XLOOKUP(A5578,'Fintech, Regulatory Arbitrage, '!A:A,'Fintech, Regulatory Arbitrage, '!C:C,"")</f>
        <v/>
      </c>
    </row>
    <row r="5579">
      <c r="A5579" s="1" t="s">
        <v>5599</v>
      </c>
      <c r="B5579" s="2">
        <v>2.0</v>
      </c>
      <c r="C5579" s="4"/>
      <c r="E5579" s="4" t="str">
        <f t="array" ref="E5579">XLOOKUP(A5579,'Fintech, Regulatory Arbitrage, '!A:A,'Fintech, Regulatory Arbitrage, '!C:C,"")</f>
        <v/>
      </c>
    </row>
    <row r="5580">
      <c r="A5580" s="1" t="s">
        <v>5600</v>
      </c>
      <c r="B5580" s="2">
        <v>2.0</v>
      </c>
      <c r="C5580" s="4"/>
      <c r="E5580" s="4" t="str">
        <f t="array" ref="E5580">XLOOKUP(A5580,'Fintech, Regulatory Arbitrage, '!A:A,'Fintech, Regulatory Arbitrage, '!C:C,"")</f>
        <v/>
      </c>
    </row>
    <row r="5581">
      <c r="A5581" s="1" t="s">
        <v>5601</v>
      </c>
      <c r="B5581" s="2">
        <v>2.0</v>
      </c>
      <c r="C5581" s="4"/>
      <c r="E5581" s="4" t="str">
        <f t="array" ref="E5581">XLOOKUP(A5581,'Fintech, Regulatory Arbitrage, '!A:A,'Fintech, Regulatory Arbitrage, '!C:C,"")</f>
        <v/>
      </c>
    </row>
    <row r="5582">
      <c r="A5582" s="1" t="s">
        <v>5602</v>
      </c>
      <c r="B5582" s="2">
        <v>2.0</v>
      </c>
      <c r="C5582" s="4"/>
      <c r="E5582" s="4" t="str">
        <f t="array" ref="E5582">XLOOKUP(A5582,'Fintech, Regulatory Arbitrage, '!A:A,'Fintech, Regulatory Arbitrage, '!C:C,"")</f>
        <v/>
      </c>
    </row>
    <row r="5583">
      <c r="A5583" s="1" t="s">
        <v>5603</v>
      </c>
      <c r="B5583" s="2">
        <v>2.0</v>
      </c>
      <c r="C5583" s="4"/>
      <c r="E5583" s="4" t="str">
        <f t="array" ref="E5583">XLOOKUP(A5583,'Fintech, Regulatory Arbitrage, '!A:A,'Fintech, Regulatory Arbitrage, '!C:C,"")</f>
        <v/>
      </c>
    </row>
    <row r="5584">
      <c r="A5584" s="1" t="s">
        <v>5604</v>
      </c>
      <c r="B5584" s="2">
        <v>2.0</v>
      </c>
      <c r="C5584" s="4"/>
      <c r="E5584" s="4" t="str">
        <f t="array" ref="E5584">XLOOKUP(A5584,'Fintech, Regulatory Arbitrage, '!A:A,'Fintech, Regulatory Arbitrage, '!C:C,"")</f>
        <v/>
      </c>
    </row>
    <row r="5585">
      <c r="A5585" s="1" t="s">
        <v>5605</v>
      </c>
      <c r="B5585" s="2">
        <v>2.0</v>
      </c>
      <c r="C5585" s="4"/>
      <c r="E5585" s="4" t="str">
        <f t="array" ref="E5585">XLOOKUP(A5585,'Fintech, Regulatory Arbitrage, '!A:A,'Fintech, Regulatory Arbitrage, '!C:C,"")</f>
        <v/>
      </c>
    </row>
    <row r="5586">
      <c r="A5586" s="1" t="s">
        <v>5606</v>
      </c>
      <c r="B5586" s="2">
        <v>2.0</v>
      </c>
      <c r="C5586" s="4"/>
      <c r="E5586" s="4" t="str">
        <f t="array" ref="E5586">XLOOKUP(A5586,'Fintech, Regulatory Arbitrage, '!A:A,'Fintech, Regulatory Arbitrage, '!C:C,"")</f>
        <v/>
      </c>
    </row>
    <row r="5587">
      <c r="A5587" s="1" t="s">
        <v>5607</v>
      </c>
      <c r="B5587" s="2">
        <v>2.0</v>
      </c>
      <c r="C5587" s="4"/>
      <c r="E5587" s="4" t="str">
        <f t="array" ref="E5587">XLOOKUP(A5587,'Fintech, Regulatory Arbitrage, '!A:A,'Fintech, Regulatory Arbitrage, '!C:C,"")</f>
        <v/>
      </c>
    </row>
    <row r="5588">
      <c r="A5588" s="1" t="s">
        <v>5608</v>
      </c>
      <c r="B5588" s="2">
        <v>2.0</v>
      </c>
      <c r="C5588" s="4"/>
      <c r="E5588" s="4" t="str">
        <f t="array" ref="E5588">XLOOKUP(A5588,'Fintech, Regulatory Arbitrage, '!A:A,'Fintech, Regulatory Arbitrage, '!C:C,"")</f>
        <v/>
      </c>
    </row>
    <row r="5589">
      <c r="A5589" s="1" t="s">
        <v>5609</v>
      </c>
      <c r="B5589" s="2">
        <v>2.0</v>
      </c>
      <c r="C5589" s="4"/>
      <c r="E5589" s="4" t="str">
        <f t="array" ref="E5589">XLOOKUP(A5589,'Fintech, Regulatory Arbitrage, '!A:A,'Fintech, Regulatory Arbitrage, '!C:C,"")</f>
        <v/>
      </c>
    </row>
    <row r="5590">
      <c r="A5590" s="1" t="s">
        <v>5610</v>
      </c>
      <c r="B5590" s="2">
        <v>2.0</v>
      </c>
      <c r="C5590" s="4"/>
      <c r="E5590" s="4" t="str">
        <f t="array" ref="E5590">XLOOKUP(A5590,'Fintech, Regulatory Arbitrage, '!A:A,'Fintech, Regulatory Arbitrage, '!C:C,"")</f>
        <v/>
      </c>
    </row>
    <row r="5591">
      <c r="A5591" s="1" t="s">
        <v>5611</v>
      </c>
      <c r="B5591" s="2">
        <v>2.0</v>
      </c>
      <c r="C5591" s="4"/>
      <c r="E5591" s="4" t="str">
        <f t="array" ref="E5591">XLOOKUP(A5591,'Fintech, Regulatory Arbitrage, '!A:A,'Fintech, Regulatory Arbitrage, '!C:C,"")</f>
        <v/>
      </c>
    </row>
    <row r="5592">
      <c r="A5592" s="1" t="s">
        <v>5612</v>
      </c>
      <c r="B5592" s="2">
        <v>2.0</v>
      </c>
      <c r="C5592" s="4"/>
      <c r="E5592" s="4" t="str">
        <f t="array" ref="E5592">XLOOKUP(A5592,'Fintech, Regulatory Arbitrage, '!A:A,'Fintech, Regulatory Arbitrage, '!C:C,"")</f>
        <v/>
      </c>
    </row>
    <row r="5593">
      <c r="A5593" s="1" t="s">
        <v>5613</v>
      </c>
      <c r="B5593" s="2">
        <v>2.0</v>
      </c>
      <c r="C5593" s="4"/>
      <c r="E5593" s="4" t="str">
        <f t="array" ref="E5593">XLOOKUP(A5593,'Fintech, Regulatory Arbitrage, '!A:A,'Fintech, Regulatory Arbitrage, '!C:C,"")</f>
        <v/>
      </c>
    </row>
    <row r="5594">
      <c r="A5594" s="1" t="s">
        <v>5614</v>
      </c>
      <c r="B5594" s="2">
        <v>2.0</v>
      </c>
      <c r="C5594" s="4"/>
      <c r="E5594" s="4" t="str">
        <f t="array" ref="E5594">XLOOKUP(A5594,'Fintech, Regulatory Arbitrage, '!A:A,'Fintech, Regulatory Arbitrage, '!C:C,"")</f>
        <v/>
      </c>
    </row>
    <row r="5595">
      <c r="A5595" s="1" t="s">
        <v>5615</v>
      </c>
      <c r="B5595" s="2">
        <v>2.0</v>
      </c>
      <c r="C5595" s="4"/>
      <c r="E5595" s="4" t="str">
        <f t="array" ref="E5595">XLOOKUP(A5595,'Fintech, Regulatory Arbitrage, '!A:A,'Fintech, Regulatory Arbitrage, '!C:C,"")</f>
        <v/>
      </c>
    </row>
    <row r="5596">
      <c r="A5596" s="1" t="s">
        <v>5616</v>
      </c>
      <c r="B5596" s="2">
        <v>2.0</v>
      </c>
      <c r="C5596" s="4"/>
      <c r="E5596" s="4" t="str">
        <f t="array" ref="E5596">XLOOKUP(A5596,'Fintech, Regulatory Arbitrage, '!A:A,'Fintech, Regulatory Arbitrage, '!C:C,"")</f>
        <v/>
      </c>
    </row>
    <row r="5597">
      <c r="A5597" s="1" t="s">
        <v>5617</v>
      </c>
      <c r="B5597" s="2">
        <v>2.0</v>
      </c>
      <c r="C5597" s="4"/>
      <c r="E5597" s="4" t="str">
        <f t="array" ref="E5597">XLOOKUP(A5597,'Fintech, Regulatory Arbitrage, '!A:A,'Fintech, Regulatory Arbitrage, '!C:C,"")</f>
        <v/>
      </c>
    </row>
    <row r="5598">
      <c r="A5598" s="1" t="s">
        <v>5618</v>
      </c>
      <c r="B5598" s="2">
        <v>2.0</v>
      </c>
      <c r="C5598" s="4"/>
      <c r="E5598" s="4" t="str">
        <f t="array" ref="E5598">XLOOKUP(A5598,'Fintech, Regulatory Arbitrage, '!A:A,'Fintech, Regulatory Arbitrage, '!C:C,"")</f>
        <v/>
      </c>
    </row>
    <row r="5599">
      <c r="A5599" s="1" t="s">
        <v>5619</v>
      </c>
      <c r="B5599" s="2">
        <v>2.0</v>
      </c>
      <c r="C5599" s="4"/>
      <c r="E5599" s="4" t="str">
        <f t="array" ref="E5599">XLOOKUP(A5599,'Fintech, Regulatory Arbitrage, '!A:A,'Fintech, Regulatory Arbitrage, '!C:C,"")</f>
        <v/>
      </c>
    </row>
    <row r="5600">
      <c r="A5600" s="1" t="s">
        <v>5620</v>
      </c>
      <c r="B5600" s="2">
        <v>2.0</v>
      </c>
      <c r="C5600" s="4"/>
      <c r="E5600" s="4" t="str">
        <f t="array" ref="E5600">XLOOKUP(A5600,'Fintech, Regulatory Arbitrage, '!A:A,'Fintech, Regulatory Arbitrage, '!C:C,"")</f>
        <v/>
      </c>
    </row>
    <row r="5601">
      <c r="A5601" s="1" t="s">
        <v>5621</v>
      </c>
      <c r="B5601" s="2">
        <v>2.0</v>
      </c>
      <c r="C5601" s="4"/>
      <c r="E5601" s="4" t="str">
        <f t="array" ref="E5601">XLOOKUP(A5601,'Fintech, Regulatory Arbitrage, '!A:A,'Fintech, Regulatory Arbitrage, '!C:C,"")</f>
        <v/>
      </c>
    </row>
    <row r="5602">
      <c r="A5602" s="1" t="s">
        <v>5622</v>
      </c>
      <c r="B5602" s="2">
        <v>2.0</v>
      </c>
      <c r="C5602" s="4"/>
      <c r="E5602" s="4" t="str">
        <f t="array" ref="E5602">XLOOKUP(A5602,'Fintech, Regulatory Arbitrage, '!A:A,'Fintech, Regulatory Arbitrage, '!C:C,"")</f>
        <v/>
      </c>
    </row>
    <row r="5603">
      <c r="A5603" s="1" t="s">
        <v>5623</v>
      </c>
      <c r="B5603" s="2">
        <v>2.0</v>
      </c>
      <c r="C5603" s="4"/>
      <c r="E5603" s="4" t="str">
        <f t="array" ref="E5603">XLOOKUP(A5603,'Fintech, Regulatory Arbitrage, '!A:A,'Fintech, Regulatory Arbitrage, '!C:C,"")</f>
        <v/>
      </c>
    </row>
    <row r="5604">
      <c r="A5604" s="1" t="s">
        <v>5624</v>
      </c>
      <c r="B5604" s="2">
        <v>2.0</v>
      </c>
      <c r="C5604" s="4"/>
      <c r="E5604" s="4" t="str">
        <f t="array" ref="E5604">XLOOKUP(A5604,'Fintech, Regulatory Arbitrage, '!A:A,'Fintech, Regulatory Arbitrage, '!C:C,"")</f>
        <v/>
      </c>
    </row>
    <row r="5605">
      <c r="A5605" s="1" t="s">
        <v>5625</v>
      </c>
      <c r="B5605" s="2">
        <v>2.0</v>
      </c>
      <c r="C5605" s="4"/>
      <c r="E5605" s="4" t="str">
        <f t="array" ref="E5605">XLOOKUP(A5605,'Fintech, Regulatory Arbitrage, '!A:A,'Fintech, Regulatory Arbitrage, '!C:C,"")</f>
        <v/>
      </c>
    </row>
    <row r="5606">
      <c r="A5606" s="1" t="s">
        <v>5626</v>
      </c>
      <c r="B5606" s="2">
        <v>2.0</v>
      </c>
      <c r="C5606" s="4"/>
      <c r="E5606" s="4" t="str">
        <f t="array" ref="E5606">XLOOKUP(A5606,'Fintech, Regulatory Arbitrage, '!A:A,'Fintech, Regulatory Arbitrage, '!C:C,"")</f>
        <v/>
      </c>
    </row>
    <row r="5607">
      <c r="A5607" s="1" t="s">
        <v>5627</v>
      </c>
      <c r="B5607" s="2">
        <v>2.0</v>
      </c>
      <c r="C5607" s="4"/>
      <c r="E5607" s="4" t="str">
        <f t="array" ref="E5607">XLOOKUP(A5607,'Fintech, Regulatory Arbitrage, '!A:A,'Fintech, Regulatory Arbitrage, '!C:C,"")</f>
        <v/>
      </c>
    </row>
    <row r="5608">
      <c r="A5608" s="1" t="s">
        <v>5628</v>
      </c>
      <c r="B5608" s="2">
        <v>2.0</v>
      </c>
      <c r="C5608" s="4"/>
      <c r="E5608" s="4" t="str">
        <f t="array" ref="E5608">XLOOKUP(A5608,'Fintech, Regulatory Arbitrage, '!A:A,'Fintech, Regulatory Arbitrage, '!C:C,"")</f>
        <v/>
      </c>
    </row>
    <row r="5609">
      <c r="A5609" s="1" t="s">
        <v>5629</v>
      </c>
      <c r="B5609" s="2">
        <v>2.0</v>
      </c>
      <c r="C5609" s="4"/>
      <c r="E5609" s="4" t="str">
        <f t="array" ref="E5609">XLOOKUP(A5609,'Fintech, Regulatory Arbitrage, '!A:A,'Fintech, Regulatory Arbitrage, '!C:C,"")</f>
        <v/>
      </c>
    </row>
    <row r="5610">
      <c r="A5610" s="1" t="s">
        <v>5630</v>
      </c>
      <c r="B5610" s="2">
        <v>2.0</v>
      </c>
      <c r="C5610" s="4"/>
      <c r="E5610" s="4" t="str">
        <f t="array" ref="E5610">XLOOKUP(A5610,'Fintech, Regulatory Arbitrage, '!A:A,'Fintech, Regulatory Arbitrage, '!C:C,"")</f>
        <v/>
      </c>
    </row>
    <row r="5611">
      <c r="A5611" s="1" t="s">
        <v>5631</v>
      </c>
      <c r="B5611" s="2">
        <v>2.0</v>
      </c>
      <c r="C5611" s="4"/>
      <c r="E5611" s="4" t="str">
        <f t="array" ref="E5611">XLOOKUP(A5611,'Fintech, Regulatory Arbitrage, '!A:A,'Fintech, Regulatory Arbitrage, '!C:C,"")</f>
        <v/>
      </c>
    </row>
    <row r="5612">
      <c r="A5612" s="1" t="s">
        <v>5632</v>
      </c>
      <c r="B5612" s="2">
        <v>2.0</v>
      </c>
      <c r="C5612" s="4"/>
      <c r="E5612" s="4" t="str">
        <f t="array" ref="E5612">XLOOKUP(A5612,'Fintech, Regulatory Arbitrage, '!A:A,'Fintech, Regulatory Arbitrage, '!C:C,"")</f>
        <v/>
      </c>
    </row>
    <row r="5613">
      <c r="A5613" s="1" t="s">
        <v>5633</v>
      </c>
      <c r="B5613" s="2">
        <v>2.0</v>
      </c>
      <c r="C5613" s="4"/>
      <c r="E5613" s="4" t="str">
        <f t="array" ref="E5613">XLOOKUP(A5613,'Fintech, Regulatory Arbitrage, '!A:A,'Fintech, Regulatory Arbitrage, '!C:C,"")</f>
        <v/>
      </c>
    </row>
    <row r="5614">
      <c r="A5614" s="1" t="s">
        <v>5634</v>
      </c>
      <c r="B5614" s="2">
        <v>2.0</v>
      </c>
      <c r="C5614" s="4"/>
      <c r="E5614" s="4" t="str">
        <f t="array" ref="E5614">XLOOKUP(A5614,'Fintech, Regulatory Arbitrage, '!A:A,'Fintech, Regulatory Arbitrage, '!C:C,"")</f>
        <v/>
      </c>
    </row>
    <row r="5615">
      <c r="A5615" s="1" t="s">
        <v>5635</v>
      </c>
      <c r="B5615" s="2">
        <v>2.0</v>
      </c>
      <c r="C5615" s="4"/>
      <c r="E5615" s="4" t="str">
        <f t="array" ref="E5615">XLOOKUP(A5615,'Fintech, Regulatory Arbitrage, '!A:A,'Fintech, Regulatory Arbitrage, '!C:C,"")</f>
        <v/>
      </c>
    </row>
    <row r="5616">
      <c r="A5616" s="1" t="s">
        <v>5636</v>
      </c>
      <c r="B5616" s="2">
        <v>2.0</v>
      </c>
      <c r="C5616" s="4"/>
      <c r="E5616" s="4" t="str">
        <f t="array" ref="E5616">XLOOKUP(A5616,'Fintech, Regulatory Arbitrage, '!A:A,'Fintech, Regulatory Arbitrage, '!C:C,"")</f>
        <v/>
      </c>
    </row>
    <row r="5617">
      <c r="A5617" s="1" t="s">
        <v>5637</v>
      </c>
      <c r="B5617" s="2">
        <v>2.0</v>
      </c>
      <c r="C5617" s="4"/>
      <c r="E5617" s="4" t="str">
        <f t="array" ref="E5617">XLOOKUP(A5617,'Fintech, Regulatory Arbitrage, '!A:A,'Fintech, Regulatory Arbitrage, '!C:C,"")</f>
        <v/>
      </c>
    </row>
    <row r="5618">
      <c r="A5618" s="1" t="s">
        <v>5638</v>
      </c>
      <c r="B5618" s="2">
        <v>2.0</v>
      </c>
      <c r="C5618" s="4"/>
      <c r="E5618" s="4" t="str">
        <f t="array" ref="E5618">XLOOKUP(A5618,'Fintech, Regulatory Arbitrage, '!A:A,'Fintech, Regulatory Arbitrage, '!C:C,"")</f>
        <v/>
      </c>
    </row>
    <row r="5619">
      <c r="A5619" s="1" t="s">
        <v>5639</v>
      </c>
      <c r="B5619" s="2">
        <v>2.0</v>
      </c>
      <c r="C5619" s="4"/>
      <c r="E5619" s="4" t="str">
        <f t="array" ref="E5619">XLOOKUP(A5619,'Fintech, Regulatory Arbitrage, '!A:A,'Fintech, Regulatory Arbitrage, '!C:C,"")</f>
        <v/>
      </c>
    </row>
    <row r="5620">
      <c r="A5620" s="1" t="s">
        <v>5640</v>
      </c>
      <c r="B5620" s="2">
        <v>2.0</v>
      </c>
      <c r="C5620" s="4"/>
      <c r="E5620" s="4" t="str">
        <f t="array" ref="E5620">XLOOKUP(A5620,'Fintech, Regulatory Arbitrage, '!A:A,'Fintech, Regulatory Arbitrage, '!C:C,"")</f>
        <v/>
      </c>
    </row>
    <row r="5621">
      <c r="A5621" s="1" t="s">
        <v>5641</v>
      </c>
      <c r="B5621" s="2">
        <v>2.0</v>
      </c>
      <c r="C5621" s="4"/>
      <c r="E5621" s="4" t="str">
        <f t="array" ref="E5621">XLOOKUP(A5621,'Fintech, Regulatory Arbitrage, '!A:A,'Fintech, Regulatory Arbitrage, '!C:C,"")</f>
        <v/>
      </c>
    </row>
    <row r="5622">
      <c r="A5622" s="1" t="s">
        <v>5642</v>
      </c>
      <c r="B5622" s="2">
        <v>2.0</v>
      </c>
      <c r="C5622" s="4"/>
      <c r="E5622" s="4" t="str">
        <f t="array" ref="E5622">XLOOKUP(A5622,'Fintech, Regulatory Arbitrage, '!A:A,'Fintech, Regulatory Arbitrage, '!C:C,"")</f>
        <v/>
      </c>
    </row>
    <row r="5623">
      <c r="A5623" s="1" t="s">
        <v>5643</v>
      </c>
      <c r="B5623" s="2">
        <v>2.0</v>
      </c>
      <c r="C5623" s="4"/>
      <c r="E5623" s="4" t="str">
        <f t="array" ref="E5623">XLOOKUP(A5623,'Fintech, Regulatory Arbitrage, '!A:A,'Fintech, Regulatory Arbitrage, '!C:C,"")</f>
        <v/>
      </c>
    </row>
    <row r="5624">
      <c r="A5624" s="1" t="s">
        <v>5644</v>
      </c>
      <c r="B5624" s="2">
        <v>2.0</v>
      </c>
      <c r="C5624" s="4"/>
      <c r="E5624" s="4" t="str">
        <f t="array" ref="E5624">XLOOKUP(A5624,'Fintech, Regulatory Arbitrage, '!A:A,'Fintech, Regulatory Arbitrage, '!C:C,"")</f>
        <v/>
      </c>
    </row>
    <row r="5625">
      <c r="A5625" s="1" t="s">
        <v>5645</v>
      </c>
      <c r="B5625" s="2">
        <v>2.0</v>
      </c>
      <c r="C5625" s="4"/>
      <c r="E5625" s="4" t="str">
        <f t="array" ref="E5625">XLOOKUP(A5625,'Fintech, Regulatory Arbitrage, '!A:A,'Fintech, Regulatory Arbitrage, '!C:C,"")</f>
        <v/>
      </c>
    </row>
    <row r="5626">
      <c r="A5626" s="1" t="s">
        <v>5646</v>
      </c>
      <c r="B5626" s="2">
        <v>2.0</v>
      </c>
      <c r="C5626" s="4"/>
      <c r="E5626" s="4" t="str">
        <f t="array" ref="E5626">XLOOKUP(A5626,'Fintech, Regulatory Arbitrage, '!A:A,'Fintech, Regulatory Arbitrage, '!C:C,"")</f>
        <v/>
      </c>
    </row>
    <row r="5627">
      <c r="A5627" s="1" t="s">
        <v>5647</v>
      </c>
      <c r="B5627" s="2">
        <v>2.0</v>
      </c>
      <c r="C5627" s="4"/>
      <c r="E5627" s="4" t="str">
        <f t="array" ref="E5627">XLOOKUP(A5627,'Fintech, Regulatory Arbitrage, '!A:A,'Fintech, Regulatory Arbitrage, '!C:C,"")</f>
        <v/>
      </c>
    </row>
    <row r="5628">
      <c r="A5628" s="1" t="s">
        <v>5648</v>
      </c>
      <c r="B5628" s="2">
        <v>2.0</v>
      </c>
      <c r="C5628" s="4"/>
      <c r="E5628" s="4" t="str">
        <f t="array" ref="E5628">XLOOKUP(A5628,'Fintech, Regulatory Arbitrage, '!A:A,'Fintech, Regulatory Arbitrage, '!C:C,"")</f>
        <v/>
      </c>
    </row>
    <row r="5629">
      <c r="A5629" s="1" t="s">
        <v>5649</v>
      </c>
      <c r="B5629" s="2">
        <v>2.0</v>
      </c>
      <c r="C5629" s="4"/>
      <c r="E5629" s="4" t="str">
        <f t="array" ref="E5629">XLOOKUP(A5629,'Fintech, Regulatory Arbitrage, '!A:A,'Fintech, Regulatory Arbitrage, '!C:C,"")</f>
        <v/>
      </c>
    </row>
    <row r="5630">
      <c r="A5630" s="1" t="s">
        <v>5650</v>
      </c>
      <c r="B5630" s="2">
        <v>2.0</v>
      </c>
      <c r="C5630" s="4"/>
      <c r="E5630" s="4" t="str">
        <f t="array" ref="E5630">XLOOKUP(A5630,'Fintech, Regulatory Arbitrage, '!A:A,'Fintech, Regulatory Arbitrage, '!C:C,"")</f>
        <v/>
      </c>
    </row>
    <row r="5631">
      <c r="A5631" s="1" t="s">
        <v>5651</v>
      </c>
      <c r="B5631" s="2">
        <v>2.0</v>
      </c>
      <c r="C5631" s="4"/>
      <c r="E5631" s="4" t="str">
        <f t="array" ref="E5631">XLOOKUP(A5631,'Fintech, Regulatory Arbitrage, '!A:A,'Fintech, Regulatory Arbitrage, '!C:C,"")</f>
        <v/>
      </c>
    </row>
    <row r="5632">
      <c r="A5632" s="1" t="s">
        <v>5652</v>
      </c>
      <c r="B5632" s="2">
        <v>2.0</v>
      </c>
      <c r="C5632" s="4"/>
      <c r="E5632" s="4" t="str">
        <f t="array" ref="E5632">XLOOKUP(A5632,'Fintech, Regulatory Arbitrage, '!A:A,'Fintech, Regulatory Arbitrage, '!C:C,"")</f>
        <v/>
      </c>
    </row>
    <row r="5633">
      <c r="A5633" s="1" t="s">
        <v>5653</v>
      </c>
      <c r="B5633" s="2">
        <v>2.0</v>
      </c>
      <c r="C5633" s="4"/>
      <c r="E5633" s="4" t="str">
        <f t="array" ref="E5633">XLOOKUP(A5633,'Fintech, Regulatory Arbitrage, '!A:A,'Fintech, Regulatory Arbitrage, '!C:C,"")</f>
        <v/>
      </c>
    </row>
    <row r="5634">
      <c r="A5634" s="1" t="s">
        <v>5654</v>
      </c>
      <c r="B5634" s="2">
        <v>2.0</v>
      </c>
      <c r="C5634" s="4"/>
      <c r="E5634" s="4" t="str">
        <f t="array" ref="E5634">XLOOKUP(A5634,'Fintech, Regulatory Arbitrage, '!A:A,'Fintech, Regulatory Arbitrage, '!C:C,"")</f>
        <v/>
      </c>
    </row>
    <row r="5635">
      <c r="A5635" s="1" t="s">
        <v>5655</v>
      </c>
      <c r="B5635" s="2">
        <v>2.0</v>
      </c>
      <c r="C5635" s="4"/>
      <c r="E5635" s="4" t="str">
        <f t="array" ref="E5635">XLOOKUP(A5635,'Fintech, Regulatory Arbitrage, '!A:A,'Fintech, Regulatory Arbitrage, '!C:C,"")</f>
        <v/>
      </c>
    </row>
    <row r="5636">
      <c r="A5636" s="1" t="s">
        <v>5656</v>
      </c>
      <c r="B5636" s="2">
        <v>2.0</v>
      </c>
      <c r="C5636" s="4"/>
      <c r="E5636" s="4" t="str">
        <f t="array" ref="E5636">XLOOKUP(A5636,'Fintech, Regulatory Arbitrage, '!A:A,'Fintech, Regulatory Arbitrage, '!C:C,"")</f>
        <v/>
      </c>
    </row>
    <row r="5637">
      <c r="A5637" s="1" t="s">
        <v>5657</v>
      </c>
      <c r="B5637" s="2">
        <v>2.0</v>
      </c>
      <c r="C5637" s="4"/>
      <c r="E5637" s="4" t="str">
        <f t="array" ref="E5637">XLOOKUP(A5637,'Fintech, Regulatory Arbitrage, '!A:A,'Fintech, Regulatory Arbitrage, '!C:C,"")</f>
        <v/>
      </c>
    </row>
    <row r="5638">
      <c r="A5638" s="1" t="s">
        <v>5658</v>
      </c>
      <c r="B5638" s="2">
        <v>2.0</v>
      </c>
      <c r="C5638" s="4"/>
      <c r="E5638" s="4" t="str">
        <f t="array" ref="E5638">XLOOKUP(A5638,'Fintech, Regulatory Arbitrage, '!A:A,'Fintech, Regulatory Arbitrage, '!C:C,"")</f>
        <v/>
      </c>
    </row>
    <row r="5639">
      <c r="A5639" s="1" t="s">
        <v>5659</v>
      </c>
      <c r="B5639" s="2">
        <v>2.0</v>
      </c>
      <c r="C5639" s="4"/>
      <c r="E5639" s="4" t="str">
        <f t="array" ref="E5639">XLOOKUP(A5639,'Fintech, Regulatory Arbitrage, '!A:A,'Fintech, Regulatory Arbitrage, '!C:C,"")</f>
        <v/>
      </c>
    </row>
    <row r="5640">
      <c r="A5640" s="1" t="s">
        <v>5660</v>
      </c>
      <c r="B5640" s="2">
        <v>2.0</v>
      </c>
      <c r="C5640" s="4"/>
      <c r="E5640" s="4" t="str">
        <f t="array" ref="E5640">XLOOKUP(A5640,'Fintech, Regulatory Arbitrage, '!A:A,'Fintech, Regulatory Arbitrage, '!C:C,"")</f>
        <v/>
      </c>
    </row>
    <row r="5641">
      <c r="A5641" s="1" t="s">
        <v>5661</v>
      </c>
      <c r="B5641" s="2">
        <v>2.0</v>
      </c>
      <c r="C5641" s="4"/>
      <c r="E5641" s="4" t="str">
        <f t="array" ref="E5641">XLOOKUP(A5641,'Fintech, Regulatory Arbitrage, '!A:A,'Fintech, Regulatory Arbitrage, '!C:C,"")</f>
        <v/>
      </c>
    </row>
    <row r="5642">
      <c r="A5642" s="1" t="s">
        <v>5662</v>
      </c>
      <c r="B5642" s="2">
        <v>2.0</v>
      </c>
      <c r="C5642" s="4"/>
      <c r="E5642" s="4" t="str">
        <f t="array" ref="E5642">XLOOKUP(A5642,'Fintech, Regulatory Arbitrage, '!A:A,'Fintech, Regulatory Arbitrage, '!C:C,"")</f>
        <v/>
      </c>
    </row>
    <row r="5643">
      <c r="A5643" s="1" t="s">
        <v>5663</v>
      </c>
      <c r="B5643" s="2">
        <v>2.0</v>
      </c>
      <c r="C5643" s="4"/>
      <c r="E5643" s="4" t="str">
        <f t="array" ref="E5643">XLOOKUP(A5643,'Fintech, Regulatory Arbitrage, '!A:A,'Fintech, Regulatory Arbitrage, '!C:C,"")</f>
        <v/>
      </c>
    </row>
    <row r="5644">
      <c r="A5644" s="1" t="s">
        <v>5664</v>
      </c>
      <c r="B5644" s="2">
        <v>2.0</v>
      </c>
      <c r="C5644" s="4"/>
      <c r="E5644" s="4" t="str">
        <f t="array" ref="E5644">XLOOKUP(A5644,'Fintech, Regulatory Arbitrage, '!A:A,'Fintech, Regulatory Arbitrage, '!C:C,"")</f>
        <v/>
      </c>
    </row>
    <row r="5645">
      <c r="A5645" s="1" t="s">
        <v>5665</v>
      </c>
      <c r="B5645" s="2">
        <v>2.0</v>
      </c>
      <c r="C5645" s="4"/>
      <c r="E5645" s="4" t="str">
        <f t="array" ref="E5645">XLOOKUP(A5645,'Fintech, Regulatory Arbitrage, '!A:A,'Fintech, Regulatory Arbitrage, '!C:C,"")</f>
        <v/>
      </c>
    </row>
    <row r="5646">
      <c r="A5646" s="1" t="s">
        <v>5666</v>
      </c>
      <c r="B5646" s="2">
        <v>2.0</v>
      </c>
      <c r="C5646" s="4"/>
      <c r="E5646" s="4" t="str">
        <f t="array" ref="E5646">XLOOKUP(A5646,'Fintech, Regulatory Arbitrage, '!A:A,'Fintech, Regulatory Arbitrage, '!C:C,"")</f>
        <v/>
      </c>
    </row>
    <row r="5647">
      <c r="A5647" s="1" t="s">
        <v>5667</v>
      </c>
      <c r="B5647" s="2">
        <v>2.0</v>
      </c>
      <c r="C5647" s="4"/>
      <c r="E5647" s="4" t="str">
        <f t="array" ref="E5647">XLOOKUP(A5647,'Fintech, Regulatory Arbitrage, '!A:A,'Fintech, Regulatory Arbitrage, '!C:C,"")</f>
        <v/>
      </c>
    </row>
    <row r="5648">
      <c r="A5648" s="1" t="s">
        <v>5668</v>
      </c>
      <c r="B5648" s="2">
        <v>2.0</v>
      </c>
      <c r="C5648" s="4"/>
      <c r="E5648" s="4" t="str">
        <f t="array" ref="E5648">XLOOKUP(A5648,'Fintech, Regulatory Arbitrage, '!A:A,'Fintech, Regulatory Arbitrage, '!C:C,"")</f>
        <v/>
      </c>
    </row>
    <row r="5649">
      <c r="A5649" s="1" t="s">
        <v>5669</v>
      </c>
      <c r="B5649" s="2">
        <v>2.0</v>
      </c>
      <c r="C5649" s="4"/>
      <c r="E5649" s="4" t="str">
        <f t="array" ref="E5649">XLOOKUP(A5649,'Fintech, Regulatory Arbitrage, '!A:A,'Fintech, Regulatory Arbitrage, '!C:C,"")</f>
        <v/>
      </c>
    </row>
    <row r="5650">
      <c r="A5650" s="1" t="s">
        <v>5670</v>
      </c>
      <c r="B5650" s="2">
        <v>2.0</v>
      </c>
      <c r="C5650" s="4"/>
      <c r="E5650" s="4" t="str">
        <f t="array" ref="E5650">XLOOKUP(A5650,'Fintech, Regulatory Arbitrage, '!A:A,'Fintech, Regulatory Arbitrage, '!C:C,"")</f>
        <v/>
      </c>
    </row>
    <row r="5651">
      <c r="A5651" s="1" t="s">
        <v>5671</v>
      </c>
      <c r="B5651" s="2">
        <v>2.0</v>
      </c>
      <c r="C5651" s="4"/>
      <c r="E5651" s="4" t="str">
        <f t="array" ref="E5651">XLOOKUP(A5651,'Fintech, Regulatory Arbitrage, '!A:A,'Fintech, Regulatory Arbitrage, '!C:C,"")</f>
        <v/>
      </c>
    </row>
    <row r="5652">
      <c r="A5652" s="1" t="s">
        <v>5672</v>
      </c>
      <c r="B5652" s="2">
        <v>2.0</v>
      </c>
      <c r="C5652" s="4"/>
      <c r="E5652" s="4" t="str">
        <f t="array" ref="E5652">XLOOKUP(A5652,'Fintech, Regulatory Arbitrage, '!A:A,'Fintech, Regulatory Arbitrage, '!C:C,"")</f>
        <v/>
      </c>
    </row>
    <row r="5653">
      <c r="A5653" s="1" t="s">
        <v>5673</v>
      </c>
      <c r="B5653" s="2">
        <v>2.0</v>
      </c>
      <c r="C5653" s="4"/>
      <c r="E5653" s="4" t="str">
        <f t="array" ref="E5653">XLOOKUP(A5653,'Fintech, Regulatory Arbitrage, '!A:A,'Fintech, Regulatory Arbitrage, '!C:C,"")</f>
        <v/>
      </c>
    </row>
    <row r="5654">
      <c r="A5654" s="1" t="s">
        <v>5674</v>
      </c>
      <c r="B5654" s="2">
        <v>2.0</v>
      </c>
      <c r="C5654" s="4"/>
      <c r="E5654" s="4" t="str">
        <f t="array" ref="E5654">XLOOKUP(A5654,'Fintech, Regulatory Arbitrage, '!A:A,'Fintech, Regulatory Arbitrage, '!C:C,"")</f>
        <v/>
      </c>
    </row>
    <row r="5655">
      <c r="A5655" s="1" t="s">
        <v>5675</v>
      </c>
      <c r="B5655" s="2">
        <v>2.0</v>
      </c>
      <c r="C5655" s="4"/>
      <c r="E5655" s="4" t="str">
        <f t="array" ref="E5655">XLOOKUP(A5655,'Fintech, Regulatory Arbitrage, '!A:A,'Fintech, Regulatory Arbitrage, '!C:C,"")</f>
        <v/>
      </c>
    </row>
    <row r="5656">
      <c r="A5656" s="1" t="s">
        <v>5676</v>
      </c>
      <c r="B5656" s="2">
        <v>2.0</v>
      </c>
      <c r="C5656" s="4"/>
      <c r="E5656" s="4" t="str">
        <f t="array" ref="E5656">XLOOKUP(A5656,'Fintech, Regulatory Arbitrage, '!A:A,'Fintech, Regulatory Arbitrage, '!C:C,"")</f>
        <v/>
      </c>
    </row>
    <row r="5657">
      <c r="A5657" s="1" t="s">
        <v>5677</v>
      </c>
      <c r="B5657" s="2">
        <v>2.0</v>
      </c>
      <c r="C5657" s="4"/>
      <c r="E5657" s="4" t="str">
        <f t="array" ref="E5657">XLOOKUP(A5657,'Fintech, Regulatory Arbitrage, '!A:A,'Fintech, Regulatory Arbitrage, '!C:C,"")</f>
        <v/>
      </c>
    </row>
    <row r="5658">
      <c r="A5658" s="1" t="s">
        <v>5678</v>
      </c>
      <c r="B5658" s="2">
        <v>2.0</v>
      </c>
      <c r="C5658" s="4"/>
      <c r="E5658" s="4" t="str">
        <f t="array" ref="E5658">XLOOKUP(A5658,'Fintech, Regulatory Arbitrage, '!A:A,'Fintech, Regulatory Arbitrage, '!C:C,"")</f>
        <v/>
      </c>
    </row>
    <row r="5659">
      <c r="A5659" s="1" t="s">
        <v>5679</v>
      </c>
      <c r="B5659" s="2">
        <v>2.0</v>
      </c>
      <c r="C5659" s="4"/>
      <c r="E5659" s="4" t="str">
        <f t="array" ref="E5659">XLOOKUP(A5659,'Fintech, Regulatory Arbitrage, '!A:A,'Fintech, Regulatory Arbitrage, '!C:C,"")</f>
        <v/>
      </c>
    </row>
    <row r="5660">
      <c r="A5660" s="1" t="s">
        <v>5680</v>
      </c>
      <c r="B5660" s="2">
        <v>2.0</v>
      </c>
      <c r="C5660" s="4"/>
      <c r="E5660" s="4" t="str">
        <f t="array" ref="E5660">XLOOKUP(A5660,'Fintech, Regulatory Arbitrage, '!A:A,'Fintech, Regulatory Arbitrage, '!C:C,"")</f>
        <v/>
      </c>
    </row>
    <row r="5661">
      <c r="A5661" s="1" t="s">
        <v>5681</v>
      </c>
      <c r="B5661" s="2">
        <v>2.0</v>
      </c>
      <c r="C5661" s="4"/>
      <c r="E5661" s="4" t="str">
        <f t="array" ref="E5661">XLOOKUP(A5661,'Fintech, Regulatory Arbitrage, '!A:A,'Fintech, Regulatory Arbitrage, '!C:C,"")</f>
        <v/>
      </c>
    </row>
    <row r="5662">
      <c r="A5662" s="1" t="s">
        <v>5682</v>
      </c>
      <c r="B5662" s="2">
        <v>2.0</v>
      </c>
      <c r="C5662" s="4"/>
      <c r="E5662" s="4" t="str">
        <f t="array" ref="E5662">XLOOKUP(A5662,'Fintech, Regulatory Arbitrage, '!A:A,'Fintech, Regulatory Arbitrage, '!C:C,"")</f>
        <v/>
      </c>
    </row>
    <row r="5663">
      <c r="A5663" s="1" t="s">
        <v>5683</v>
      </c>
      <c r="B5663" s="2">
        <v>2.0</v>
      </c>
      <c r="C5663" s="4"/>
      <c r="E5663" s="4" t="str">
        <f t="array" ref="E5663">XLOOKUP(A5663,'Fintech, Regulatory Arbitrage, '!A:A,'Fintech, Regulatory Arbitrage, '!C:C,"")</f>
        <v/>
      </c>
    </row>
    <row r="5664">
      <c r="A5664" s="1" t="s">
        <v>5684</v>
      </c>
      <c r="B5664" s="2">
        <v>2.0</v>
      </c>
      <c r="C5664" s="4"/>
      <c r="E5664" s="4" t="str">
        <f t="array" ref="E5664">XLOOKUP(A5664,'Fintech, Regulatory Arbitrage, '!A:A,'Fintech, Regulatory Arbitrage, '!C:C,"")</f>
        <v/>
      </c>
    </row>
    <row r="5665">
      <c r="A5665" s="1" t="s">
        <v>5685</v>
      </c>
      <c r="B5665" s="2">
        <v>2.0</v>
      </c>
      <c r="C5665" s="4"/>
      <c r="E5665" s="4" t="str">
        <f t="array" ref="E5665">XLOOKUP(A5665,'Fintech, Regulatory Arbitrage, '!A:A,'Fintech, Regulatory Arbitrage, '!C:C,"")</f>
        <v/>
      </c>
    </row>
    <row r="5666">
      <c r="A5666" s="1" t="s">
        <v>5686</v>
      </c>
      <c r="B5666" s="2">
        <v>2.0</v>
      </c>
      <c r="C5666" s="4"/>
      <c r="E5666" s="4" t="str">
        <f t="array" ref="E5666">XLOOKUP(A5666,'Fintech, Regulatory Arbitrage, '!A:A,'Fintech, Regulatory Arbitrage, '!C:C,"")</f>
        <v/>
      </c>
    </row>
    <row r="5667">
      <c r="A5667" s="1" t="s">
        <v>5687</v>
      </c>
      <c r="B5667" s="2">
        <v>2.0</v>
      </c>
      <c r="C5667" s="4"/>
      <c r="E5667" s="4" t="str">
        <f t="array" ref="E5667">XLOOKUP(A5667,'Fintech, Regulatory Arbitrage, '!A:A,'Fintech, Regulatory Arbitrage, '!C:C,"")</f>
        <v/>
      </c>
    </row>
    <row r="5668">
      <c r="A5668" s="1" t="s">
        <v>5688</v>
      </c>
      <c r="B5668" s="2">
        <v>2.0</v>
      </c>
      <c r="C5668" s="4"/>
      <c r="E5668" s="4" t="str">
        <f t="array" ref="E5668">XLOOKUP(A5668,'Fintech, Regulatory Arbitrage, '!A:A,'Fintech, Regulatory Arbitrage, '!C:C,"")</f>
        <v/>
      </c>
    </row>
    <row r="5669">
      <c r="A5669" s="1" t="s">
        <v>5689</v>
      </c>
      <c r="B5669" s="2">
        <v>2.0</v>
      </c>
      <c r="C5669" s="4"/>
      <c r="E5669" s="4" t="str">
        <f t="array" ref="E5669">XLOOKUP(A5669,'Fintech, Regulatory Arbitrage, '!A:A,'Fintech, Regulatory Arbitrage, '!C:C,"")</f>
        <v/>
      </c>
    </row>
    <row r="5670">
      <c r="A5670" s="1" t="s">
        <v>5690</v>
      </c>
      <c r="B5670" s="2">
        <v>2.0</v>
      </c>
      <c r="C5670" s="4"/>
      <c r="E5670" s="4" t="str">
        <f t="array" ref="E5670">XLOOKUP(A5670,'Fintech, Regulatory Arbitrage, '!A:A,'Fintech, Regulatory Arbitrage, '!C:C,"")</f>
        <v/>
      </c>
    </row>
    <row r="5671">
      <c r="A5671" s="1" t="s">
        <v>5691</v>
      </c>
      <c r="B5671" s="2">
        <v>2.0</v>
      </c>
      <c r="C5671" s="4"/>
      <c r="E5671" s="4" t="str">
        <f t="array" ref="E5671">XLOOKUP(A5671,'Fintech, Regulatory Arbitrage, '!A:A,'Fintech, Regulatory Arbitrage, '!C:C,"")</f>
        <v/>
      </c>
    </row>
    <row r="5672">
      <c r="A5672" s="1" t="s">
        <v>5692</v>
      </c>
      <c r="B5672" s="2">
        <v>2.0</v>
      </c>
      <c r="C5672" s="4"/>
      <c r="E5672" s="4" t="str">
        <f t="array" ref="E5672">XLOOKUP(A5672,'Fintech, Regulatory Arbitrage, '!A:A,'Fintech, Regulatory Arbitrage, '!C:C,"")</f>
        <v/>
      </c>
    </row>
    <row r="5673">
      <c r="A5673" s="1" t="s">
        <v>5693</v>
      </c>
      <c r="B5673" s="2">
        <v>2.0</v>
      </c>
      <c r="C5673" s="4"/>
      <c r="E5673" s="4" t="str">
        <f t="array" ref="E5673">XLOOKUP(A5673,'Fintech, Regulatory Arbitrage, '!A:A,'Fintech, Regulatory Arbitrage, '!C:C,"")</f>
        <v/>
      </c>
    </row>
    <row r="5674">
      <c r="A5674" s="1" t="s">
        <v>5694</v>
      </c>
      <c r="B5674" s="2">
        <v>2.0</v>
      </c>
      <c r="C5674" s="4"/>
      <c r="E5674" s="4" t="str">
        <f t="array" ref="E5674">XLOOKUP(A5674,'Fintech, Regulatory Arbitrage, '!A:A,'Fintech, Regulatory Arbitrage, '!C:C,"")</f>
        <v/>
      </c>
    </row>
    <row r="5675">
      <c r="A5675" s="1" t="s">
        <v>5695</v>
      </c>
      <c r="B5675" s="2">
        <v>2.0</v>
      </c>
      <c r="C5675" s="4"/>
      <c r="E5675" s="4" t="str">
        <f t="array" ref="E5675">XLOOKUP(A5675,'Fintech, Regulatory Arbitrage, '!A:A,'Fintech, Regulatory Arbitrage, '!C:C,"")</f>
        <v/>
      </c>
    </row>
    <row r="5676">
      <c r="A5676" s="1" t="s">
        <v>5696</v>
      </c>
      <c r="B5676" s="2">
        <v>2.0</v>
      </c>
      <c r="C5676" s="4"/>
      <c r="E5676" s="4" t="str">
        <f t="array" ref="E5676">XLOOKUP(A5676,'Fintech, Regulatory Arbitrage, '!A:A,'Fintech, Regulatory Arbitrage, '!C:C,"")</f>
        <v/>
      </c>
    </row>
    <row r="5677">
      <c r="A5677" s="1" t="s">
        <v>5697</v>
      </c>
      <c r="B5677" s="2">
        <v>2.0</v>
      </c>
      <c r="C5677" s="4"/>
      <c r="E5677" s="4" t="str">
        <f t="array" ref="E5677">XLOOKUP(A5677,'Fintech, Regulatory Arbitrage, '!A:A,'Fintech, Regulatory Arbitrage, '!C:C,"")</f>
        <v/>
      </c>
    </row>
    <row r="5678">
      <c r="A5678" s="1" t="s">
        <v>5698</v>
      </c>
      <c r="B5678" s="2">
        <v>2.0</v>
      </c>
      <c r="C5678" s="4"/>
      <c r="E5678" s="4" t="str">
        <f t="array" ref="E5678">XLOOKUP(A5678,'Fintech, Regulatory Arbitrage, '!A:A,'Fintech, Regulatory Arbitrage, '!C:C,"")</f>
        <v/>
      </c>
    </row>
    <row r="5679">
      <c r="A5679" s="1" t="s">
        <v>5699</v>
      </c>
      <c r="B5679" s="2">
        <v>2.0</v>
      </c>
      <c r="C5679" s="4"/>
      <c r="E5679" s="4" t="str">
        <f t="array" ref="E5679">XLOOKUP(A5679,'Fintech, Regulatory Arbitrage, '!A:A,'Fintech, Regulatory Arbitrage, '!C:C,"")</f>
        <v/>
      </c>
    </row>
    <row r="5680">
      <c r="A5680" s="1" t="s">
        <v>5700</v>
      </c>
      <c r="B5680" s="2">
        <v>2.0</v>
      </c>
      <c r="C5680" s="4"/>
      <c r="E5680" s="4" t="str">
        <f t="array" ref="E5680">XLOOKUP(A5680,'Fintech, Regulatory Arbitrage, '!A:A,'Fintech, Regulatory Arbitrage, '!C:C,"")</f>
        <v/>
      </c>
    </row>
    <row r="5681">
      <c r="A5681" s="1" t="s">
        <v>5701</v>
      </c>
      <c r="B5681" s="2">
        <v>2.0</v>
      </c>
      <c r="C5681" s="4"/>
      <c r="E5681" s="4" t="str">
        <f t="array" ref="E5681">XLOOKUP(A5681,'Fintech, Regulatory Arbitrage, '!A:A,'Fintech, Regulatory Arbitrage, '!C:C,"")</f>
        <v/>
      </c>
    </row>
    <row r="5682">
      <c r="A5682" s="1" t="s">
        <v>5702</v>
      </c>
      <c r="B5682" s="2">
        <v>2.0</v>
      </c>
      <c r="C5682" s="4"/>
      <c r="E5682" s="4" t="str">
        <f t="array" ref="E5682">XLOOKUP(A5682,'Fintech, Regulatory Arbitrage, '!A:A,'Fintech, Regulatory Arbitrage, '!C:C,"")</f>
        <v/>
      </c>
    </row>
    <row r="5683">
      <c r="A5683" s="1" t="s">
        <v>5703</v>
      </c>
      <c r="B5683" s="2">
        <v>2.0</v>
      </c>
      <c r="C5683" s="4"/>
      <c r="E5683" s="4" t="str">
        <f t="array" ref="E5683">XLOOKUP(A5683,'Fintech, Regulatory Arbitrage, '!A:A,'Fintech, Regulatory Arbitrage, '!C:C,"")</f>
        <v/>
      </c>
    </row>
    <row r="5684">
      <c r="A5684" s="1" t="s">
        <v>5704</v>
      </c>
      <c r="B5684" s="2">
        <v>2.0</v>
      </c>
      <c r="C5684" s="4"/>
      <c r="E5684" s="4" t="str">
        <f t="array" ref="E5684">XLOOKUP(A5684,'Fintech, Regulatory Arbitrage, '!A:A,'Fintech, Regulatory Arbitrage, '!C:C,"")</f>
        <v/>
      </c>
    </row>
    <row r="5685">
      <c r="A5685" s="1" t="s">
        <v>5705</v>
      </c>
      <c r="B5685" s="2">
        <v>2.0</v>
      </c>
      <c r="C5685" s="4"/>
      <c r="E5685" s="4" t="str">
        <f t="array" ref="E5685">XLOOKUP(A5685,'Fintech, Regulatory Arbitrage, '!A:A,'Fintech, Regulatory Arbitrage, '!C:C,"")</f>
        <v/>
      </c>
    </row>
    <row r="5686">
      <c r="A5686" s="1" t="s">
        <v>5706</v>
      </c>
      <c r="B5686" s="2">
        <v>2.0</v>
      </c>
      <c r="C5686" s="4"/>
      <c r="E5686" s="4" t="str">
        <f t="array" ref="E5686">XLOOKUP(A5686,'Fintech, Regulatory Arbitrage, '!A:A,'Fintech, Regulatory Arbitrage, '!C:C,"")</f>
        <v/>
      </c>
    </row>
    <row r="5687">
      <c r="A5687" s="1" t="s">
        <v>5707</v>
      </c>
      <c r="B5687" s="2">
        <v>2.0</v>
      </c>
      <c r="C5687" s="4"/>
      <c r="E5687" s="4" t="str">
        <f t="array" ref="E5687">XLOOKUP(A5687,'Fintech, Regulatory Arbitrage, '!A:A,'Fintech, Regulatory Arbitrage, '!C:C,"")</f>
        <v/>
      </c>
    </row>
    <row r="5688">
      <c r="A5688" s="1" t="s">
        <v>5708</v>
      </c>
      <c r="B5688" s="2">
        <v>2.0</v>
      </c>
      <c r="C5688" s="4"/>
      <c r="E5688" s="4" t="str">
        <f t="array" ref="E5688">XLOOKUP(A5688,'Fintech, Regulatory Arbitrage, '!A:A,'Fintech, Regulatory Arbitrage, '!C:C,"")</f>
        <v/>
      </c>
    </row>
    <row r="5689">
      <c r="A5689" s="1" t="s">
        <v>5709</v>
      </c>
      <c r="B5689" s="2">
        <v>2.0</v>
      </c>
      <c r="C5689" s="4"/>
      <c r="E5689" s="4" t="str">
        <f t="array" ref="E5689">XLOOKUP(A5689,'Fintech, Regulatory Arbitrage, '!A:A,'Fintech, Regulatory Arbitrage, '!C:C,"")</f>
        <v/>
      </c>
    </row>
    <row r="5690">
      <c r="A5690" s="1" t="s">
        <v>5710</v>
      </c>
      <c r="B5690" s="2">
        <v>2.0</v>
      </c>
      <c r="C5690" s="4"/>
      <c r="E5690" s="4" t="str">
        <f t="array" ref="E5690">XLOOKUP(A5690,'Fintech, Regulatory Arbitrage, '!A:A,'Fintech, Regulatory Arbitrage, '!C:C,"")</f>
        <v/>
      </c>
    </row>
    <row r="5691">
      <c r="A5691" s="1" t="s">
        <v>5711</v>
      </c>
      <c r="B5691" s="2">
        <v>2.0</v>
      </c>
      <c r="C5691" s="4"/>
      <c r="E5691" s="4" t="str">
        <f t="array" ref="E5691">XLOOKUP(A5691,'Fintech, Regulatory Arbitrage, '!A:A,'Fintech, Regulatory Arbitrage, '!C:C,"")</f>
        <v/>
      </c>
    </row>
    <row r="5692">
      <c r="A5692" s="1" t="s">
        <v>5712</v>
      </c>
      <c r="B5692" s="2">
        <v>2.0</v>
      </c>
      <c r="C5692" s="4"/>
      <c r="E5692" s="4" t="str">
        <f t="array" ref="E5692">XLOOKUP(A5692,'Fintech, Regulatory Arbitrage, '!A:A,'Fintech, Regulatory Arbitrage, '!C:C,"")</f>
        <v/>
      </c>
    </row>
    <row r="5693">
      <c r="A5693" s="1" t="s">
        <v>5713</v>
      </c>
      <c r="B5693" s="2">
        <v>2.0</v>
      </c>
      <c r="C5693" s="4"/>
      <c r="E5693" s="4" t="str">
        <f t="array" ref="E5693">XLOOKUP(A5693,'Fintech, Regulatory Arbitrage, '!A:A,'Fintech, Regulatory Arbitrage, '!C:C,"")</f>
        <v/>
      </c>
    </row>
    <row r="5694">
      <c r="A5694" s="1" t="s">
        <v>5714</v>
      </c>
      <c r="B5694" s="2">
        <v>2.0</v>
      </c>
      <c r="C5694" s="4"/>
      <c r="E5694" s="4" t="str">
        <f t="array" ref="E5694">XLOOKUP(A5694,'Fintech, Regulatory Arbitrage, '!A:A,'Fintech, Regulatory Arbitrage, '!C:C,"")</f>
        <v/>
      </c>
    </row>
    <row r="5695">
      <c r="A5695" s="1" t="s">
        <v>5715</v>
      </c>
      <c r="B5695" s="2">
        <v>2.0</v>
      </c>
      <c r="C5695" s="4"/>
      <c r="E5695" s="4" t="str">
        <f t="array" ref="E5695">XLOOKUP(A5695,'Fintech, Regulatory Arbitrage, '!A:A,'Fintech, Regulatory Arbitrage, '!C:C,"")</f>
        <v/>
      </c>
    </row>
    <row r="5696">
      <c r="A5696" s="1" t="s">
        <v>5716</v>
      </c>
      <c r="B5696" s="2">
        <v>2.0</v>
      </c>
      <c r="C5696" s="4"/>
      <c r="E5696" s="4" t="str">
        <f t="array" ref="E5696">XLOOKUP(A5696,'Fintech, Regulatory Arbitrage, '!A:A,'Fintech, Regulatory Arbitrage, '!C:C,"")</f>
        <v/>
      </c>
    </row>
    <row r="5697">
      <c r="A5697" s="1" t="s">
        <v>5717</v>
      </c>
      <c r="B5697" s="2">
        <v>2.0</v>
      </c>
      <c r="C5697" s="4"/>
      <c r="E5697" s="4" t="str">
        <f t="array" ref="E5697">XLOOKUP(A5697,'Fintech, Regulatory Arbitrage, '!A:A,'Fintech, Regulatory Arbitrage, '!C:C,"")</f>
        <v/>
      </c>
    </row>
    <row r="5698">
      <c r="A5698" s="1" t="s">
        <v>5718</v>
      </c>
      <c r="B5698" s="2">
        <v>2.0</v>
      </c>
      <c r="C5698" s="4"/>
      <c r="E5698" s="4" t="str">
        <f t="array" ref="E5698">XLOOKUP(A5698,'Fintech, Regulatory Arbitrage, '!A:A,'Fintech, Regulatory Arbitrage, '!C:C,"")</f>
        <v/>
      </c>
    </row>
    <row r="5699">
      <c r="A5699" s="1" t="s">
        <v>5719</v>
      </c>
      <c r="B5699" s="2">
        <v>2.0</v>
      </c>
      <c r="C5699" s="4"/>
      <c r="E5699" s="4" t="str">
        <f t="array" ref="E5699">XLOOKUP(A5699,'Fintech, Regulatory Arbitrage, '!A:A,'Fintech, Regulatory Arbitrage, '!C:C,"")</f>
        <v/>
      </c>
    </row>
    <row r="5700">
      <c r="A5700" s="1" t="s">
        <v>5720</v>
      </c>
      <c r="B5700" s="2">
        <v>2.0</v>
      </c>
      <c r="C5700" s="4"/>
      <c r="E5700" s="4" t="str">
        <f t="array" ref="E5700">XLOOKUP(A5700,'Fintech, Regulatory Arbitrage, '!A:A,'Fintech, Regulatory Arbitrage, '!C:C,"")</f>
        <v/>
      </c>
    </row>
    <row r="5701">
      <c r="A5701" s="1" t="s">
        <v>5721</v>
      </c>
      <c r="B5701" s="2">
        <v>2.0</v>
      </c>
      <c r="C5701" s="4"/>
      <c r="E5701" s="4" t="str">
        <f t="array" ref="E5701">XLOOKUP(A5701,'Fintech, Regulatory Arbitrage, '!A:A,'Fintech, Regulatory Arbitrage, '!C:C,"")</f>
        <v/>
      </c>
    </row>
    <row r="5702">
      <c r="A5702" s="1" t="s">
        <v>5722</v>
      </c>
      <c r="B5702" s="2">
        <v>2.0</v>
      </c>
      <c r="C5702" s="4"/>
      <c r="E5702" s="4" t="str">
        <f t="array" ref="E5702">XLOOKUP(A5702,'Fintech, Regulatory Arbitrage, '!A:A,'Fintech, Regulatory Arbitrage, '!C:C,"")</f>
        <v/>
      </c>
    </row>
    <row r="5703">
      <c r="A5703" s="1" t="s">
        <v>5723</v>
      </c>
      <c r="B5703" s="2">
        <v>2.0</v>
      </c>
      <c r="C5703" s="4"/>
      <c r="E5703" s="4" t="str">
        <f t="array" ref="E5703">XLOOKUP(A5703,'Fintech, Regulatory Arbitrage, '!A:A,'Fintech, Regulatory Arbitrage, '!C:C,"")</f>
        <v/>
      </c>
    </row>
    <row r="5704">
      <c r="A5704" s="1" t="s">
        <v>5724</v>
      </c>
      <c r="B5704" s="2">
        <v>2.0</v>
      </c>
      <c r="C5704" s="4"/>
      <c r="E5704" s="4" t="str">
        <f t="array" ref="E5704">XLOOKUP(A5704,'Fintech, Regulatory Arbitrage, '!A:A,'Fintech, Regulatory Arbitrage, '!C:C,"")</f>
        <v/>
      </c>
    </row>
    <row r="5705">
      <c r="A5705" s="1" t="s">
        <v>5725</v>
      </c>
      <c r="B5705" s="2">
        <v>2.0</v>
      </c>
      <c r="C5705" s="4"/>
      <c r="E5705" s="4" t="str">
        <f t="array" ref="E5705">XLOOKUP(A5705,'Fintech, Regulatory Arbitrage, '!A:A,'Fintech, Regulatory Arbitrage, '!C:C,"")</f>
        <v/>
      </c>
    </row>
    <row r="5706">
      <c r="A5706" s="1" t="s">
        <v>5726</v>
      </c>
      <c r="B5706" s="2">
        <v>2.0</v>
      </c>
      <c r="C5706" s="4"/>
      <c r="E5706" s="4" t="str">
        <f t="array" ref="E5706">XLOOKUP(A5706,'Fintech, Regulatory Arbitrage, '!A:A,'Fintech, Regulatory Arbitrage, '!C:C,"")</f>
        <v/>
      </c>
    </row>
    <row r="5707">
      <c r="A5707" s="1" t="s">
        <v>5727</v>
      </c>
      <c r="B5707" s="2">
        <v>2.0</v>
      </c>
      <c r="C5707" s="4"/>
      <c r="E5707" s="4" t="str">
        <f t="array" ref="E5707">XLOOKUP(A5707,'Fintech, Regulatory Arbitrage, '!A:A,'Fintech, Regulatory Arbitrage, '!C:C,"")</f>
        <v/>
      </c>
    </row>
    <row r="5708">
      <c r="A5708" s="1" t="s">
        <v>5728</v>
      </c>
      <c r="B5708" s="2">
        <v>2.0</v>
      </c>
      <c r="C5708" s="4"/>
      <c r="E5708" s="4" t="str">
        <f t="array" ref="E5708">XLOOKUP(A5708,'Fintech, Regulatory Arbitrage, '!A:A,'Fintech, Regulatory Arbitrage, '!C:C,"")</f>
        <v/>
      </c>
    </row>
    <row r="5709">
      <c r="A5709" s="1" t="s">
        <v>5729</v>
      </c>
      <c r="B5709" s="2">
        <v>2.0</v>
      </c>
      <c r="C5709" s="4"/>
      <c r="E5709" s="4" t="str">
        <f t="array" ref="E5709">XLOOKUP(A5709,'Fintech, Regulatory Arbitrage, '!A:A,'Fintech, Regulatory Arbitrage, '!C:C,"")</f>
        <v/>
      </c>
    </row>
    <row r="5710">
      <c r="A5710" s="1" t="s">
        <v>5730</v>
      </c>
      <c r="B5710" s="2">
        <v>2.0</v>
      </c>
      <c r="C5710" s="4"/>
      <c r="E5710" s="4" t="str">
        <f t="array" ref="E5710">XLOOKUP(A5710,'Fintech, Regulatory Arbitrage, '!A:A,'Fintech, Regulatory Arbitrage, '!C:C,"")</f>
        <v/>
      </c>
    </row>
    <row r="5711">
      <c r="A5711" s="1" t="s">
        <v>5731</v>
      </c>
      <c r="B5711" s="2">
        <v>2.0</v>
      </c>
      <c r="C5711" s="4"/>
      <c r="E5711" s="4" t="str">
        <f t="array" ref="E5711">XLOOKUP(A5711,'Fintech, Regulatory Arbitrage, '!A:A,'Fintech, Regulatory Arbitrage, '!C:C,"")</f>
        <v/>
      </c>
    </row>
    <row r="5712">
      <c r="A5712" s="1" t="s">
        <v>5732</v>
      </c>
      <c r="B5712" s="2">
        <v>2.0</v>
      </c>
      <c r="C5712" s="4"/>
      <c r="E5712" s="4" t="str">
        <f t="array" ref="E5712">XLOOKUP(A5712,'Fintech, Regulatory Arbitrage, '!A:A,'Fintech, Regulatory Arbitrage, '!C:C,"")</f>
        <v/>
      </c>
    </row>
    <row r="5713">
      <c r="A5713" s="1" t="s">
        <v>5733</v>
      </c>
      <c r="B5713" s="2">
        <v>2.0</v>
      </c>
      <c r="C5713" s="4"/>
      <c r="E5713" s="4" t="str">
        <f t="array" ref="E5713">XLOOKUP(A5713,'Fintech, Regulatory Arbitrage, '!A:A,'Fintech, Regulatory Arbitrage, '!C:C,"")</f>
        <v/>
      </c>
    </row>
    <row r="5714">
      <c r="A5714" s="1" t="s">
        <v>5734</v>
      </c>
      <c r="B5714" s="2">
        <v>2.0</v>
      </c>
      <c r="C5714" s="4"/>
      <c r="E5714" s="4" t="str">
        <f t="array" ref="E5714">XLOOKUP(A5714,'Fintech, Regulatory Arbitrage, '!A:A,'Fintech, Regulatory Arbitrage, '!C:C,"")</f>
        <v/>
      </c>
    </row>
    <row r="5715">
      <c r="A5715" s="1" t="s">
        <v>5735</v>
      </c>
      <c r="B5715" s="2">
        <v>2.0</v>
      </c>
      <c r="C5715" s="4"/>
      <c r="E5715" s="4" t="str">
        <f t="array" ref="E5715">XLOOKUP(A5715,'Fintech, Regulatory Arbitrage, '!A:A,'Fintech, Regulatory Arbitrage, '!C:C,"")</f>
        <v/>
      </c>
    </row>
    <row r="5716">
      <c r="A5716" s="1" t="s">
        <v>5736</v>
      </c>
      <c r="B5716" s="2">
        <v>2.0</v>
      </c>
      <c r="C5716" s="4"/>
      <c r="E5716" s="4" t="str">
        <f t="array" ref="E5716">XLOOKUP(A5716,'Fintech, Regulatory Arbitrage, '!A:A,'Fintech, Regulatory Arbitrage, '!C:C,"")</f>
        <v/>
      </c>
    </row>
    <row r="5717">
      <c r="A5717" s="1" t="s">
        <v>5737</v>
      </c>
      <c r="B5717" s="2">
        <v>2.0</v>
      </c>
      <c r="C5717" s="4"/>
      <c r="E5717" s="4" t="str">
        <f t="array" ref="E5717">XLOOKUP(A5717,'Fintech, Regulatory Arbitrage, '!A:A,'Fintech, Regulatory Arbitrage, '!C:C,"")</f>
        <v/>
      </c>
    </row>
    <row r="5718">
      <c r="A5718" s="1" t="s">
        <v>5738</v>
      </c>
      <c r="B5718" s="2">
        <v>2.0</v>
      </c>
      <c r="C5718" s="4"/>
      <c r="E5718" s="4" t="str">
        <f t="array" ref="E5718">XLOOKUP(A5718,'Fintech, Regulatory Arbitrage, '!A:A,'Fintech, Regulatory Arbitrage, '!C:C,"")</f>
        <v/>
      </c>
    </row>
    <row r="5719">
      <c r="A5719" s="1" t="s">
        <v>5739</v>
      </c>
      <c r="B5719" s="2">
        <v>2.0</v>
      </c>
      <c r="C5719" s="4"/>
      <c r="E5719" s="4" t="str">
        <f t="array" ref="E5719">XLOOKUP(A5719,'Fintech, Regulatory Arbitrage, '!A:A,'Fintech, Regulatory Arbitrage, '!C:C,"")</f>
        <v/>
      </c>
    </row>
    <row r="5720">
      <c r="A5720" s="1" t="s">
        <v>5740</v>
      </c>
      <c r="B5720" s="2">
        <v>2.0</v>
      </c>
      <c r="C5720" s="4"/>
      <c r="E5720" s="4" t="str">
        <f t="array" ref="E5720">XLOOKUP(A5720,'Fintech, Regulatory Arbitrage, '!A:A,'Fintech, Regulatory Arbitrage, '!C:C,"")</f>
        <v/>
      </c>
    </row>
    <row r="5721">
      <c r="A5721" s="1" t="s">
        <v>5741</v>
      </c>
      <c r="B5721" s="2">
        <v>2.0</v>
      </c>
      <c r="C5721" s="4"/>
      <c r="E5721" s="4" t="str">
        <f t="array" ref="E5721">XLOOKUP(A5721,'Fintech, Regulatory Arbitrage, '!A:A,'Fintech, Regulatory Arbitrage, '!C:C,"")</f>
        <v/>
      </c>
    </row>
    <row r="5722">
      <c r="A5722" s="1" t="s">
        <v>5742</v>
      </c>
      <c r="B5722" s="2">
        <v>2.0</v>
      </c>
      <c r="C5722" s="4"/>
      <c r="E5722" s="4" t="str">
        <f t="array" ref="E5722">XLOOKUP(A5722,'Fintech, Regulatory Arbitrage, '!A:A,'Fintech, Regulatory Arbitrage, '!C:C,"")</f>
        <v/>
      </c>
    </row>
    <row r="5723">
      <c r="A5723" s="1" t="s">
        <v>5743</v>
      </c>
      <c r="B5723" s="2">
        <v>2.0</v>
      </c>
      <c r="C5723" s="4"/>
      <c r="E5723" s="4" t="str">
        <f t="array" ref="E5723">XLOOKUP(A5723,'Fintech, Regulatory Arbitrage, '!A:A,'Fintech, Regulatory Arbitrage, '!C:C,"")</f>
        <v/>
      </c>
    </row>
    <row r="5724">
      <c r="A5724" s="1" t="s">
        <v>5744</v>
      </c>
      <c r="B5724" s="2">
        <v>2.0</v>
      </c>
      <c r="C5724" s="4"/>
      <c r="E5724" s="4" t="str">
        <f t="array" ref="E5724">XLOOKUP(A5724,'Fintech, Regulatory Arbitrage, '!A:A,'Fintech, Regulatory Arbitrage, '!C:C,"")</f>
        <v/>
      </c>
    </row>
    <row r="5725">
      <c r="A5725" s="1" t="s">
        <v>5745</v>
      </c>
      <c r="B5725" s="2">
        <v>2.0</v>
      </c>
      <c r="C5725" s="4"/>
      <c r="E5725" s="4" t="str">
        <f t="array" ref="E5725">XLOOKUP(A5725,'Fintech, Regulatory Arbitrage, '!A:A,'Fintech, Regulatory Arbitrage, '!C:C,"")</f>
        <v/>
      </c>
    </row>
    <row r="5726">
      <c r="A5726" s="1" t="s">
        <v>5746</v>
      </c>
      <c r="B5726" s="2">
        <v>2.0</v>
      </c>
      <c r="C5726" s="4"/>
      <c r="E5726" s="4" t="str">
        <f t="array" ref="E5726">XLOOKUP(A5726,'Fintech, Regulatory Arbitrage, '!A:A,'Fintech, Regulatory Arbitrage, '!C:C,"")</f>
        <v/>
      </c>
    </row>
    <row r="5727">
      <c r="A5727" s="1" t="s">
        <v>5747</v>
      </c>
      <c r="B5727" s="2">
        <v>2.0</v>
      </c>
      <c r="C5727" s="4"/>
      <c r="E5727" s="4" t="str">
        <f t="array" ref="E5727">XLOOKUP(A5727,'Fintech, Regulatory Arbitrage, '!A:A,'Fintech, Regulatory Arbitrage, '!C:C,"")</f>
        <v/>
      </c>
    </row>
    <row r="5728">
      <c r="A5728" s="1" t="s">
        <v>5748</v>
      </c>
      <c r="B5728" s="2">
        <v>2.0</v>
      </c>
      <c r="C5728" s="4"/>
      <c r="E5728" s="4" t="str">
        <f t="array" ref="E5728">XLOOKUP(A5728,'Fintech, Regulatory Arbitrage, '!A:A,'Fintech, Regulatory Arbitrage, '!C:C,"")</f>
        <v/>
      </c>
    </row>
    <row r="5729">
      <c r="A5729" s="1" t="s">
        <v>5749</v>
      </c>
      <c r="B5729" s="2">
        <v>2.0</v>
      </c>
      <c r="C5729" s="4"/>
      <c r="E5729" s="4" t="str">
        <f t="array" ref="E5729">XLOOKUP(A5729,'Fintech, Regulatory Arbitrage, '!A:A,'Fintech, Regulatory Arbitrage, '!C:C,"")</f>
        <v/>
      </c>
    </row>
    <row r="5730">
      <c r="A5730" s="1" t="s">
        <v>5750</v>
      </c>
      <c r="B5730" s="2">
        <v>2.0</v>
      </c>
      <c r="C5730" s="4"/>
      <c r="E5730" s="4" t="str">
        <f t="array" ref="E5730">XLOOKUP(A5730,'Fintech, Regulatory Arbitrage, '!A:A,'Fintech, Regulatory Arbitrage, '!C:C,"")</f>
        <v/>
      </c>
    </row>
    <row r="5731">
      <c r="A5731" s="1" t="s">
        <v>5751</v>
      </c>
      <c r="B5731" s="2">
        <v>2.0</v>
      </c>
      <c r="C5731" s="4"/>
      <c r="E5731" s="4" t="str">
        <f t="array" ref="E5731">XLOOKUP(A5731,'Fintech, Regulatory Arbitrage, '!A:A,'Fintech, Regulatory Arbitrage, '!C:C,"")</f>
        <v/>
      </c>
    </row>
    <row r="5732">
      <c r="A5732" s="1" t="s">
        <v>5752</v>
      </c>
      <c r="B5732" s="2">
        <v>2.0</v>
      </c>
      <c r="C5732" s="4"/>
      <c r="E5732" s="4" t="str">
        <f t="array" ref="E5732">XLOOKUP(A5732,'Fintech, Regulatory Arbitrage, '!A:A,'Fintech, Regulatory Arbitrage, '!C:C,"")</f>
        <v/>
      </c>
    </row>
    <row r="5733">
      <c r="A5733" s="1" t="s">
        <v>5753</v>
      </c>
      <c r="B5733" s="2">
        <v>2.0</v>
      </c>
      <c r="C5733" s="4"/>
      <c r="E5733" s="4" t="str">
        <f t="array" ref="E5733">XLOOKUP(A5733,'Fintech, Regulatory Arbitrage, '!A:A,'Fintech, Regulatory Arbitrage, '!C:C,"")</f>
        <v/>
      </c>
    </row>
    <row r="5734">
      <c r="A5734" s="1" t="s">
        <v>5754</v>
      </c>
      <c r="B5734" s="2">
        <v>2.0</v>
      </c>
      <c r="C5734" s="4"/>
      <c r="E5734" s="4" t="str">
        <f t="array" ref="E5734">XLOOKUP(A5734,'Fintech, Regulatory Arbitrage, '!A:A,'Fintech, Regulatory Arbitrage, '!C:C,"")</f>
        <v/>
      </c>
    </row>
    <row r="5735">
      <c r="A5735" s="1" t="s">
        <v>5755</v>
      </c>
      <c r="B5735" s="2">
        <v>2.0</v>
      </c>
      <c r="C5735" s="4"/>
      <c r="E5735" s="4" t="str">
        <f t="array" ref="E5735">XLOOKUP(A5735,'Fintech, Regulatory Arbitrage, '!A:A,'Fintech, Regulatory Arbitrage, '!C:C,"")</f>
        <v/>
      </c>
    </row>
    <row r="5736">
      <c r="A5736" s="1" t="s">
        <v>5756</v>
      </c>
      <c r="B5736" s="2">
        <v>2.0</v>
      </c>
      <c r="C5736" s="4"/>
      <c r="E5736" s="4" t="str">
        <f t="array" ref="E5736">XLOOKUP(A5736,'Fintech, Regulatory Arbitrage, '!A:A,'Fintech, Regulatory Arbitrage, '!C:C,"")</f>
        <v/>
      </c>
    </row>
    <row r="5737">
      <c r="A5737" s="1" t="s">
        <v>5757</v>
      </c>
      <c r="B5737" s="2">
        <v>2.0</v>
      </c>
      <c r="C5737" s="4"/>
      <c r="E5737" s="4" t="str">
        <f t="array" ref="E5737">XLOOKUP(A5737,'Fintech, Regulatory Arbitrage, '!A:A,'Fintech, Regulatory Arbitrage, '!C:C,"")</f>
        <v/>
      </c>
    </row>
    <row r="5738">
      <c r="A5738" s="1" t="s">
        <v>5758</v>
      </c>
      <c r="B5738" s="2">
        <v>2.0</v>
      </c>
      <c r="C5738" s="4"/>
      <c r="E5738" s="4" t="str">
        <f t="array" ref="E5738">XLOOKUP(A5738,'Fintech, Regulatory Arbitrage, '!A:A,'Fintech, Regulatory Arbitrage, '!C:C,"")</f>
        <v/>
      </c>
    </row>
    <row r="5739">
      <c r="A5739" s="1" t="s">
        <v>5759</v>
      </c>
      <c r="B5739" s="2">
        <v>2.0</v>
      </c>
      <c r="C5739" s="4"/>
      <c r="E5739" s="4" t="str">
        <f t="array" ref="E5739">XLOOKUP(A5739,'Fintech, Regulatory Arbitrage, '!A:A,'Fintech, Regulatory Arbitrage, '!C:C,"")</f>
        <v/>
      </c>
    </row>
    <row r="5740">
      <c r="A5740" s="1" t="s">
        <v>5760</v>
      </c>
      <c r="B5740" s="2">
        <v>2.0</v>
      </c>
      <c r="C5740" s="4"/>
      <c r="E5740" s="4" t="str">
        <f t="array" ref="E5740">XLOOKUP(A5740,'Fintech, Regulatory Arbitrage, '!A:A,'Fintech, Regulatory Arbitrage, '!C:C,"")</f>
        <v/>
      </c>
    </row>
    <row r="5741">
      <c r="A5741" s="1" t="s">
        <v>5761</v>
      </c>
      <c r="B5741" s="2">
        <v>2.0</v>
      </c>
      <c r="C5741" s="4"/>
      <c r="E5741" s="4" t="str">
        <f t="array" ref="E5741">XLOOKUP(A5741,'Fintech, Regulatory Arbitrage, '!A:A,'Fintech, Regulatory Arbitrage, '!C:C,"")</f>
        <v/>
      </c>
    </row>
    <row r="5742">
      <c r="A5742" s="1" t="s">
        <v>5762</v>
      </c>
      <c r="B5742" s="2">
        <v>2.0</v>
      </c>
      <c r="C5742" s="4"/>
      <c r="E5742" s="4" t="str">
        <f t="array" ref="E5742">XLOOKUP(A5742,'Fintech, Regulatory Arbitrage, '!A:A,'Fintech, Regulatory Arbitrage, '!C:C,"")</f>
        <v/>
      </c>
    </row>
    <row r="5743">
      <c r="A5743" s="1" t="s">
        <v>5763</v>
      </c>
      <c r="B5743" s="2">
        <v>2.0</v>
      </c>
      <c r="C5743" s="4"/>
      <c r="E5743" s="4" t="str">
        <f t="array" ref="E5743">XLOOKUP(A5743,'Fintech, Regulatory Arbitrage, '!A:A,'Fintech, Regulatory Arbitrage, '!C:C,"")</f>
        <v/>
      </c>
    </row>
    <row r="5744">
      <c r="A5744" s="1" t="s">
        <v>5764</v>
      </c>
      <c r="B5744" s="2">
        <v>2.0</v>
      </c>
      <c r="C5744" s="4"/>
      <c r="E5744" s="4" t="str">
        <f t="array" ref="E5744">XLOOKUP(A5744,'Fintech, Regulatory Arbitrage, '!A:A,'Fintech, Regulatory Arbitrage, '!C:C,"")</f>
        <v/>
      </c>
    </row>
    <row r="5745">
      <c r="A5745" s="1" t="s">
        <v>5765</v>
      </c>
      <c r="B5745" s="2">
        <v>2.0</v>
      </c>
      <c r="C5745" s="4"/>
      <c r="E5745" s="4" t="str">
        <f t="array" ref="E5745">XLOOKUP(A5745,'Fintech, Regulatory Arbitrage, '!A:A,'Fintech, Regulatory Arbitrage, '!C:C,"")</f>
        <v/>
      </c>
    </row>
    <row r="5746">
      <c r="A5746" s="1" t="s">
        <v>5766</v>
      </c>
      <c r="B5746" s="2">
        <v>2.0</v>
      </c>
      <c r="C5746" s="4"/>
      <c r="E5746" s="4" t="str">
        <f t="array" ref="E5746">XLOOKUP(A5746,'Fintech, Regulatory Arbitrage, '!A:A,'Fintech, Regulatory Arbitrage, '!C:C,"")</f>
        <v/>
      </c>
    </row>
    <row r="5747">
      <c r="A5747" s="1" t="s">
        <v>5767</v>
      </c>
      <c r="B5747" s="2">
        <v>2.0</v>
      </c>
      <c r="C5747" s="4"/>
      <c r="E5747" s="4" t="str">
        <f t="array" ref="E5747">XLOOKUP(A5747,'Fintech, Regulatory Arbitrage, '!A:A,'Fintech, Regulatory Arbitrage, '!C:C,"")</f>
        <v/>
      </c>
    </row>
    <row r="5748">
      <c r="A5748" s="1" t="s">
        <v>5768</v>
      </c>
      <c r="B5748" s="2">
        <v>2.0</v>
      </c>
      <c r="C5748" s="4"/>
      <c r="E5748" s="4" t="str">
        <f t="array" ref="E5748">XLOOKUP(A5748,'Fintech, Regulatory Arbitrage, '!A:A,'Fintech, Regulatory Arbitrage, '!C:C,"")</f>
        <v/>
      </c>
    </row>
    <row r="5749">
      <c r="A5749" s="1" t="s">
        <v>5769</v>
      </c>
      <c r="B5749" s="2">
        <v>2.0</v>
      </c>
      <c r="C5749" s="4"/>
      <c r="E5749" s="4" t="str">
        <f t="array" ref="E5749">XLOOKUP(A5749,'Fintech, Regulatory Arbitrage, '!A:A,'Fintech, Regulatory Arbitrage, '!C:C,"")</f>
        <v/>
      </c>
    </row>
    <row r="5750">
      <c r="A5750" s="1" t="s">
        <v>5770</v>
      </c>
      <c r="B5750" s="2">
        <v>2.0</v>
      </c>
      <c r="C5750" s="4"/>
      <c r="E5750" s="4" t="str">
        <f t="array" ref="E5750">XLOOKUP(A5750,'Fintech, Regulatory Arbitrage, '!A:A,'Fintech, Regulatory Arbitrage, '!C:C,"")</f>
        <v/>
      </c>
    </row>
    <row r="5751">
      <c r="A5751" s="1" t="s">
        <v>5771</v>
      </c>
      <c r="B5751" s="2">
        <v>2.0</v>
      </c>
      <c r="C5751" s="4"/>
      <c r="E5751" s="4" t="str">
        <f t="array" ref="E5751">XLOOKUP(A5751,'Fintech, Regulatory Arbitrage, '!A:A,'Fintech, Regulatory Arbitrage, '!C:C,"")</f>
        <v/>
      </c>
    </row>
    <row r="5752">
      <c r="A5752" s="1" t="s">
        <v>5772</v>
      </c>
      <c r="B5752" s="2">
        <v>2.0</v>
      </c>
      <c r="C5752" s="4"/>
      <c r="E5752" s="4" t="str">
        <f t="array" ref="E5752">XLOOKUP(A5752,'Fintech, Regulatory Arbitrage, '!A:A,'Fintech, Regulatory Arbitrage, '!C:C,"")</f>
        <v/>
      </c>
    </row>
    <row r="5753">
      <c r="A5753" s="1" t="s">
        <v>5773</v>
      </c>
      <c r="B5753" s="2">
        <v>2.0</v>
      </c>
      <c r="C5753" s="4"/>
      <c r="E5753" s="4" t="str">
        <f t="array" ref="E5753">XLOOKUP(A5753,'Fintech, Regulatory Arbitrage, '!A:A,'Fintech, Regulatory Arbitrage, '!C:C,"")</f>
        <v/>
      </c>
    </row>
    <row r="5754">
      <c r="A5754" s="1" t="s">
        <v>5774</v>
      </c>
      <c r="B5754" s="2">
        <v>2.0</v>
      </c>
      <c r="C5754" s="4"/>
      <c r="E5754" s="4" t="str">
        <f t="array" ref="E5754">XLOOKUP(A5754,'Fintech, Regulatory Arbitrage, '!A:A,'Fintech, Regulatory Arbitrage, '!C:C,"")</f>
        <v/>
      </c>
    </row>
    <row r="5755">
      <c r="A5755" s="1" t="s">
        <v>5775</v>
      </c>
      <c r="B5755" s="2">
        <v>2.0</v>
      </c>
      <c r="C5755" s="4"/>
      <c r="E5755" s="4" t="str">
        <f t="array" ref="E5755">XLOOKUP(A5755,'Fintech, Regulatory Arbitrage, '!A:A,'Fintech, Regulatory Arbitrage, '!C:C,"")</f>
        <v/>
      </c>
    </row>
    <row r="5756">
      <c r="A5756" s="1" t="s">
        <v>5776</v>
      </c>
      <c r="B5756" s="2">
        <v>2.0</v>
      </c>
      <c r="C5756" s="4"/>
      <c r="E5756" s="4" t="str">
        <f t="array" ref="E5756">XLOOKUP(A5756,'Fintech, Regulatory Arbitrage, '!A:A,'Fintech, Regulatory Arbitrage, '!C:C,"")</f>
        <v/>
      </c>
    </row>
    <row r="5757">
      <c r="A5757" s="1" t="s">
        <v>5777</v>
      </c>
      <c r="B5757" s="2">
        <v>2.0</v>
      </c>
      <c r="C5757" s="4"/>
      <c r="E5757" s="4" t="str">
        <f t="array" ref="E5757">XLOOKUP(A5757,'Fintech, Regulatory Arbitrage, '!A:A,'Fintech, Regulatory Arbitrage, '!C:C,"")</f>
        <v/>
      </c>
    </row>
    <row r="5758">
      <c r="A5758" s="1" t="s">
        <v>5778</v>
      </c>
      <c r="B5758" s="2">
        <v>2.0</v>
      </c>
      <c r="C5758" s="4"/>
      <c r="E5758" s="4" t="str">
        <f t="array" ref="E5758">XLOOKUP(A5758,'Fintech, Regulatory Arbitrage, '!A:A,'Fintech, Regulatory Arbitrage, '!C:C,"")</f>
        <v/>
      </c>
    </row>
    <row r="5759">
      <c r="A5759" s="1" t="s">
        <v>5779</v>
      </c>
      <c r="B5759" s="2">
        <v>2.0</v>
      </c>
      <c r="C5759" s="4"/>
      <c r="E5759" s="4" t="str">
        <f t="array" ref="E5759">XLOOKUP(A5759,'Fintech, Regulatory Arbitrage, '!A:A,'Fintech, Regulatory Arbitrage, '!C:C,"")</f>
        <v/>
      </c>
    </row>
    <row r="5760">
      <c r="A5760" s="1" t="s">
        <v>5780</v>
      </c>
      <c r="B5760" s="2">
        <v>2.0</v>
      </c>
      <c r="C5760" s="4"/>
      <c r="E5760" s="4" t="str">
        <f t="array" ref="E5760">XLOOKUP(A5760,'Fintech, Regulatory Arbitrage, '!A:A,'Fintech, Regulatory Arbitrage, '!C:C,"")</f>
        <v/>
      </c>
    </row>
    <row r="5761">
      <c r="A5761" s="1" t="s">
        <v>5781</v>
      </c>
      <c r="B5761" s="2">
        <v>2.0</v>
      </c>
      <c r="C5761" s="4"/>
      <c r="E5761" s="4" t="str">
        <f t="array" ref="E5761">XLOOKUP(A5761,'Fintech, Regulatory Arbitrage, '!A:A,'Fintech, Regulatory Arbitrage, '!C:C,"")</f>
        <v/>
      </c>
    </row>
    <row r="5762">
      <c r="A5762" s="1" t="s">
        <v>5782</v>
      </c>
      <c r="B5762" s="2">
        <v>2.0</v>
      </c>
      <c r="C5762" s="4"/>
      <c r="E5762" s="4" t="str">
        <f t="array" ref="E5762">XLOOKUP(A5762,'Fintech, Regulatory Arbitrage, '!A:A,'Fintech, Regulatory Arbitrage, '!C:C,"")</f>
        <v/>
      </c>
    </row>
    <row r="5763">
      <c r="A5763" s="1" t="s">
        <v>5783</v>
      </c>
      <c r="B5763" s="2">
        <v>2.0</v>
      </c>
      <c r="C5763" s="4"/>
      <c r="E5763" s="4" t="str">
        <f t="array" ref="E5763">XLOOKUP(A5763,'Fintech, Regulatory Arbitrage, '!A:A,'Fintech, Regulatory Arbitrage, '!C:C,"")</f>
        <v/>
      </c>
    </row>
    <row r="5764">
      <c r="A5764" s="1" t="s">
        <v>5784</v>
      </c>
      <c r="B5764" s="2">
        <v>2.0</v>
      </c>
      <c r="C5764" s="4"/>
      <c r="E5764" s="4" t="str">
        <f t="array" ref="E5764">XLOOKUP(A5764,'Fintech, Regulatory Arbitrage, '!A:A,'Fintech, Regulatory Arbitrage, '!C:C,"")</f>
        <v/>
      </c>
    </row>
    <row r="5765">
      <c r="A5765" s="1" t="s">
        <v>5785</v>
      </c>
      <c r="B5765" s="2">
        <v>2.0</v>
      </c>
      <c r="C5765" s="4"/>
      <c r="E5765" s="4" t="str">
        <f t="array" ref="E5765">XLOOKUP(A5765,'Fintech, Regulatory Arbitrage, '!A:A,'Fintech, Regulatory Arbitrage, '!C:C,"")</f>
        <v/>
      </c>
    </row>
    <row r="5766">
      <c r="A5766" s="1" t="s">
        <v>5786</v>
      </c>
      <c r="B5766" s="2">
        <v>2.0</v>
      </c>
      <c r="C5766" s="4"/>
      <c r="E5766" s="4" t="str">
        <f t="array" ref="E5766">XLOOKUP(A5766,'Fintech, Regulatory Arbitrage, '!A:A,'Fintech, Regulatory Arbitrage, '!C:C,"")</f>
        <v/>
      </c>
    </row>
    <row r="5767">
      <c r="A5767" s="1" t="s">
        <v>5787</v>
      </c>
      <c r="B5767" s="2">
        <v>2.0</v>
      </c>
      <c r="C5767" s="4"/>
      <c r="E5767" s="4" t="str">
        <f t="array" ref="E5767">XLOOKUP(A5767,'Fintech, Regulatory Arbitrage, '!A:A,'Fintech, Regulatory Arbitrage, '!C:C,"")</f>
        <v/>
      </c>
    </row>
    <row r="5768">
      <c r="A5768" s="1" t="s">
        <v>5788</v>
      </c>
      <c r="B5768" s="2">
        <v>2.0</v>
      </c>
      <c r="C5768" s="4"/>
      <c r="E5768" s="4" t="str">
        <f t="array" ref="E5768">XLOOKUP(A5768,'Fintech, Regulatory Arbitrage, '!A:A,'Fintech, Regulatory Arbitrage, '!C:C,"")</f>
        <v/>
      </c>
    </row>
    <row r="5769">
      <c r="A5769" s="1" t="s">
        <v>5789</v>
      </c>
      <c r="B5769" s="2">
        <v>2.0</v>
      </c>
      <c r="C5769" s="4"/>
      <c r="E5769" s="4" t="str">
        <f t="array" ref="E5769">XLOOKUP(A5769,'Fintech, Regulatory Arbitrage, '!A:A,'Fintech, Regulatory Arbitrage, '!C:C,"")</f>
        <v/>
      </c>
    </row>
    <row r="5770">
      <c r="A5770" s="1" t="s">
        <v>5790</v>
      </c>
      <c r="B5770" s="2">
        <v>2.0</v>
      </c>
      <c r="C5770" s="4"/>
      <c r="E5770" s="4" t="str">
        <f t="array" ref="E5770">XLOOKUP(A5770,'Fintech, Regulatory Arbitrage, '!A:A,'Fintech, Regulatory Arbitrage, '!C:C,"")</f>
        <v/>
      </c>
    </row>
    <row r="5771">
      <c r="A5771" s="1" t="s">
        <v>5791</v>
      </c>
      <c r="B5771" s="2">
        <v>2.0</v>
      </c>
      <c r="C5771" s="4"/>
      <c r="E5771" s="4" t="str">
        <f t="array" ref="E5771">XLOOKUP(A5771,'Fintech, Regulatory Arbitrage, '!A:A,'Fintech, Regulatory Arbitrage, '!C:C,"")</f>
        <v/>
      </c>
    </row>
    <row r="5772">
      <c r="A5772" s="1" t="s">
        <v>5792</v>
      </c>
      <c r="B5772" s="2">
        <v>2.0</v>
      </c>
      <c r="C5772" s="4"/>
      <c r="E5772" s="4" t="str">
        <f t="array" ref="E5772">XLOOKUP(A5772,'Fintech, Regulatory Arbitrage, '!A:A,'Fintech, Regulatory Arbitrage, '!C:C,"")</f>
        <v/>
      </c>
    </row>
    <row r="5773">
      <c r="A5773" s="1" t="s">
        <v>5793</v>
      </c>
      <c r="B5773" s="2">
        <v>2.0</v>
      </c>
      <c r="C5773" s="4"/>
      <c r="E5773" s="4" t="str">
        <f t="array" ref="E5773">XLOOKUP(A5773,'Fintech, Regulatory Arbitrage, '!A:A,'Fintech, Regulatory Arbitrage, '!C:C,"")</f>
        <v/>
      </c>
    </row>
    <row r="5774">
      <c r="A5774" s="1" t="s">
        <v>5794</v>
      </c>
      <c r="B5774" s="2">
        <v>2.0</v>
      </c>
      <c r="C5774" s="4"/>
      <c r="E5774" s="4" t="str">
        <f t="array" ref="E5774">XLOOKUP(A5774,'Fintech, Regulatory Arbitrage, '!A:A,'Fintech, Regulatory Arbitrage, '!C:C,"")</f>
        <v/>
      </c>
    </row>
    <row r="5775">
      <c r="A5775" s="1" t="s">
        <v>5795</v>
      </c>
      <c r="B5775" s="2">
        <v>2.0</v>
      </c>
      <c r="C5775" s="4"/>
      <c r="E5775" s="4" t="str">
        <f t="array" ref="E5775">XLOOKUP(A5775,'Fintech, Regulatory Arbitrage, '!A:A,'Fintech, Regulatory Arbitrage, '!C:C,"")</f>
        <v/>
      </c>
    </row>
    <row r="5776">
      <c r="A5776" s="1" t="s">
        <v>5796</v>
      </c>
      <c r="B5776" s="2">
        <v>2.0</v>
      </c>
      <c r="C5776" s="4"/>
      <c r="E5776" s="4" t="str">
        <f t="array" ref="E5776">XLOOKUP(A5776,'Fintech, Regulatory Arbitrage, '!A:A,'Fintech, Regulatory Arbitrage, '!C:C,"")</f>
        <v/>
      </c>
    </row>
    <row r="5777">
      <c r="A5777" s="1" t="s">
        <v>5797</v>
      </c>
      <c r="B5777" s="2">
        <v>2.0</v>
      </c>
      <c r="C5777" s="4"/>
      <c r="E5777" s="4" t="str">
        <f t="array" ref="E5777">XLOOKUP(A5777,'Fintech, Regulatory Arbitrage, '!A:A,'Fintech, Regulatory Arbitrage, '!C:C,"")</f>
        <v/>
      </c>
    </row>
    <row r="5778">
      <c r="A5778" s="1" t="s">
        <v>5798</v>
      </c>
      <c r="B5778" s="2">
        <v>2.0</v>
      </c>
      <c r="C5778" s="4"/>
      <c r="E5778" s="4" t="str">
        <f t="array" ref="E5778">XLOOKUP(A5778,'Fintech, Regulatory Arbitrage, '!A:A,'Fintech, Regulatory Arbitrage, '!C:C,"")</f>
        <v/>
      </c>
    </row>
    <row r="5779">
      <c r="A5779" s="1" t="s">
        <v>5799</v>
      </c>
      <c r="B5779" s="2">
        <v>2.0</v>
      </c>
      <c r="C5779" s="4"/>
      <c r="E5779" s="4" t="str">
        <f t="array" ref="E5779">XLOOKUP(A5779,'Fintech, Regulatory Arbitrage, '!A:A,'Fintech, Regulatory Arbitrage, '!C:C,"")</f>
        <v/>
      </c>
    </row>
    <row r="5780">
      <c r="A5780" s="1" t="s">
        <v>5800</v>
      </c>
      <c r="B5780" s="2">
        <v>2.0</v>
      </c>
      <c r="C5780" s="4"/>
      <c r="E5780" s="4" t="str">
        <f t="array" ref="E5780">XLOOKUP(A5780,'Fintech, Regulatory Arbitrage, '!A:A,'Fintech, Regulatory Arbitrage, '!C:C,"")</f>
        <v/>
      </c>
    </row>
    <row r="5781">
      <c r="A5781" s="1" t="s">
        <v>5801</v>
      </c>
      <c r="B5781" s="2">
        <v>2.0</v>
      </c>
      <c r="C5781" s="4"/>
      <c r="E5781" s="4" t="str">
        <f t="array" ref="E5781">XLOOKUP(A5781,'Fintech, Regulatory Arbitrage, '!A:A,'Fintech, Regulatory Arbitrage, '!C:C,"")</f>
        <v/>
      </c>
    </row>
    <row r="5782">
      <c r="A5782" s="1" t="s">
        <v>5802</v>
      </c>
      <c r="B5782" s="2">
        <v>2.0</v>
      </c>
      <c r="C5782" s="4"/>
      <c r="E5782" s="4" t="str">
        <f t="array" ref="E5782">XLOOKUP(A5782,'Fintech, Regulatory Arbitrage, '!A:A,'Fintech, Regulatory Arbitrage, '!C:C,"")</f>
        <v/>
      </c>
    </row>
    <row r="5783">
      <c r="A5783" s="1" t="s">
        <v>5803</v>
      </c>
      <c r="B5783" s="2">
        <v>2.0</v>
      </c>
      <c r="C5783" s="4"/>
      <c r="E5783" s="4" t="str">
        <f t="array" ref="E5783">XLOOKUP(A5783,'Fintech, Regulatory Arbitrage, '!A:A,'Fintech, Regulatory Arbitrage, '!C:C,"")</f>
        <v/>
      </c>
    </row>
    <row r="5784">
      <c r="A5784" s="1" t="s">
        <v>5804</v>
      </c>
      <c r="B5784" s="2">
        <v>2.0</v>
      </c>
      <c r="C5784" s="4"/>
      <c r="E5784" s="4" t="str">
        <f t="array" ref="E5784">XLOOKUP(A5784,'Fintech, Regulatory Arbitrage, '!A:A,'Fintech, Regulatory Arbitrage, '!C:C,"")</f>
        <v/>
      </c>
    </row>
    <row r="5785">
      <c r="A5785" s="1" t="s">
        <v>5805</v>
      </c>
      <c r="B5785" s="2">
        <v>2.0</v>
      </c>
      <c r="C5785" s="4"/>
      <c r="E5785" s="4" t="str">
        <f t="array" ref="E5785">XLOOKUP(A5785,'Fintech, Regulatory Arbitrage, '!A:A,'Fintech, Regulatory Arbitrage, '!C:C,"")</f>
        <v/>
      </c>
    </row>
    <row r="5786">
      <c r="A5786" s="1" t="s">
        <v>5806</v>
      </c>
      <c r="B5786" s="2">
        <v>2.0</v>
      </c>
      <c r="C5786" s="4"/>
      <c r="E5786" s="4" t="str">
        <f t="array" ref="E5786">XLOOKUP(A5786,'Fintech, Regulatory Arbitrage, '!A:A,'Fintech, Regulatory Arbitrage, '!C:C,"")</f>
        <v/>
      </c>
    </row>
    <row r="5787">
      <c r="A5787" s="1" t="s">
        <v>5807</v>
      </c>
      <c r="B5787" s="2">
        <v>2.0</v>
      </c>
      <c r="C5787" s="4"/>
      <c r="E5787" s="4" t="str">
        <f t="array" ref="E5787">XLOOKUP(A5787,'Fintech, Regulatory Arbitrage, '!A:A,'Fintech, Regulatory Arbitrage, '!C:C,"")</f>
        <v/>
      </c>
    </row>
    <row r="5788">
      <c r="A5788" s="1" t="s">
        <v>5808</v>
      </c>
      <c r="B5788" s="2">
        <v>2.0</v>
      </c>
      <c r="C5788" s="4"/>
      <c r="E5788" s="4" t="str">
        <f t="array" ref="E5788">XLOOKUP(A5788,'Fintech, Regulatory Arbitrage, '!A:A,'Fintech, Regulatory Arbitrage, '!C:C,"")</f>
        <v/>
      </c>
    </row>
    <row r="5789">
      <c r="A5789" s="1" t="s">
        <v>5809</v>
      </c>
      <c r="B5789" s="2">
        <v>2.0</v>
      </c>
      <c r="C5789" s="4"/>
      <c r="E5789" s="4" t="str">
        <f t="array" ref="E5789">XLOOKUP(A5789,'Fintech, Regulatory Arbitrage, '!A:A,'Fintech, Regulatory Arbitrage, '!C:C,"")</f>
        <v/>
      </c>
    </row>
    <row r="5790">
      <c r="A5790" s="1" t="s">
        <v>5810</v>
      </c>
      <c r="B5790" s="2">
        <v>2.0</v>
      </c>
      <c r="C5790" s="4"/>
      <c r="E5790" s="4" t="str">
        <f t="array" ref="E5790">XLOOKUP(A5790,'Fintech, Regulatory Arbitrage, '!A:A,'Fintech, Regulatory Arbitrage, '!C:C,"")</f>
        <v/>
      </c>
    </row>
    <row r="5791">
      <c r="A5791" s="1" t="s">
        <v>5811</v>
      </c>
      <c r="B5791" s="2">
        <v>2.0</v>
      </c>
      <c r="C5791" s="4"/>
      <c r="E5791" s="4" t="str">
        <f t="array" ref="E5791">XLOOKUP(A5791,'Fintech, Regulatory Arbitrage, '!A:A,'Fintech, Regulatory Arbitrage, '!C:C,"")</f>
        <v/>
      </c>
    </row>
    <row r="5792">
      <c r="A5792" s="1" t="s">
        <v>5812</v>
      </c>
      <c r="B5792" s="2">
        <v>2.0</v>
      </c>
      <c r="C5792" s="4"/>
      <c r="E5792" s="4" t="str">
        <f t="array" ref="E5792">XLOOKUP(A5792,'Fintech, Regulatory Arbitrage, '!A:A,'Fintech, Regulatory Arbitrage, '!C:C,"")</f>
        <v/>
      </c>
    </row>
    <row r="5793">
      <c r="A5793" s="1" t="s">
        <v>5813</v>
      </c>
      <c r="B5793" s="2">
        <v>2.0</v>
      </c>
      <c r="C5793" s="4"/>
      <c r="E5793" s="4" t="str">
        <f t="array" ref="E5793">XLOOKUP(A5793,'Fintech, Regulatory Arbitrage, '!A:A,'Fintech, Regulatory Arbitrage, '!C:C,"")</f>
        <v/>
      </c>
    </row>
    <row r="5794">
      <c r="A5794" s="1" t="s">
        <v>5814</v>
      </c>
      <c r="B5794" s="2">
        <v>2.0</v>
      </c>
      <c r="C5794" s="4"/>
      <c r="E5794" s="4" t="str">
        <f t="array" ref="E5794">XLOOKUP(A5794,'Fintech, Regulatory Arbitrage, '!A:A,'Fintech, Regulatory Arbitrage, '!C:C,"")</f>
        <v/>
      </c>
    </row>
    <row r="5795">
      <c r="A5795" s="1" t="s">
        <v>5815</v>
      </c>
      <c r="B5795" s="2">
        <v>2.0</v>
      </c>
      <c r="C5795" s="4"/>
      <c r="E5795" s="4" t="str">
        <f t="array" ref="E5795">XLOOKUP(A5795,'Fintech, Regulatory Arbitrage, '!A:A,'Fintech, Regulatory Arbitrage, '!C:C,"")</f>
        <v/>
      </c>
    </row>
    <row r="5796">
      <c r="A5796" s="1" t="s">
        <v>5816</v>
      </c>
      <c r="B5796" s="2">
        <v>2.0</v>
      </c>
      <c r="C5796" s="4"/>
      <c r="E5796" s="4" t="str">
        <f t="array" ref="E5796">XLOOKUP(A5796,'Fintech, Regulatory Arbitrage, '!A:A,'Fintech, Regulatory Arbitrage, '!C:C,"")</f>
        <v/>
      </c>
    </row>
    <row r="5797">
      <c r="A5797" s="1" t="s">
        <v>5817</v>
      </c>
      <c r="B5797" s="2">
        <v>2.0</v>
      </c>
      <c r="C5797" s="4"/>
      <c r="E5797" s="4" t="str">
        <f t="array" ref="E5797">XLOOKUP(A5797,'Fintech, Regulatory Arbitrage, '!A:A,'Fintech, Regulatory Arbitrage, '!C:C,"")</f>
        <v/>
      </c>
    </row>
    <row r="5798">
      <c r="A5798" s="1" t="s">
        <v>5818</v>
      </c>
      <c r="B5798" s="2">
        <v>2.0</v>
      </c>
      <c r="C5798" s="4"/>
      <c r="E5798" s="4" t="str">
        <f t="array" ref="E5798">XLOOKUP(A5798,'Fintech, Regulatory Arbitrage, '!A:A,'Fintech, Regulatory Arbitrage, '!C:C,"")</f>
        <v/>
      </c>
    </row>
    <row r="5799">
      <c r="A5799" s="1" t="s">
        <v>5819</v>
      </c>
      <c r="B5799" s="2">
        <v>2.0</v>
      </c>
      <c r="C5799" s="4"/>
      <c r="E5799" s="4" t="str">
        <f t="array" ref="E5799">XLOOKUP(A5799,'Fintech, Regulatory Arbitrage, '!A:A,'Fintech, Regulatory Arbitrage, '!C:C,"")</f>
        <v/>
      </c>
    </row>
    <row r="5800">
      <c r="A5800" s="1" t="s">
        <v>5820</v>
      </c>
      <c r="B5800" s="2">
        <v>2.0</v>
      </c>
      <c r="C5800" s="4"/>
      <c r="E5800" s="4" t="str">
        <f t="array" ref="E5800">XLOOKUP(A5800,'Fintech, Regulatory Arbitrage, '!A:A,'Fintech, Regulatory Arbitrage, '!C:C,"")</f>
        <v/>
      </c>
    </row>
    <row r="5801">
      <c r="A5801" s="1" t="s">
        <v>5821</v>
      </c>
      <c r="B5801" s="2">
        <v>2.0</v>
      </c>
      <c r="C5801" s="4"/>
      <c r="E5801" s="4" t="str">
        <f t="array" ref="E5801">XLOOKUP(A5801,'Fintech, Regulatory Arbitrage, '!A:A,'Fintech, Regulatory Arbitrage, '!C:C,"")</f>
        <v/>
      </c>
    </row>
    <row r="5802">
      <c r="A5802" s="1" t="s">
        <v>5822</v>
      </c>
      <c r="B5802" s="2">
        <v>2.0</v>
      </c>
      <c r="C5802" s="4"/>
      <c r="E5802" s="4" t="str">
        <f t="array" ref="E5802">XLOOKUP(A5802,'Fintech, Regulatory Arbitrage, '!A:A,'Fintech, Regulatory Arbitrage, '!C:C,"")</f>
        <v/>
      </c>
    </row>
    <row r="5803">
      <c r="A5803" s="1" t="s">
        <v>5823</v>
      </c>
      <c r="B5803" s="2">
        <v>2.0</v>
      </c>
      <c r="C5803" s="4"/>
      <c r="E5803" s="4" t="str">
        <f t="array" ref="E5803">XLOOKUP(A5803,'Fintech, Regulatory Arbitrage, '!A:A,'Fintech, Regulatory Arbitrage, '!C:C,"")</f>
        <v/>
      </c>
    </row>
    <row r="5804">
      <c r="A5804" s="1" t="s">
        <v>5824</v>
      </c>
      <c r="B5804" s="2">
        <v>2.0</v>
      </c>
      <c r="C5804" s="4"/>
      <c r="E5804" s="4" t="str">
        <f t="array" ref="E5804">XLOOKUP(A5804,'Fintech, Regulatory Arbitrage, '!A:A,'Fintech, Regulatory Arbitrage, '!C:C,"")</f>
        <v/>
      </c>
    </row>
    <row r="5805">
      <c r="A5805" s="1" t="s">
        <v>5825</v>
      </c>
      <c r="B5805" s="2">
        <v>2.0</v>
      </c>
      <c r="C5805" s="4"/>
      <c r="E5805" s="4" t="str">
        <f t="array" ref="E5805">XLOOKUP(A5805,'Fintech, Regulatory Arbitrage, '!A:A,'Fintech, Regulatory Arbitrage, '!C:C,"")</f>
        <v/>
      </c>
    </row>
    <row r="5806">
      <c r="A5806" s="1" t="s">
        <v>5826</v>
      </c>
      <c r="B5806" s="2">
        <v>2.0</v>
      </c>
      <c r="C5806" s="4"/>
      <c r="E5806" s="4" t="str">
        <f t="array" ref="E5806">XLOOKUP(A5806,'Fintech, Regulatory Arbitrage, '!A:A,'Fintech, Regulatory Arbitrage, '!C:C,"")</f>
        <v/>
      </c>
    </row>
    <row r="5807">
      <c r="A5807" s="1" t="s">
        <v>5827</v>
      </c>
      <c r="B5807" s="2">
        <v>2.0</v>
      </c>
      <c r="C5807" s="4"/>
      <c r="E5807" s="4" t="str">
        <f t="array" ref="E5807">XLOOKUP(A5807,'Fintech, Regulatory Arbitrage, '!A:A,'Fintech, Regulatory Arbitrage, '!C:C,"")</f>
        <v/>
      </c>
    </row>
    <row r="5808">
      <c r="A5808" s="1" t="s">
        <v>5828</v>
      </c>
      <c r="B5808" s="2">
        <v>2.0</v>
      </c>
      <c r="C5808" s="4"/>
      <c r="E5808" s="4" t="str">
        <f t="array" ref="E5808">XLOOKUP(A5808,'Fintech, Regulatory Arbitrage, '!A:A,'Fintech, Regulatory Arbitrage, '!C:C,"")</f>
        <v/>
      </c>
    </row>
    <row r="5809">
      <c r="A5809" s="1" t="s">
        <v>5829</v>
      </c>
      <c r="B5809" s="2">
        <v>2.0</v>
      </c>
      <c r="C5809" s="4"/>
      <c r="E5809" s="4" t="str">
        <f t="array" ref="E5809">XLOOKUP(A5809,'Fintech, Regulatory Arbitrage, '!A:A,'Fintech, Regulatory Arbitrage, '!C:C,"")</f>
        <v/>
      </c>
    </row>
    <row r="5810">
      <c r="A5810" s="1" t="s">
        <v>5830</v>
      </c>
      <c r="B5810" s="2">
        <v>2.0</v>
      </c>
      <c r="C5810" s="4"/>
      <c r="E5810" s="4" t="str">
        <f t="array" ref="E5810">XLOOKUP(A5810,'Fintech, Regulatory Arbitrage, '!A:A,'Fintech, Regulatory Arbitrage, '!C:C,"")</f>
        <v/>
      </c>
    </row>
    <row r="5811">
      <c r="A5811" s="1" t="s">
        <v>5831</v>
      </c>
      <c r="B5811" s="2">
        <v>2.0</v>
      </c>
      <c r="C5811" s="4"/>
      <c r="E5811" s="4" t="str">
        <f t="array" ref="E5811">XLOOKUP(A5811,'Fintech, Regulatory Arbitrage, '!A:A,'Fintech, Regulatory Arbitrage, '!C:C,"")</f>
        <v/>
      </c>
    </row>
    <row r="5812">
      <c r="A5812" s="1" t="s">
        <v>5832</v>
      </c>
      <c r="B5812" s="2">
        <v>2.0</v>
      </c>
      <c r="C5812" s="4"/>
      <c r="E5812" s="4" t="str">
        <f t="array" ref="E5812">XLOOKUP(A5812,'Fintech, Regulatory Arbitrage, '!A:A,'Fintech, Regulatory Arbitrage, '!C:C,"")</f>
        <v/>
      </c>
    </row>
    <row r="5813">
      <c r="A5813" s="1" t="s">
        <v>5833</v>
      </c>
      <c r="B5813" s="2">
        <v>2.0</v>
      </c>
      <c r="C5813" s="4"/>
      <c r="E5813" s="4" t="str">
        <f t="array" ref="E5813">XLOOKUP(A5813,'Fintech, Regulatory Arbitrage, '!A:A,'Fintech, Regulatory Arbitrage, '!C:C,"")</f>
        <v/>
      </c>
    </row>
    <row r="5814">
      <c r="A5814" s="1" t="s">
        <v>5834</v>
      </c>
      <c r="B5814" s="2">
        <v>2.0</v>
      </c>
      <c r="C5814" s="4"/>
      <c r="E5814" s="4" t="str">
        <f t="array" ref="E5814">XLOOKUP(A5814,'Fintech, Regulatory Arbitrage, '!A:A,'Fintech, Regulatory Arbitrage, '!C:C,"")</f>
        <v/>
      </c>
    </row>
    <row r="5815">
      <c r="A5815" s="1" t="s">
        <v>5835</v>
      </c>
      <c r="B5815" s="2">
        <v>2.0</v>
      </c>
      <c r="C5815" s="4"/>
      <c r="E5815" s="4" t="str">
        <f t="array" ref="E5815">XLOOKUP(A5815,'Fintech, Regulatory Arbitrage, '!A:A,'Fintech, Regulatory Arbitrage, '!C:C,"")</f>
        <v/>
      </c>
    </row>
    <row r="5816">
      <c r="A5816" s="1" t="s">
        <v>5836</v>
      </c>
      <c r="B5816" s="2">
        <v>2.0</v>
      </c>
      <c r="C5816" s="4"/>
      <c r="E5816" s="4" t="str">
        <f t="array" ref="E5816">XLOOKUP(A5816,'Fintech, Regulatory Arbitrage, '!A:A,'Fintech, Regulatory Arbitrage, '!C:C,"")</f>
        <v/>
      </c>
    </row>
    <row r="5817">
      <c r="A5817" s="1" t="s">
        <v>5837</v>
      </c>
      <c r="B5817" s="2">
        <v>2.0</v>
      </c>
      <c r="C5817" s="4"/>
      <c r="E5817" s="4" t="str">
        <f t="array" ref="E5817">XLOOKUP(A5817,'Fintech, Regulatory Arbitrage, '!A:A,'Fintech, Regulatory Arbitrage, '!C:C,"")</f>
        <v/>
      </c>
    </row>
    <row r="5818">
      <c r="A5818" s="1" t="s">
        <v>5838</v>
      </c>
      <c r="B5818" s="2">
        <v>2.0</v>
      </c>
      <c r="C5818" s="4"/>
      <c r="E5818" s="4" t="str">
        <f t="array" ref="E5818">XLOOKUP(A5818,'Fintech, Regulatory Arbitrage, '!A:A,'Fintech, Regulatory Arbitrage, '!C:C,"")</f>
        <v/>
      </c>
    </row>
    <row r="5819">
      <c r="A5819" s="1" t="s">
        <v>5839</v>
      </c>
      <c r="B5819" s="2">
        <v>2.0</v>
      </c>
      <c r="C5819" s="4"/>
      <c r="E5819" s="4" t="str">
        <f t="array" ref="E5819">XLOOKUP(A5819,'Fintech, Regulatory Arbitrage, '!A:A,'Fintech, Regulatory Arbitrage, '!C:C,"")</f>
        <v/>
      </c>
    </row>
    <row r="5820">
      <c r="A5820" s="1" t="s">
        <v>5840</v>
      </c>
      <c r="B5820" s="2">
        <v>2.0</v>
      </c>
      <c r="C5820" s="4"/>
      <c r="E5820" s="4" t="str">
        <f t="array" ref="E5820">XLOOKUP(A5820,'Fintech, Regulatory Arbitrage, '!A:A,'Fintech, Regulatory Arbitrage, '!C:C,"")</f>
        <v/>
      </c>
    </row>
    <row r="5821">
      <c r="A5821" s="1" t="s">
        <v>5841</v>
      </c>
      <c r="B5821" s="2">
        <v>2.0</v>
      </c>
      <c r="C5821" s="4"/>
      <c r="E5821" s="4" t="str">
        <f t="array" ref="E5821">XLOOKUP(A5821,'Fintech, Regulatory Arbitrage, '!A:A,'Fintech, Regulatory Arbitrage, '!C:C,"")</f>
        <v/>
      </c>
    </row>
    <row r="5822">
      <c r="A5822" s="1" t="s">
        <v>5842</v>
      </c>
      <c r="B5822" s="2">
        <v>2.0</v>
      </c>
      <c r="C5822" s="4"/>
      <c r="E5822" s="4" t="str">
        <f t="array" ref="E5822">XLOOKUP(A5822,'Fintech, Regulatory Arbitrage, '!A:A,'Fintech, Regulatory Arbitrage, '!C:C,"")</f>
        <v/>
      </c>
    </row>
    <row r="5823">
      <c r="A5823" s="1" t="s">
        <v>5843</v>
      </c>
      <c r="B5823" s="2">
        <v>2.0</v>
      </c>
      <c r="C5823" s="4"/>
      <c r="E5823" s="4" t="str">
        <f t="array" ref="E5823">XLOOKUP(A5823,'Fintech, Regulatory Arbitrage, '!A:A,'Fintech, Regulatory Arbitrage, '!C:C,"")</f>
        <v/>
      </c>
    </row>
    <row r="5824">
      <c r="A5824" s="1" t="s">
        <v>5844</v>
      </c>
      <c r="B5824" s="2">
        <v>2.0</v>
      </c>
      <c r="C5824" s="4"/>
      <c r="E5824" s="4" t="str">
        <f t="array" ref="E5824">XLOOKUP(A5824,'Fintech, Regulatory Arbitrage, '!A:A,'Fintech, Regulatory Arbitrage, '!C:C,"")</f>
        <v/>
      </c>
    </row>
    <row r="5825">
      <c r="A5825" s="1" t="s">
        <v>5845</v>
      </c>
      <c r="B5825" s="2">
        <v>2.0</v>
      </c>
      <c r="C5825" s="4"/>
      <c r="E5825" s="4" t="str">
        <f t="array" ref="E5825">XLOOKUP(A5825,'Fintech, Regulatory Arbitrage, '!A:A,'Fintech, Regulatory Arbitrage, '!C:C,"")</f>
        <v/>
      </c>
    </row>
    <row r="5826">
      <c r="A5826" s="1" t="s">
        <v>5846</v>
      </c>
      <c r="B5826" s="2">
        <v>2.0</v>
      </c>
      <c r="C5826" s="4"/>
      <c r="E5826" s="4" t="str">
        <f t="array" ref="E5826">XLOOKUP(A5826,'Fintech, Regulatory Arbitrage, '!A:A,'Fintech, Regulatory Arbitrage, '!C:C,"")</f>
        <v/>
      </c>
    </row>
    <row r="5827">
      <c r="A5827" s="1" t="s">
        <v>5847</v>
      </c>
      <c r="B5827" s="2">
        <v>2.0</v>
      </c>
      <c r="C5827" s="4"/>
      <c r="E5827" s="4" t="str">
        <f t="array" ref="E5827">XLOOKUP(A5827,'Fintech, Regulatory Arbitrage, '!A:A,'Fintech, Regulatory Arbitrage, '!C:C,"")</f>
        <v/>
      </c>
    </row>
    <row r="5828">
      <c r="A5828" s="1" t="s">
        <v>5848</v>
      </c>
      <c r="B5828" s="2">
        <v>2.0</v>
      </c>
      <c r="C5828" s="4"/>
      <c r="E5828" s="4" t="str">
        <f t="array" ref="E5828">XLOOKUP(A5828,'Fintech, Regulatory Arbitrage, '!A:A,'Fintech, Regulatory Arbitrage, '!C:C,"")</f>
        <v/>
      </c>
    </row>
    <row r="5829">
      <c r="A5829" s="1" t="s">
        <v>5849</v>
      </c>
      <c r="B5829" s="2">
        <v>2.0</v>
      </c>
      <c r="C5829" s="4"/>
      <c r="E5829" s="4" t="str">
        <f t="array" ref="E5829">XLOOKUP(A5829,'Fintech, Regulatory Arbitrage, '!A:A,'Fintech, Regulatory Arbitrage, '!C:C,"")</f>
        <v/>
      </c>
    </row>
    <row r="5830">
      <c r="A5830" s="1" t="s">
        <v>5850</v>
      </c>
      <c r="B5830" s="2">
        <v>2.0</v>
      </c>
      <c r="C5830" s="4"/>
      <c r="E5830" s="4" t="str">
        <f t="array" ref="E5830">XLOOKUP(A5830,'Fintech, Regulatory Arbitrage, '!A:A,'Fintech, Regulatory Arbitrage, '!C:C,"")</f>
        <v/>
      </c>
    </row>
    <row r="5831">
      <c r="A5831" s="1" t="s">
        <v>5851</v>
      </c>
      <c r="B5831" s="2">
        <v>2.0</v>
      </c>
      <c r="C5831" s="4"/>
      <c r="E5831" s="4" t="str">
        <f t="array" ref="E5831">XLOOKUP(A5831,'Fintech, Regulatory Arbitrage, '!A:A,'Fintech, Regulatory Arbitrage, '!C:C,"")</f>
        <v/>
      </c>
    </row>
    <row r="5832">
      <c r="A5832" s="1" t="s">
        <v>5852</v>
      </c>
      <c r="B5832" s="2">
        <v>2.0</v>
      </c>
      <c r="C5832" s="4"/>
      <c r="E5832" s="4" t="str">
        <f t="array" ref="E5832">XLOOKUP(A5832,'Fintech, Regulatory Arbitrage, '!A:A,'Fintech, Regulatory Arbitrage, '!C:C,"")</f>
        <v/>
      </c>
    </row>
    <row r="5833">
      <c r="A5833" s="1" t="s">
        <v>5853</v>
      </c>
      <c r="B5833" s="2">
        <v>2.0</v>
      </c>
      <c r="C5833" s="4"/>
      <c r="E5833" s="4" t="str">
        <f t="array" ref="E5833">XLOOKUP(A5833,'Fintech, Regulatory Arbitrage, '!A:A,'Fintech, Regulatory Arbitrage, '!C:C,"")</f>
        <v/>
      </c>
    </row>
    <row r="5834">
      <c r="A5834" s="1" t="s">
        <v>5854</v>
      </c>
      <c r="B5834" s="2">
        <v>2.0</v>
      </c>
      <c r="C5834" s="4"/>
      <c r="E5834" s="4" t="str">
        <f t="array" ref="E5834">XLOOKUP(A5834,'Fintech, Regulatory Arbitrage, '!A:A,'Fintech, Regulatory Arbitrage, '!C:C,"")</f>
        <v/>
      </c>
    </row>
    <row r="5835">
      <c r="A5835" s="1" t="s">
        <v>5855</v>
      </c>
      <c r="B5835" s="2">
        <v>2.0</v>
      </c>
      <c r="C5835" s="4"/>
      <c r="E5835" s="4" t="str">
        <f t="array" ref="E5835">XLOOKUP(A5835,'Fintech, Regulatory Arbitrage, '!A:A,'Fintech, Regulatory Arbitrage, '!C:C,"")</f>
        <v/>
      </c>
    </row>
    <row r="5836">
      <c r="A5836" s="1" t="s">
        <v>5856</v>
      </c>
      <c r="B5836" s="2">
        <v>2.0</v>
      </c>
      <c r="C5836" s="4"/>
      <c r="E5836" s="4" t="str">
        <f t="array" ref="E5836">XLOOKUP(A5836,'Fintech, Regulatory Arbitrage, '!A:A,'Fintech, Regulatory Arbitrage, '!C:C,"")</f>
        <v/>
      </c>
    </row>
    <row r="5837">
      <c r="A5837" s="1" t="s">
        <v>5857</v>
      </c>
      <c r="B5837" s="2">
        <v>2.0</v>
      </c>
      <c r="C5837" s="4"/>
      <c r="E5837" s="4" t="str">
        <f t="array" ref="E5837">XLOOKUP(A5837,'Fintech, Regulatory Arbitrage, '!A:A,'Fintech, Regulatory Arbitrage, '!C:C,"")</f>
        <v/>
      </c>
    </row>
    <row r="5838">
      <c r="A5838" s="1" t="s">
        <v>5858</v>
      </c>
      <c r="B5838" s="2">
        <v>2.0</v>
      </c>
      <c r="C5838" s="4"/>
      <c r="E5838" s="4" t="str">
        <f t="array" ref="E5838">XLOOKUP(A5838,'Fintech, Regulatory Arbitrage, '!A:A,'Fintech, Regulatory Arbitrage, '!C:C,"")</f>
        <v/>
      </c>
    </row>
    <row r="5839">
      <c r="A5839" s="1" t="s">
        <v>5859</v>
      </c>
      <c r="B5839" s="2">
        <v>2.0</v>
      </c>
      <c r="C5839" s="4"/>
      <c r="E5839" s="4" t="str">
        <f t="array" ref="E5839">XLOOKUP(A5839,'Fintech, Regulatory Arbitrage, '!A:A,'Fintech, Regulatory Arbitrage, '!C:C,"")</f>
        <v/>
      </c>
    </row>
    <row r="5840">
      <c r="A5840" s="1" t="s">
        <v>5860</v>
      </c>
      <c r="B5840" s="2">
        <v>2.0</v>
      </c>
      <c r="C5840" s="4"/>
      <c r="E5840" s="4" t="str">
        <f t="array" ref="E5840">XLOOKUP(A5840,'Fintech, Regulatory Arbitrage, '!A:A,'Fintech, Regulatory Arbitrage, '!C:C,"")</f>
        <v/>
      </c>
    </row>
    <row r="5841">
      <c r="A5841" s="1" t="s">
        <v>5861</v>
      </c>
      <c r="B5841" s="2">
        <v>2.0</v>
      </c>
      <c r="C5841" s="4"/>
      <c r="E5841" s="4" t="str">
        <f t="array" ref="E5841">XLOOKUP(A5841,'Fintech, Regulatory Arbitrage, '!A:A,'Fintech, Regulatory Arbitrage, '!C:C,"")</f>
        <v/>
      </c>
    </row>
    <row r="5842">
      <c r="A5842" s="1" t="s">
        <v>5862</v>
      </c>
      <c r="B5842" s="2">
        <v>2.0</v>
      </c>
      <c r="C5842" s="4"/>
      <c r="E5842" s="4" t="str">
        <f t="array" ref="E5842">XLOOKUP(A5842,'Fintech, Regulatory Arbitrage, '!A:A,'Fintech, Regulatory Arbitrage, '!C:C,"")</f>
        <v/>
      </c>
    </row>
    <row r="5843">
      <c r="A5843" s="1" t="s">
        <v>5863</v>
      </c>
      <c r="B5843" s="2">
        <v>2.0</v>
      </c>
      <c r="C5843" s="4"/>
      <c r="E5843" s="4" t="str">
        <f t="array" ref="E5843">XLOOKUP(A5843,'Fintech, Regulatory Arbitrage, '!A:A,'Fintech, Regulatory Arbitrage, '!C:C,"")</f>
        <v/>
      </c>
    </row>
    <row r="5844">
      <c r="A5844" s="1" t="s">
        <v>5864</v>
      </c>
      <c r="B5844" s="2">
        <v>2.0</v>
      </c>
      <c r="C5844" s="4"/>
      <c r="E5844" s="4" t="str">
        <f t="array" ref="E5844">XLOOKUP(A5844,'Fintech, Regulatory Arbitrage, '!A:A,'Fintech, Regulatory Arbitrage, '!C:C,"")</f>
        <v/>
      </c>
    </row>
    <row r="5845">
      <c r="A5845" s="1" t="s">
        <v>5865</v>
      </c>
      <c r="B5845" s="2">
        <v>2.0</v>
      </c>
      <c r="C5845" s="4"/>
      <c r="E5845" s="4" t="str">
        <f t="array" ref="E5845">XLOOKUP(A5845,'Fintech, Regulatory Arbitrage, '!A:A,'Fintech, Regulatory Arbitrage, '!C:C,"")</f>
        <v/>
      </c>
    </row>
    <row r="5846">
      <c r="A5846" s="1" t="s">
        <v>5866</v>
      </c>
      <c r="B5846" s="2">
        <v>2.0</v>
      </c>
      <c r="C5846" s="4"/>
      <c r="E5846" s="4" t="str">
        <f t="array" ref="E5846">XLOOKUP(A5846,'Fintech, Regulatory Arbitrage, '!A:A,'Fintech, Regulatory Arbitrage, '!C:C,"")</f>
        <v/>
      </c>
    </row>
    <row r="5847">
      <c r="A5847" s="1" t="s">
        <v>5867</v>
      </c>
      <c r="B5847" s="2">
        <v>2.0</v>
      </c>
      <c r="C5847" s="4"/>
      <c r="E5847" s="4" t="str">
        <f t="array" ref="E5847">XLOOKUP(A5847,'Fintech, Regulatory Arbitrage, '!A:A,'Fintech, Regulatory Arbitrage, '!C:C,"")</f>
        <v/>
      </c>
    </row>
    <row r="5848">
      <c r="A5848" s="1" t="s">
        <v>5868</v>
      </c>
      <c r="B5848" s="2">
        <v>2.0</v>
      </c>
      <c r="C5848" s="4"/>
      <c r="E5848" s="4" t="str">
        <f t="array" ref="E5848">XLOOKUP(A5848,'Fintech, Regulatory Arbitrage, '!A:A,'Fintech, Regulatory Arbitrage, '!C:C,"")</f>
        <v/>
      </c>
    </row>
    <row r="5849">
      <c r="A5849" s="1" t="s">
        <v>5869</v>
      </c>
      <c r="B5849" s="2">
        <v>2.0</v>
      </c>
      <c r="C5849" s="4"/>
      <c r="E5849" s="4" t="str">
        <f t="array" ref="E5849">XLOOKUP(A5849,'Fintech, Regulatory Arbitrage, '!A:A,'Fintech, Regulatory Arbitrage, '!C:C,"")</f>
        <v/>
      </c>
    </row>
    <row r="5850">
      <c r="A5850" s="1" t="s">
        <v>5870</v>
      </c>
      <c r="B5850" s="2">
        <v>2.0</v>
      </c>
      <c r="C5850" s="4"/>
      <c r="E5850" s="4" t="str">
        <f t="array" ref="E5850">XLOOKUP(A5850,'Fintech, Regulatory Arbitrage, '!A:A,'Fintech, Regulatory Arbitrage, '!C:C,"")</f>
        <v/>
      </c>
    </row>
    <row r="5851">
      <c r="A5851" s="1" t="s">
        <v>5871</v>
      </c>
      <c r="B5851" s="2">
        <v>2.0</v>
      </c>
      <c r="C5851" s="4"/>
      <c r="E5851" s="4" t="str">
        <f t="array" ref="E5851">XLOOKUP(A5851,'Fintech, Regulatory Arbitrage, '!A:A,'Fintech, Regulatory Arbitrage, '!C:C,"")</f>
        <v/>
      </c>
    </row>
    <row r="5852">
      <c r="A5852" s="1" t="s">
        <v>5872</v>
      </c>
      <c r="B5852" s="2">
        <v>2.0</v>
      </c>
      <c r="C5852" s="4"/>
      <c r="E5852" s="4" t="str">
        <f t="array" ref="E5852">XLOOKUP(A5852,'Fintech, Regulatory Arbitrage, '!A:A,'Fintech, Regulatory Arbitrage, '!C:C,"")</f>
        <v/>
      </c>
    </row>
    <row r="5853">
      <c r="A5853" s="1" t="s">
        <v>5873</v>
      </c>
      <c r="B5853" s="2">
        <v>2.0</v>
      </c>
      <c r="C5853" s="4"/>
      <c r="E5853" s="4" t="str">
        <f t="array" ref="E5853">XLOOKUP(A5853,'Fintech, Regulatory Arbitrage, '!A:A,'Fintech, Regulatory Arbitrage, '!C:C,"")</f>
        <v/>
      </c>
    </row>
    <row r="5854">
      <c r="A5854" s="1" t="s">
        <v>5874</v>
      </c>
      <c r="B5854" s="2">
        <v>2.0</v>
      </c>
      <c r="C5854" s="4"/>
      <c r="E5854" s="4" t="str">
        <f t="array" ref="E5854">XLOOKUP(A5854,'Fintech, Regulatory Arbitrage, '!A:A,'Fintech, Regulatory Arbitrage, '!C:C,"")</f>
        <v/>
      </c>
    </row>
    <row r="5855">
      <c r="A5855" s="1" t="s">
        <v>5875</v>
      </c>
      <c r="B5855" s="2">
        <v>2.0</v>
      </c>
      <c r="C5855" s="4"/>
      <c r="E5855" s="4" t="str">
        <f t="array" ref="E5855">XLOOKUP(A5855,'Fintech, Regulatory Arbitrage, '!A:A,'Fintech, Regulatory Arbitrage, '!C:C,"")</f>
        <v/>
      </c>
    </row>
    <row r="5856">
      <c r="A5856" s="1" t="s">
        <v>5876</v>
      </c>
      <c r="B5856" s="2">
        <v>2.0</v>
      </c>
      <c r="C5856" s="4"/>
      <c r="E5856" s="4" t="str">
        <f t="array" ref="E5856">XLOOKUP(A5856,'Fintech, Regulatory Arbitrage, '!A:A,'Fintech, Regulatory Arbitrage, '!C:C,"")</f>
        <v/>
      </c>
    </row>
    <row r="5857">
      <c r="A5857" s="1" t="s">
        <v>5877</v>
      </c>
      <c r="B5857" s="2">
        <v>2.0</v>
      </c>
      <c r="C5857" s="4"/>
      <c r="E5857" s="4" t="str">
        <f t="array" ref="E5857">XLOOKUP(A5857,'Fintech, Regulatory Arbitrage, '!A:A,'Fintech, Regulatory Arbitrage, '!C:C,"")</f>
        <v/>
      </c>
    </row>
    <row r="5858">
      <c r="A5858" s="1" t="s">
        <v>5878</v>
      </c>
      <c r="B5858" s="2">
        <v>2.0</v>
      </c>
      <c r="C5858" s="4"/>
      <c r="E5858" s="4" t="str">
        <f t="array" ref="E5858">XLOOKUP(A5858,'Fintech, Regulatory Arbitrage, '!A:A,'Fintech, Regulatory Arbitrage, '!C:C,"")</f>
        <v/>
      </c>
    </row>
    <row r="5859">
      <c r="A5859" s="1" t="s">
        <v>5879</v>
      </c>
      <c r="B5859" s="2">
        <v>2.0</v>
      </c>
      <c r="C5859" s="4"/>
      <c r="E5859" s="4" t="str">
        <f t="array" ref="E5859">XLOOKUP(A5859,'Fintech, Regulatory Arbitrage, '!A:A,'Fintech, Regulatory Arbitrage, '!C:C,"")</f>
        <v/>
      </c>
    </row>
    <row r="5860">
      <c r="A5860" s="1" t="s">
        <v>5880</v>
      </c>
      <c r="B5860" s="2">
        <v>2.0</v>
      </c>
      <c r="C5860" s="4"/>
      <c r="E5860" s="4" t="str">
        <f t="array" ref="E5860">XLOOKUP(A5860,'Fintech, Regulatory Arbitrage, '!A:A,'Fintech, Regulatory Arbitrage, '!C:C,"")</f>
        <v/>
      </c>
    </row>
    <row r="5861">
      <c r="A5861" s="1" t="s">
        <v>5881</v>
      </c>
      <c r="B5861" s="2">
        <v>2.0</v>
      </c>
      <c r="C5861" s="4"/>
      <c r="E5861" s="4" t="str">
        <f t="array" ref="E5861">XLOOKUP(A5861,'Fintech, Regulatory Arbitrage, '!A:A,'Fintech, Regulatory Arbitrage, '!C:C,"")</f>
        <v/>
      </c>
    </row>
    <row r="5862">
      <c r="A5862" s="1" t="s">
        <v>5882</v>
      </c>
      <c r="B5862" s="2">
        <v>2.0</v>
      </c>
      <c r="C5862" s="4"/>
      <c r="E5862" s="4" t="str">
        <f t="array" ref="E5862">XLOOKUP(A5862,'Fintech, Regulatory Arbitrage, '!A:A,'Fintech, Regulatory Arbitrage, '!C:C,"")</f>
        <v/>
      </c>
    </row>
    <row r="5863">
      <c r="A5863" s="1" t="s">
        <v>5883</v>
      </c>
      <c r="B5863" s="2">
        <v>2.0</v>
      </c>
      <c r="C5863" s="4"/>
      <c r="E5863" s="4" t="str">
        <f t="array" ref="E5863">XLOOKUP(A5863,'Fintech, Regulatory Arbitrage, '!A:A,'Fintech, Regulatory Arbitrage, '!C:C,"")</f>
        <v/>
      </c>
    </row>
    <row r="5864">
      <c r="A5864" s="1" t="s">
        <v>5884</v>
      </c>
      <c r="B5864" s="2">
        <v>2.0</v>
      </c>
      <c r="C5864" s="4"/>
      <c r="E5864" s="4" t="str">
        <f t="array" ref="E5864">XLOOKUP(A5864,'Fintech, Regulatory Arbitrage, '!A:A,'Fintech, Regulatory Arbitrage, '!C:C,"")</f>
        <v/>
      </c>
    </row>
    <row r="5865">
      <c r="A5865" s="1" t="s">
        <v>5885</v>
      </c>
      <c r="B5865" s="2">
        <v>2.0</v>
      </c>
      <c r="C5865" s="4"/>
      <c r="E5865" s="4" t="str">
        <f t="array" ref="E5865">XLOOKUP(A5865,'Fintech, Regulatory Arbitrage, '!A:A,'Fintech, Regulatory Arbitrage, '!C:C,"")</f>
        <v/>
      </c>
    </row>
    <row r="5866">
      <c r="A5866" s="1" t="s">
        <v>5886</v>
      </c>
      <c r="B5866" s="2">
        <v>2.0</v>
      </c>
      <c r="C5866" s="4"/>
      <c r="E5866" s="4" t="str">
        <f t="array" ref="E5866">XLOOKUP(A5866,'Fintech, Regulatory Arbitrage, '!A:A,'Fintech, Regulatory Arbitrage, '!C:C,"")</f>
        <v/>
      </c>
    </row>
    <row r="5867">
      <c r="A5867" s="1" t="s">
        <v>5887</v>
      </c>
      <c r="B5867" s="2">
        <v>2.0</v>
      </c>
      <c r="C5867" s="4"/>
      <c r="E5867" s="4" t="str">
        <f t="array" ref="E5867">XLOOKUP(A5867,'Fintech, Regulatory Arbitrage, '!A:A,'Fintech, Regulatory Arbitrage, '!C:C,"")</f>
        <v/>
      </c>
    </row>
    <row r="5868">
      <c r="A5868" s="1" t="s">
        <v>5888</v>
      </c>
      <c r="B5868" s="2">
        <v>2.0</v>
      </c>
      <c r="C5868" s="4"/>
      <c r="E5868" s="4" t="str">
        <f t="array" ref="E5868">XLOOKUP(A5868,'Fintech, Regulatory Arbitrage, '!A:A,'Fintech, Regulatory Arbitrage, '!C:C,"")</f>
        <v/>
      </c>
    </row>
    <row r="5869">
      <c r="A5869" s="1" t="s">
        <v>5889</v>
      </c>
      <c r="B5869" s="2">
        <v>2.0</v>
      </c>
      <c r="C5869" s="4"/>
      <c r="E5869" s="4" t="str">
        <f t="array" ref="E5869">XLOOKUP(A5869,'Fintech, Regulatory Arbitrage, '!A:A,'Fintech, Regulatory Arbitrage, '!C:C,"")</f>
        <v/>
      </c>
    </row>
    <row r="5870">
      <c r="A5870" s="1" t="s">
        <v>5890</v>
      </c>
      <c r="B5870" s="2">
        <v>2.0</v>
      </c>
      <c r="C5870" s="4"/>
      <c r="E5870" s="4" t="str">
        <f t="array" ref="E5870">XLOOKUP(A5870,'Fintech, Regulatory Arbitrage, '!A:A,'Fintech, Regulatory Arbitrage, '!C:C,"")</f>
        <v/>
      </c>
    </row>
    <row r="5871">
      <c r="A5871" s="1" t="s">
        <v>5891</v>
      </c>
      <c r="B5871" s="2">
        <v>2.0</v>
      </c>
      <c r="C5871" s="4"/>
      <c r="E5871" s="4" t="str">
        <f t="array" ref="E5871">XLOOKUP(A5871,'Fintech, Regulatory Arbitrage, '!A:A,'Fintech, Regulatory Arbitrage, '!C:C,"")</f>
        <v/>
      </c>
    </row>
    <row r="5872">
      <c r="A5872" s="1" t="s">
        <v>5892</v>
      </c>
      <c r="B5872" s="2">
        <v>2.0</v>
      </c>
      <c r="C5872" s="4"/>
      <c r="E5872" s="4" t="str">
        <f t="array" ref="E5872">XLOOKUP(A5872,'Fintech, Regulatory Arbitrage, '!A:A,'Fintech, Regulatory Arbitrage, '!C:C,"")</f>
        <v/>
      </c>
    </row>
    <row r="5873">
      <c r="A5873" s="1" t="s">
        <v>5893</v>
      </c>
      <c r="B5873" s="2">
        <v>2.0</v>
      </c>
      <c r="C5873" s="4"/>
      <c r="E5873" s="4" t="str">
        <f t="array" ref="E5873">XLOOKUP(A5873,'Fintech, Regulatory Arbitrage, '!A:A,'Fintech, Regulatory Arbitrage, '!C:C,"")</f>
        <v/>
      </c>
    </row>
    <row r="5874">
      <c r="A5874" s="1" t="s">
        <v>5894</v>
      </c>
      <c r="B5874" s="2">
        <v>2.0</v>
      </c>
      <c r="C5874" s="4"/>
      <c r="E5874" s="4" t="str">
        <f t="array" ref="E5874">XLOOKUP(A5874,'Fintech, Regulatory Arbitrage, '!A:A,'Fintech, Regulatory Arbitrage, '!C:C,"")</f>
        <v/>
      </c>
    </row>
    <row r="5875">
      <c r="A5875" s="1" t="s">
        <v>5895</v>
      </c>
      <c r="B5875" s="2">
        <v>2.0</v>
      </c>
      <c r="C5875" s="4"/>
      <c r="E5875" s="4" t="str">
        <f t="array" ref="E5875">XLOOKUP(A5875,'Fintech, Regulatory Arbitrage, '!A:A,'Fintech, Regulatory Arbitrage, '!C:C,"")</f>
        <v/>
      </c>
    </row>
    <row r="5876">
      <c r="A5876" s="1" t="s">
        <v>5896</v>
      </c>
      <c r="B5876" s="2">
        <v>2.0</v>
      </c>
      <c r="C5876" s="4"/>
      <c r="E5876" s="4" t="str">
        <f t="array" ref="E5876">XLOOKUP(A5876,'Fintech, Regulatory Arbitrage, '!A:A,'Fintech, Regulatory Arbitrage, '!C:C,"")</f>
        <v/>
      </c>
    </row>
    <row r="5877">
      <c r="A5877" s="1" t="s">
        <v>5897</v>
      </c>
      <c r="B5877" s="2">
        <v>2.0</v>
      </c>
      <c r="C5877" s="4"/>
      <c r="E5877" s="4" t="str">
        <f t="array" ref="E5877">XLOOKUP(A5877,'Fintech, Regulatory Arbitrage, '!A:A,'Fintech, Regulatory Arbitrage, '!C:C,"")</f>
        <v/>
      </c>
    </row>
    <row r="5878">
      <c r="A5878" s="1" t="s">
        <v>5898</v>
      </c>
      <c r="B5878" s="2">
        <v>2.0</v>
      </c>
      <c r="C5878" s="4"/>
      <c r="E5878" s="4" t="str">
        <f t="array" ref="E5878">XLOOKUP(A5878,'Fintech, Regulatory Arbitrage, '!A:A,'Fintech, Regulatory Arbitrage, '!C:C,"")</f>
        <v/>
      </c>
    </row>
    <row r="5879">
      <c r="A5879" s="1" t="s">
        <v>5899</v>
      </c>
      <c r="B5879" s="2">
        <v>2.0</v>
      </c>
      <c r="C5879" s="4"/>
      <c r="E5879" s="4" t="str">
        <f t="array" ref="E5879">XLOOKUP(A5879,'Fintech, Regulatory Arbitrage, '!A:A,'Fintech, Regulatory Arbitrage, '!C:C,"")</f>
        <v/>
      </c>
    </row>
    <row r="5880">
      <c r="A5880" s="1" t="s">
        <v>5900</v>
      </c>
      <c r="B5880" s="2">
        <v>2.0</v>
      </c>
      <c r="C5880" s="4"/>
      <c r="E5880" s="4" t="str">
        <f t="array" ref="E5880">XLOOKUP(A5880,'Fintech, Regulatory Arbitrage, '!A:A,'Fintech, Regulatory Arbitrage, '!C:C,"")</f>
        <v/>
      </c>
    </row>
    <row r="5881">
      <c r="A5881" s="1" t="s">
        <v>5901</v>
      </c>
      <c r="B5881" s="2">
        <v>2.0</v>
      </c>
      <c r="C5881" s="4"/>
      <c r="E5881" s="4" t="str">
        <f t="array" ref="E5881">XLOOKUP(A5881,'Fintech, Regulatory Arbitrage, '!A:A,'Fintech, Regulatory Arbitrage, '!C:C,"")</f>
        <v/>
      </c>
    </row>
    <row r="5882">
      <c r="A5882" s="1" t="s">
        <v>5902</v>
      </c>
      <c r="B5882" s="2">
        <v>2.0</v>
      </c>
      <c r="C5882" s="4"/>
      <c r="E5882" s="4" t="str">
        <f t="array" ref="E5882">XLOOKUP(A5882,'Fintech, Regulatory Arbitrage, '!A:A,'Fintech, Regulatory Arbitrage, '!C:C,"")</f>
        <v/>
      </c>
    </row>
    <row r="5883">
      <c r="A5883" s="1" t="s">
        <v>5903</v>
      </c>
      <c r="B5883" s="2">
        <v>2.0</v>
      </c>
      <c r="C5883" s="4"/>
      <c r="E5883" s="4" t="str">
        <f t="array" ref="E5883">XLOOKUP(A5883,'Fintech, Regulatory Arbitrage, '!A:A,'Fintech, Regulatory Arbitrage, '!C:C,"")</f>
        <v/>
      </c>
    </row>
    <row r="5884">
      <c r="A5884" s="1" t="s">
        <v>5904</v>
      </c>
      <c r="B5884" s="2">
        <v>2.0</v>
      </c>
      <c r="C5884" s="4"/>
      <c r="E5884" s="4" t="str">
        <f t="array" ref="E5884">XLOOKUP(A5884,'Fintech, Regulatory Arbitrage, '!A:A,'Fintech, Regulatory Arbitrage, '!C:C,"")</f>
        <v/>
      </c>
    </row>
    <row r="5885">
      <c r="A5885" s="1" t="s">
        <v>5905</v>
      </c>
      <c r="B5885" s="2">
        <v>2.0</v>
      </c>
      <c r="C5885" s="4"/>
      <c r="E5885" s="4" t="str">
        <f t="array" ref="E5885">XLOOKUP(A5885,'Fintech, Regulatory Arbitrage, '!A:A,'Fintech, Regulatory Arbitrage, '!C:C,"")</f>
        <v/>
      </c>
    </row>
    <row r="5886">
      <c r="A5886" s="1" t="s">
        <v>5906</v>
      </c>
      <c r="B5886" s="2">
        <v>2.0</v>
      </c>
      <c r="C5886" s="4"/>
      <c r="E5886" s="4" t="str">
        <f t="array" ref="E5886">XLOOKUP(A5886,'Fintech, Regulatory Arbitrage, '!A:A,'Fintech, Regulatory Arbitrage, '!C:C,"")</f>
        <v/>
      </c>
    </row>
    <row r="5887">
      <c r="A5887" s="1" t="s">
        <v>5907</v>
      </c>
      <c r="B5887" s="2">
        <v>2.0</v>
      </c>
      <c r="C5887" s="4"/>
      <c r="E5887" s="4" t="str">
        <f t="array" ref="E5887">XLOOKUP(A5887,'Fintech, Regulatory Arbitrage, '!A:A,'Fintech, Regulatory Arbitrage, '!C:C,"")</f>
        <v/>
      </c>
    </row>
    <row r="5888">
      <c r="A5888" s="1" t="s">
        <v>5908</v>
      </c>
      <c r="B5888" s="2">
        <v>2.0</v>
      </c>
      <c r="C5888" s="4"/>
      <c r="E5888" s="4" t="str">
        <f t="array" ref="E5888">XLOOKUP(A5888,'Fintech, Regulatory Arbitrage, '!A:A,'Fintech, Regulatory Arbitrage, '!C:C,"")</f>
        <v/>
      </c>
    </row>
    <row r="5889">
      <c r="A5889" s="1" t="s">
        <v>5909</v>
      </c>
      <c r="B5889" s="2">
        <v>2.0</v>
      </c>
      <c r="C5889" s="4"/>
      <c r="E5889" s="4" t="str">
        <f t="array" ref="E5889">XLOOKUP(A5889,'Fintech, Regulatory Arbitrage, '!A:A,'Fintech, Regulatory Arbitrage, '!C:C,"")</f>
        <v/>
      </c>
    </row>
    <row r="5890">
      <c r="A5890" s="1" t="s">
        <v>5910</v>
      </c>
      <c r="B5890" s="2">
        <v>2.0</v>
      </c>
      <c r="C5890" s="4"/>
      <c r="E5890" s="4" t="str">
        <f t="array" ref="E5890">XLOOKUP(A5890,'Fintech, Regulatory Arbitrage, '!A:A,'Fintech, Regulatory Arbitrage, '!C:C,"")</f>
        <v/>
      </c>
    </row>
    <row r="5891">
      <c r="A5891" s="1" t="s">
        <v>5911</v>
      </c>
      <c r="B5891" s="2">
        <v>2.0</v>
      </c>
      <c r="C5891" s="4"/>
      <c r="E5891" s="4" t="str">
        <f t="array" ref="E5891">XLOOKUP(A5891,'Fintech, Regulatory Arbitrage, '!A:A,'Fintech, Regulatory Arbitrage, '!C:C,"")</f>
        <v/>
      </c>
    </row>
    <row r="5892">
      <c r="A5892" s="1" t="s">
        <v>5912</v>
      </c>
      <c r="B5892" s="2">
        <v>2.0</v>
      </c>
      <c r="C5892" s="4"/>
      <c r="E5892" s="4" t="str">
        <f t="array" ref="E5892">XLOOKUP(A5892,'Fintech, Regulatory Arbitrage, '!A:A,'Fintech, Regulatory Arbitrage, '!C:C,"")</f>
        <v/>
      </c>
    </row>
    <row r="5893">
      <c r="A5893" s="1" t="s">
        <v>5913</v>
      </c>
      <c r="B5893" s="2">
        <v>2.0</v>
      </c>
      <c r="C5893" s="4"/>
      <c r="E5893" s="4" t="str">
        <f t="array" ref="E5893">XLOOKUP(A5893,'Fintech, Regulatory Arbitrage, '!A:A,'Fintech, Regulatory Arbitrage, '!C:C,"")</f>
        <v/>
      </c>
    </row>
    <row r="5894">
      <c r="A5894" s="1" t="s">
        <v>5914</v>
      </c>
      <c r="B5894" s="2">
        <v>2.0</v>
      </c>
      <c r="C5894" s="4"/>
      <c r="E5894" s="4" t="str">
        <f t="array" ref="E5894">XLOOKUP(A5894,'Fintech, Regulatory Arbitrage, '!A:A,'Fintech, Regulatory Arbitrage, '!C:C,"")</f>
        <v/>
      </c>
    </row>
    <row r="5895">
      <c r="A5895" s="1" t="s">
        <v>5915</v>
      </c>
      <c r="B5895" s="2">
        <v>2.0</v>
      </c>
      <c r="C5895" s="4"/>
      <c r="E5895" s="4" t="str">
        <f t="array" ref="E5895">XLOOKUP(A5895,'Fintech, Regulatory Arbitrage, '!A:A,'Fintech, Regulatory Arbitrage, '!C:C,"")</f>
        <v/>
      </c>
    </row>
    <row r="5896">
      <c r="A5896" s="1" t="s">
        <v>5916</v>
      </c>
      <c r="B5896" s="2">
        <v>2.0</v>
      </c>
      <c r="C5896" s="4"/>
      <c r="E5896" s="4" t="str">
        <f t="array" ref="E5896">XLOOKUP(A5896,'Fintech, Regulatory Arbitrage, '!A:A,'Fintech, Regulatory Arbitrage, '!C:C,"")</f>
        <v/>
      </c>
    </row>
    <row r="5897">
      <c r="A5897" s="1" t="s">
        <v>5917</v>
      </c>
      <c r="B5897" s="2">
        <v>2.0</v>
      </c>
      <c r="C5897" s="4"/>
      <c r="E5897" s="4" t="str">
        <f t="array" ref="E5897">XLOOKUP(A5897,'Fintech, Regulatory Arbitrage, '!A:A,'Fintech, Regulatory Arbitrage, '!C:C,"")</f>
        <v/>
      </c>
    </row>
    <row r="5898">
      <c r="A5898" s="1" t="s">
        <v>5918</v>
      </c>
      <c r="B5898" s="2">
        <v>2.0</v>
      </c>
      <c r="C5898" s="4"/>
      <c r="E5898" s="4" t="str">
        <f t="array" ref="E5898">XLOOKUP(A5898,'Fintech, Regulatory Arbitrage, '!A:A,'Fintech, Regulatory Arbitrage, '!C:C,"")</f>
        <v/>
      </c>
    </row>
    <row r="5899">
      <c r="A5899" s="1" t="s">
        <v>5919</v>
      </c>
      <c r="B5899" s="2">
        <v>2.0</v>
      </c>
      <c r="C5899" s="4"/>
      <c r="E5899" s="4" t="str">
        <f t="array" ref="E5899">XLOOKUP(A5899,'Fintech, Regulatory Arbitrage, '!A:A,'Fintech, Regulatory Arbitrage, '!C:C,"")</f>
        <v/>
      </c>
    </row>
    <row r="5900">
      <c r="A5900" s="1" t="s">
        <v>5920</v>
      </c>
      <c r="B5900" s="2">
        <v>2.0</v>
      </c>
      <c r="C5900" s="4"/>
      <c r="E5900" s="4" t="str">
        <f t="array" ref="E5900">XLOOKUP(A5900,'Fintech, Regulatory Arbitrage, '!A:A,'Fintech, Regulatory Arbitrage, '!C:C,"")</f>
        <v/>
      </c>
    </row>
    <row r="5901">
      <c r="A5901" s="1" t="s">
        <v>5921</v>
      </c>
      <c r="B5901" s="2">
        <v>2.0</v>
      </c>
      <c r="C5901" s="4"/>
      <c r="E5901" s="4" t="str">
        <f t="array" ref="E5901">XLOOKUP(A5901,'Fintech, Regulatory Arbitrage, '!A:A,'Fintech, Regulatory Arbitrage, '!C:C,"")</f>
        <v/>
      </c>
    </row>
    <row r="5902">
      <c r="A5902" s="1" t="s">
        <v>5922</v>
      </c>
      <c r="B5902" s="2">
        <v>2.0</v>
      </c>
      <c r="C5902" s="4"/>
      <c r="E5902" s="4" t="str">
        <f t="array" ref="E5902">XLOOKUP(A5902,'Fintech, Regulatory Arbitrage, '!A:A,'Fintech, Regulatory Arbitrage, '!C:C,"")</f>
        <v/>
      </c>
    </row>
    <row r="5903">
      <c r="A5903" s="1" t="s">
        <v>5923</v>
      </c>
      <c r="B5903" s="2">
        <v>2.0</v>
      </c>
      <c r="C5903" s="4"/>
      <c r="E5903" s="4" t="str">
        <f t="array" ref="E5903">XLOOKUP(A5903,'Fintech, Regulatory Arbitrage, '!A:A,'Fintech, Regulatory Arbitrage, '!C:C,"")</f>
        <v/>
      </c>
    </row>
    <row r="5904">
      <c r="A5904" s="1" t="s">
        <v>5924</v>
      </c>
      <c r="B5904" s="2">
        <v>2.0</v>
      </c>
      <c r="C5904" s="4"/>
      <c r="E5904" s="4" t="str">
        <f t="array" ref="E5904">XLOOKUP(A5904,'Fintech, Regulatory Arbitrage, '!A:A,'Fintech, Regulatory Arbitrage, '!C:C,"")</f>
        <v/>
      </c>
    </row>
    <row r="5905">
      <c r="A5905" s="1" t="s">
        <v>5925</v>
      </c>
      <c r="B5905" s="2">
        <v>2.0</v>
      </c>
      <c r="C5905" s="4"/>
      <c r="E5905" s="4" t="str">
        <f t="array" ref="E5905">XLOOKUP(A5905,'Fintech, Regulatory Arbitrage, '!A:A,'Fintech, Regulatory Arbitrage, '!C:C,"")</f>
        <v/>
      </c>
    </row>
    <row r="5906">
      <c r="A5906" s="1" t="s">
        <v>5926</v>
      </c>
      <c r="B5906" s="2">
        <v>2.0</v>
      </c>
      <c r="C5906" s="4"/>
      <c r="E5906" s="4" t="str">
        <f t="array" ref="E5906">XLOOKUP(A5906,'Fintech, Regulatory Arbitrage, '!A:A,'Fintech, Regulatory Arbitrage, '!C:C,"")</f>
        <v/>
      </c>
    </row>
    <row r="5907">
      <c r="A5907" s="1" t="s">
        <v>5927</v>
      </c>
      <c r="B5907" s="2">
        <v>2.0</v>
      </c>
      <c r="C5907" s="4"/>
      <c r="E5907" s="4" t="str">
        <f t="array" ref="E5907">XLOOKUP(A5907,'Fintech, Regulatory Arbitrage, '!A:A,'Fintech, Regulatory Arbitrage, '!C:C,"")</f>
        <v/>
      </c>
    </row>
    <row r="5908">
      <c r="A5908" s="1" t="s">
        <v>5928</v>
      </c>
      <c r="B5908" s="2">
        <v>2.0</v>
      </c>
      <c r="C5908" s="4"/>
      <c r="E5908" s="4" t="str">
        <f t="array" ref="E5908">XLOOKUP(A5908,'Fintech, Regulatory Arbitrage, '!A:A,'Fintech, Regulatory Arbitrage, '!C:C,"")</f>
        <v/>
      </c>
    </row>
    <row r="5909">
      <c r="A5909" s="1" t="s">
        <v>5929</v>
      </c>
      <c r="B5909" s="2">
        <v>2.0</v>
      </c>
      <c r="C5909" s="4"/>
      <c r="E5909" s="4" t="str">
        <f t="array" ref="E5909">XLOOKUP(A5909,'Fintech, Regulatory Arbitrage, '!A:A,'Fintech, Regulatory Arbitrage, '!C:C,"")</f>
        <v/>
      </c>
    </row>
    <row r="5910">
      <c r="A5910" s="1" t="s">
        <v>5930</v>
      </c>
      <c r="B5910" s="2">
        <v>2.0</v>
      </c>
      <c r="C5910" s="4"/>
      <c r="E5910" s="4" t="str">
        <f t="array" ref="E5910">XLOOKUP(A5910,'Fintech, Regulatory Arbitrage, '!A:A,'Fintech, Regulatory Arbitrage, '!C:C,"")</f>
        <v/>
      </c>
    </row>
    <row r="5911">
      <c r="A5911" s="1" t="s">
        <v>5931</v>
      </c>
      <c r="B5911" s="2">
        <v>2.0</v>
      </c>
      <c r="C5911" s="4"/>
      <c r="E5911" s="4" t="str">
        <f t="array" ref="E5911">XLOOKUP(A5911,'Fintech, Regulatory Arbitrage, '!A:A,'Fintech, Regulatory Arbitrage, '!C:C,"")</f>
        <v/>
      </c>
    </row>
    <row r="5912">
      <c r="A5912" s="1" t="s">
        <v>5932</v>
      </c>
      <c r="B5912" s="2">
        <v>2.0</v>
      </c>
      <c r="C5912" s="4"/>
      <c r="E5912" s="4" t="str">
        <f t="array" ref="E5912">XLOOKUP(A5912,'Fintech, Regulatory Arbitrage, '!A:A,'Fintech, Regulatory Arbitrage, '!C:C,"")</f>
        <v/>
      </c>
    </row>
    <row r="5913">
      <c r="A5913" s="1" t="s">
        <v>5933</v>
      </c>
      <c r="B5913" s="2">
        <v>2.0</v>
      </c>
      <c r="C5913" s="4"/>
      <c r="E5913" s="4" t="str">
        <f t="array" ref="E5913">XLOOKUP(A5913,'Fintech, Regulatory Arbitrage, '!A:A,'Fintech, Regulatory Arbitrage, '!C:C,"")</f>
        <v/>
      </c>
    </row>
    <row r="5914">
      <c r="A5914" s="1" t="s">
        <v>5934</v>
      </c>
      <c r="B5914" s="2">
        <v>2.0</v>
      </c>
      <c r="C5914" s="4"/>
      <c r="E5914" s="4" t="str">
        <f t="array" ref="E5914">XLOOKUP(A5914,'Fintech, Regulatory Arbitrage, '!A:A,'Fintech, Regulatory Arbitrage, '!C:C,"")</f>
        <v/>
      </c>
    </row>
    <row r="5915">
      <c r="A5915" s="1" t="s">
        <v>5935</v>
      </c>
      <c r="B5915" s="2">
        <v>2.0</v>
      </c>
      <c r="C5915" s="4"/>
      <c r="E5915" s="4" t="str">
        <f t="array" ref="E5915">XLOOKUP(A5915,'Fintech, Regulatory Arbitrage, '!A:A,'Fintech, Regulatory Arbitrage, '!C:C,"")</f>
        <v/>
      </c>
    </row>
    <row r="5916">
      <c r="A5916" s="1" t="s">
        <v>5936</v>
      </c>
      <c r="B5916" s="2">
        <v>2.0</v>
      </c>
      <c r="C5916" s="4"/>
      <c r="E5916" s="4" t="str">
        <f t="array" ref="E5916">XLOOKUP(A5916,'Fintech, Regulatory Arbitrage, '!A:A,'Fintech, Regulatory Arbitrage, '!C:C,"")</f>
        <v/>
      </c>
    </row>
    <row r="5917">
      <c r="A5917" s="1" t="s">
        <v>5937</v>
      </c>
      <c r="B5917" s="2">
        <v>2.0</v>
      </c>
      <c r="C5917" s="4"/>
      <c r="E5917" s="4" t="str">
        <f t="array" ref="E5917">XLOOKUP(A5917,'Fintech, Regulatory Arbitrage, '!A:A,'Fintech, Regulatory Arbitrage, '!C:C,"")</f>
        <v/>
      </c>
    </row>
    <row r="5918">
      <c r="A5918" s="1" t="s">
        <v>5938</v>
      </c>
      <c r="B5918" s="2">
        <v>2.0</v>
      </c>
      <c r="C5918" s="4"/>
      <c r="E5918" s="4" t="str">
        <f t="array" ref="E5918">XLOOKUP(A5918,'Fintech, Regulatory Arbitrage, '!A:A,'Fintech, Regulatory Arbitrage, '!C:C,"")</f>
        <v/>
      </c>
    </row>
    <row r="5919">
      <c r="A5919" s="1" t="s">
        <v>5939</v>
      </c>
      <c r="B5919" s="2">
        <v>2.0</v>
      </c>
      <c r="C5919" s="4"/>
      <c r="E5919" s="4" t="str">
        <f t="array" ref="E5919">XLOOKUP(A5919,'Fintech, Regulatory Arbitrage, '!A:A,'Fintech, Regulatory Arbitrage, '!C:C,"")</f>
        <v/>
      </c>
    </row>
    <row r="5920">
      <c r="A5920" s="1" t="s">
        <v>5940</v>
      </c>
      <c r="B5920" s="2">
        <v>2.0</v>
      </c>
      <c r="C5920" s="4"/>
      <c r="E5920" s="4" t="str">
        <f t="array" ref="E5920">XLOOKUP(A5920,'Fintech, Regulatory Arbitrage, '!A:A,'Fintech, Regulatory Arbitrage, '!C:C,"")</f>
        <v/>
      </c>
    </row>
    <row r="5921">
      <c r="A5921" s="1" t="s">
        <v>5941</v>
      </c>
      <c r="B5921" s="2">
        <v>2.0</v>
      </c>
      <c r="C5921" s="4"/>
      <c r="E5921" s="4" t="str">
        <f t="array" ref="E5921">XLOOKUP(A5921,'Fintech, Regulatory Arbitrage, '!A:A,'Fintech, Regulatory Arbitrage, '!C:C,"")</f>
        <v/>
      </c>
    </row>
    <row r="5922">
      <c r="A5922" s="1" t="s">
        <v>5942</v>
      </c>
      <c r="B5922" s="2">
        <v>2.0</v>
      </c>
      <c r="C5922" s="4"/>
      <c r="E5922" s="4" t="str">
        <f t="array" ref="E5922">XLOOKUP(A5922,'Fintech, Regulatory Arbitrage, '!A:A,'Fintech, Regulatory Arbitrage, '!C:C,"")</f>
        <v/>
      </c>
    </row>
    <row r="5923">
      <c r="A5923" s="1" t="s">
        <v>5943</v>
      </c>
      <c r="B5923" s="2">
        <v>2.0</v>
      </c>
      <c r="C5923" s="4"/>
      <c r="E5923" s="4" t="str">
        <f t="array" ref="E5923">XLOOKUP(A5923,'Fintech, Regulatory Arbitrage, '!A:A,'Fintech, Regulatory Arbitrage, '!C:C,"")</f>
        <v/>
      </c>
    </row>
    <row r="5924">
      <c r="A5924" s="1" t="s">
        <v>5944</v>
      </c>
      <c r="B5924" s="2">
        <v>2.0</v>
      </c>
      <c r="C5924" s="4"/>
      <c r="E5924" s="4" t="str">
        <f t="array" ref="E5924">XLOOKUP(A5924,'Fintech, Regulatory Arbitrage, '!A:A,'Fintech, Regulatory Arbitrage, '!C:C,"")</f>
        <v/>
      </c>
    </row>
    <row r="5925">
      <c r="A5925" s="1" t="s">
        <v>5945</v>
      </c>
      <c r="B5925" s="2">
        <v>2.0</v>
      </c>
      <c r="C5925" s="4"/>
      <c r="E5925" s="4" t="str">
        <f t="array" ref="E5925">XLOOKUP(A5925,'Fintech, Regulatory Arbitrage, '!A:A,'Fintech, Regulatory Arbitrage, '!C:C,"")</f>
        <v/>
      </c>
    </row>
    <row r="5926">
      <c r="A5926" s="1" t="s">
        <v>5946</v>
      </c>
      <c r="B5926" s="2">
        <v>2.0</v>
      </c>
      <c r="C5926" s="4"/>
      <c r="E5926" s="4" t="str">
        <f t="array" ref="E5926">XLOOKUP(A5926,'Fintech, Regulatory Arbitrage, '!A:A,'Fintech, Regulatory Arbitrage, '!C:C,"")</f>
        <v/>
      </c>
    </row>
    <row r="5927">
      <c r="A5927" s="1" t="s">
        <v>5947</v>
      </c>
      <c r="B5927" s="2">
        <v>2.0</v>
      </c>
      <c r="C5927" s="4"/>
      <c r="E5927" s="4" t="str">
        <f t="array" ref="E5927">XLOOKUP(A5927,'Fintech, Regulatory Arbitrage, '!A:A,'Fintech, Regulatory Arbitrage, '!C:C,"")</f>
        <v/>
      </c>
    </row>
    <row r="5928">
      <c r="A5928" s="1" t="s">
        <v>5948</v>
      </c>
      <c r="B5928" s="2">
        <v>2.0</v>
      </c>
      <c r="C5928" s="4"/>
      <c r="E5928" s="4" t="str">
        <f t="array" ref="E5928">XLOOKUP(A5928,'Fintech, Regulatory Arbitrage, '!A:A,'Fintech, Regulatory Arbitrage, '!C:C,"")</f>
        <v/>
      </c>
    </row>
    <row r="5929">
      <c r="A5929" s="1" t="s">
        <v>5949</v>
      </c>
      <c r="B5929" s="2">
        <v>2.0</v>
      </c>
      <c r="C5929" s="4"/>
      <c r="E5929" s="4" t="str">
        <f t="array" ref="E5929">XLOOKUP(A5929,'Fintech, Regulatory Arbitrage, '!A:A,'Fintech, Regulatory Arbitrage, '!C:C,"")</f>
        <v/>
      </c>
    </row>
    <row r="5930">
      <c r="A5930" s="1" t="s">
        <v>5950</v>
      </c>
      <c r="B5930" s="2">
        <v>2.0</v>
      </c>
      <c r="C5930" s="4"/>
      <c r="E5930" s="4" t="str">
        <f t="array" ref="E5930">XLOOKUP(A5930,'Fintech, Regulatory Arbitrage, '!A:A,'Fintech, Regulatory Arbitrage, '!C:C,"")</f>
        <v/>
      </c>
    </row>
    <row r="5931">
      <c r="A5931" s="1" t="s">
        <v>5951</v>
      </c>
      <c r="B5931" s="2">
        <v>2.0</v>
      </c>
      <c r="C5931" s="4"/>
      <c r="E5931" s="4" t="str">
        <f t="array" ref="E5931">XLOOKUP(A5931,'Fintech, Regulatory Arbitrage, '!A:A,'Fintech, Regulatory Arbitrage, '!C:C,"")</f>
        <v/>
      </c>
    </row>
    <row r="5932">
      <c r="A5932" s="1" t="s">
        <v>5952</v>
      </c>
      <c r="B5932" s="2">
        <v>2.0</v>
      </c>
      <c r="C5932" s="4"/>
      <c r="E5932" s="4" t="str">
        <f t="array" ref="E5932">XLOOKUP(A5932,'Fintech, Regulatory Arbitrage, '!A:A,'Fintech, Regulatory Arbitrage, '!C:C,"")</f>
        <v/>
      </c>
    </row>
    <row r="5933">
      <c r="A5933" s="1" t="s">
        <v>5953</v>
      </c>
      <c r="B5933" s="2">
        <v>2.0</v>
      </c>
      <c r="C5933" s="4"/>
      <c r="E5933" s="4" t="str">
        <f t="array" ref="E5933">XLOOKUP(A5933,'Fintech, Regulatory Arbitrage, '!A:A,'Fintech, Regulatory Arbitrage, '!C:C,"")</f>
        <v/>
      </c>
    </row>
    <row r="5934">
      <c r="A5934" s="1" t="s">
        <v>5954</v>
      </c>
      <c r="B5934" s="2">
        <v>2.0</v>
      </c>
      <c r="C5934" s="4"/>
      <c r="E5934" s="4" t="str">
        <f t="array" ref="E5934">XLOOKUP(A5934,'Fintech, Regulatory Arbitrage, '!A:A,'Fintech, Regulatory Arbitrage, '!C:C,"")</f>
        <v/>
      </c>
    </row>
    <row r="5935">
      <c r="A5935" s="1" t="s">
        <v>5955</v>
      </c>
      <c r="B5935" s="2">
        <v>2.0</v>
      </c>
      <c r="C5935" s="4"/>
      <c r="E5935" s="4" t="str">
        <f t="array" ref="E5935">XLOOKUP(A5935,'Fintech, Regulatory Arbitrage, '!A:A,'Fintech, Regulatory Arbitrage, '!C:C,"")</f>
        <v/>
      </c>
    </row>
    <row r="5936">
      <c r="A5936" s="1" t="s">
        <v>5956</v>
      </c>
      <c r="B5936" s="2">
        <v>2.0</v>
      </c>
      <c r="C5936" s="4"/>
      <c r="E5936" s="4" t="str">
        <f t="array" ref="E5936">XLOOKUP(A5936,'Fintech, Regulatory Arbitrage, '!A:A,'Fintech, Regulatory Arbitrage, '!C:C,"")</f>
        <v/>
      </c>
    </row>
    <row r="5937">
      <c r="A5937" s="1" t="s">
        <v>5957</v>
      </c>
      <c r="B5937" s="2">
        <v>2.0</v>
      </c>
      <c r="C5937" s="4"/>
      <c r="E5937" s="4" t="str">
        <f t="array" ref="E5937">XLOOKUP(A5937,'Fintech, Regulatory Arbitrage, '!A:A,'Fintech, Regulatory Arbitrage, '!C:C,"")</f>
        <v/>
      </c>
    </row>
    <row r="5938">
      <c r="A5938" s="1" t="s">
        <v>5958</v>
      </c>
      <c r="B5938" s="2">
        <v>2.0</v>
      </c>
      <c r="C5938" s="4"/>
      <c r="E5938" s="4" t="str">
        <f t="array" ref="E5938">XLOOKUP(A5938,'Fintech, Regulatory Arbitrage, '!A:A,'Fintech, Regulatory Arbitrage, '!C:C,"")</f>
        <v/>
      </c>
    </row>
    <row r="5939">
      <c r="A5939" s="1" t="s">
        <v>5959</v>
      </c>
      <c r="B5939" s="2">
        <v>2.0</v>
      </c>
      <c r="C5939" s="4"/>
      <c r="E5939" s="4" t="str">
        <f t="array" ref="E5939">XLOOKUP(A5939,'Fintech, Regulatory Arbitrage, '!A:A,'Fintech, Regulatory Arbitrage, '!C:C,"")</f>
        <v/>
      </c>
    </row>
    <row r="5940">
      <c r="A5940" s="1" t="s">
        <v>5960</v>
      </c>
      <c r="B5940" s="2">
        <v>2.0</v>
      </c>
      <c r="C5940" s="4"/>
      <c r="E5940" s="4" t="str">
        <f t="array" ref="E5940">XLOOKUP(A5940,'Fintech, Regulatory Arbitrage, '!A:A,'Fintech, Regulatory Arbitrage, '!C:C,"")</f>
        <v/>
      </c>
    </row>
    <row r="5941">
      <c r="A5941" s="1" t="s">
        <v>5961</v>
      </c>
      <c r="B5941" s="2">
        <v>2.0</v>
      </c>
      <c r="C5941" s="4"/>
      <c r="E5941" s="4" t="str">
        <f t="array" ref="E5941">XLOOKUP(A5941,'Fintech, Regulatory Arbitrage, '!A:A,'Fintech, Regulatory Arbitrage, '!C:C,"")</f>
        <v/>
      </c>
    </row>
    <row r="5942">
      <c r="A5942" s="1" t="s">
        <v>5962</v>
      </c>
      <c r="B5942" s="2">
        <v>2.0</v>
      </c>
      <c r="C5942" s="4"/>
      <c r="E5942" s="4" t="str">
        <f t="array" ref="E5942">XLOOKUP(A5942,'Fintech, Regulatory Arbitrage, '!A:A,'Fintech, Regulatory Arbitrage, '!C:C,"")</f>
        <v/>
      </c>
    </row>
    <row r="5943">
      <c r="A5943" s="1" t="s">
        <v>5963</v>
      </c>
      <c r="B5943" s="2">
        <v>2.0</v>
      </c>
      <c r="C5943" s="4"/>
      <c r="E5943" s="4" t="str">
        <f t="array" ref="E5943">XLOOKUP(A5943,'Fintech, Regulatory Arbitrage, '!A:A,'Fintech, Regulatory Arbitrage, '!C:C,"")</f>
        <v/>
      </c>
    </row>
    <row r="5944">
      <c r="A5944" s="1" t="s">
        <v>5964</v>
      </c>
      <c r="B5944" s="2">
        <v>2.0</v>
      </c>
      <c r="C5944" s="4"/>
      <c r="E5944" s="4" t="str">
        <f t="array" ref="E5944">XLOOKUP(A5944,'Fintech, Regulatory Arbitrage, '!A:A,'Fintech, Regulatory Arbitrage, '!C:C,"")</f>
        <v/>
      </c>
    </row>
    <row r="5945">
      <c r="A5945" s="1" t="s">
        <v>5965</v>
      </c>
      <c r="B5945" s="2">
        <v>2.0</v>
      </c>
      <c r="C5945" s="4"/>
      <c r="E5945" s="4" t="str">
        <f t="array" ref="E5945">XLOOKUP(A5945,'Fintech, Regulatory Arbitrage, '!A:A,'Fintech, Regulatory Arbitrage, '!C:C,"")</f>
        <v/>
      </c>
    </row>
    <row r="5946">
      <c r="A5946" s="1" t="s">
        <v>5966</v>
      </c>
      <c r="B5946" s="2">
        <v>2.0</v>
      </c>
      <c r="C5946" s="4"/>
      <c r="E5946" s="4" t="str">
        <f t="array" ref="E5946">XLOOKUP(A5946,'Fintech, Regulatory Arbitrage, '!A:A,'Fintech, Regulatory Arbitrage, '!C:C,"")</f>
        <v/>
      </c>
    </row>
    <row r="5947">
      <c r="A5947" s="1" t="s">
        <v>5967</v>
      </c>
      <c r="B5947" s="2">
        <v>2.0</v>
      </c>
      <c r="C5947" s="4"/>
      <c r="E5947" s="4" t="str">
        <f t="array" ref="E5947">XLOOKUP(A5947,'Fintech, Regulatory Arbitrage, '!A:A,'Fintech, Regulatory Arbitrage, '!C:C,"")</f>
        <v/>
      </c>
    </row>
    <row r="5948">
      <c r="A5948" s="1" t="s">
        <v>5968</v>
      </c>
      <c r="B5948" s="2">
        <v>2.0</v>
      </c>
      <c r="C5948" s="4"/>
      <c r="E5948" s="4" t="str">
        <f t="array" ref="E5948">XLOOKUP(A5948,'Fintech, Regulatory Arbitrage, '!A:A,'Fintech, Regulatory Arbitrage, '!C:C,"")</f>
        <v/>
      </c>
    </row>
    <row r="5949">
      <c r="A5949" s="1" t="s">
        <v>5969</v>
      </c>
      <c r="B5949" s="2">
        <v>2.0</v>
      </c>
      <c r="C5949" s="4"/>
      <c r="E5949" s="4" t="str">
        <f t="array" ref="E5949">XLOOKUP(A5949,'Fintech, Regulatory Arbitrage, '!A:A,'Fintech, Regulatory Arbitrage, '!C:C,"")</f>
        <v/>
      </c>
    </row>
    <row r="5950">
      <c r="A5950" s="1" t="s">
        <v>5970</v>
      </c>
      <c r="B5950" s="2">
        <v>2.0</v>
      </c>
      <c r="C5950" s="4"/>
      <c r="E5950" s="4" t="str">
        <f t="array" ref="E5950">XLOOKUP(A5950,'Fintech, Regulatory Arbitrage, '!A:A,'Fintech, Regulatory Arbitrage, '!C:C,"")</f>
        <v/>
      </c>
    </row>
    <row r="5951">
      <c r="A5951" s="1" t="s">
        <v>5971</v>
      </c>
      <c r="B5951" s="2">
        <v>2.0</v>
      </c>
      <c r="C5951" s="4"/>
      <c r="E5951" s="4" t="str">
        <f t="array" ref="E5951">XLOOKUP(A5951,'Fintech, Regulatory Arbitrage, '!A:A,'Fintech, Regulatory Arbitrage, '!C:C,"")</f>
        <v/>
      </c>
    </row>
    <row r="5952">
      <c r="A5952" s="1" t="s">
        <v>5972</v>
      </c>
      <c r="B5952" s="2">
        <v>2.0</v>
      </c>
      <c r="C5952" s="4"/>
      <c r="E5952" s="4" t="str">
        <f t="array" ref="E5952">XLOOKUP(A5952,'Fintech, Regulatory Arbitrage, '!A:A,'Fintech, Regulatory Arbitrage, '!C:C,"")</f>
        <v/>
      </c>
    </row>
    <row r="5953">
      <c r="A5953" s="1" t="s">
        <v>5973</v>
      </c>
      <c r="B5953" s="2">
        <v>2.0</v>
      </c>
      <c r="C5953" s="4"/>
      <c r="E5953" s="4" t="str">
        <f t="array" ref="E5953">XLOOKUP(A5953,'Fintech, Regulatory Arbitrage, '!A:A,'Fintech, Regulatory Arbitrage, '!C:C,"")</f>
        <v/>
      </c>
    </row>
    <row r="5954">
      <c r="A5954" s="1" t="s">
        <v>5974</v>
      </c>
      <c r="B5954" s="2">
        <v>2.0</v>
      </c>
      <c r="C5954" s="4"/>
      <c r="E5954" s="4" t="str">
        <f t="array" ref="E5954">XLOOKUP(A5954,'Fintech, Regulatory Arbitrage, '!A:A,'Fintech, Regulatory Arbitrage, '!C:C,"")</f>
        <v/>
      </c>
    </row>
    <row r="5955">
      <c r="A5955" s="1" t="s">
        <v>5975</v>
      </c>
      <c r="B5955" s="2">
        <v>2.0</v>
      </c>
      <c r="C5955" s="4"/>
      <c r="E5955" s="4" t="str">
        <f t="array" ref="E5955">XLOOKUP(A5955,'Fintech, Regulatory Arbitrage, '!A:A,'Fintech, Regulatory Arbitrage, '!C:C,"")</f>
        <v/>
      </c>
    </row>
    <row r="5956">
      <c r="A5956" s="1" t="s">
        <v>5976</v>
      </c>
      <c r="B5956" s="2">
        <v>2.0</v>
      </c>
      <c r="C5956" s="4"/>
      <c r="E5956" s="4" t="str">
        <f t="array" ref="E5956">XLOOKUP(A5956,'Fintech, Regulatory Arbitrage, '!A:A,'Fintech, Regulatory Arbitrage, '!C:C,"")</f>
        <v/>
      </c>
    </row>
    <row r="5957">
      <c r="A5957" s="1" t="s">
        <v>5977</v>
      </c>
      <c r="B5957" s="2">
        <v>2.0</v>
      </c>
      <c r="C5957" s="4"/>
      <c r="E5957" s="4" t="str">
        <f t="array" ref="E5957">XLOOKUP(A5957,'Fintech, Regulatory Arbitrage, '!A:A,'Fintech, Regulatory Arbitrage, '!C:C,"")</f>
        <v/>
      </c>
    </row>
    <row r="5958">
      <c r="A5958" s="1" t="s">
        <v>5978</v>
      </c>
      <c r="B5958" s="2">
        <v>2.0</v>
      </c>
      <c r="C5958" s="4"/>
      <c r="E5958" s="4" t="str">
        <f t="array" ref="E5958">XLOOKUP(A5958,'Fintech, Regulatory Arbitrage, '!A:A,'Fintech, Regulatory Arbitrage, '!C:C,"")</f>
        <v/>
      </c>
    </row>
    <row r="5959">
      <c r="A5959" s="1" t="s">
        <v>5979</v>
      </c>
      <c r="B5959" s="2">
        <v>2.0</v>
      </c>
      <c r="C5959" s="4"/>
      <c r="E5959" s="4" t="str">
        <f t="array" ref="E5959">XLOOKUP(A5959,'Fintech, Regulatory Arbitrage, '!A:A,'Fintech, Regulatory Arbitrage, '!C:C,"")</f>
        <v/>
      </c>
    </row>
    <row r="5960">
      <c r="A5960" s="1" t="s">
        <v>5980</v>
      </c>
      <c r="B5960" s="2">
        <v>2.0</v>
      </c>
      <c r="C5960" s="4"/>
      <c r="E5960" s="4" t="str">
        <f t="array" ref="E5960">XLOOKUP(A5960,'Fintech, Regulatory Arbitrage, '!A:A,'Fintech, Regulatory Arbitrage, '!C:C,"")</f>
        <v/>
      </c>
    </row>
    <row r="5961">
      <c r="A5961" s="1" t="s">
        <v>5981</v>
      </c>
      <c r="B5961" s="2">
        <v>2.0</v>
      </c>
      <c r="C5961" s="4"/>
      <c r="E5961" s="4" t="str">
        <f t="array" ref="E5961">XLOOKUP(A5961,'Fintech, Regulatory Arbitrage, '!A:A,'Fintech, Regulatory Arbitrage, '!C:C,"")</f>
        <v/>
      </c>
    </row>
    <row r="5962">
      <c r="A5962" s="1" t="s">
        <v>5982</v>
      </c>
      <c r="B5962" s="2">
        <v>2.0</v>
      </c>
      <c r="C5962" s="4"/>
      <c r="E5962" s="4" t="str">
        <f t="array" ref="E5962">XLOOKUP(A5962,'Fintech, Regulatory Arbitrage, '!A:A,'Fintech, Regulatory Arbitrage, '!C:C,"")</f>
        <v/>
      </c>
    </row>
    <row r="5963">
      <c r="A5963" s="1" t="s">
        <v>5983</v>
      </c>
      <c r="B5963" s="2">
        <v>2.0</v>
      </c>
      <c r="C5963" s="4"/>
      <c r="E5963" s="4" t="str">
        <f t="array" ref="E5963">XLOOKUP(A5963,'Fintech, Regulatory Arbitrage, '!A:A,'Fintech, Regulatory Arbitrage, '!C:C,"")</f>
        <v/>
      </c>
    </row>
    <row r="5964">
      <c r="A5964" s="1" t="s">
        <v>5984</v>
      </c>
      <c r="B5964" s="2">
        <v>2.0</v>
      </c>
      <c r="C5964" s="4"/>
      <c r="E5964" s="4" t="str">
        <f t="array" ref="E5964">XLOOKUP(A5964,'Fintech, Regulatory Arbitrage, '!A:A,'Fintech, Regulatory Arbitrage, '!C:C,"")</f>
        <v/>
      </c>
    </row>
    <row r="5965">
      <c r="A5965" s="1" t="s">
        <v>5985</v>
      </c>
      <c r="B5965" s="2">
        <v>2.0</v>
      </c>
      <c r="C5965" s="4"/>
      <c r="E5965" s="4" t="str">
        <f t="array" ref="E5965">XLOOKUP(A5965,'Fintech, Regulatory Arbitrage, '!A:A,'Fintech, Regulatory Arbitrage, '!C:C,"")</f>
        <v/>
      </c>
    </row>
    <row r="5966">
      <c r="A5966" s="1" t="s">
        <v>5986</v>
      </c>
      <c r="B5966" s="2">
        <v>2.0</v>
      </c>
      <c r="C5966" s="4"/>
      <c r="E5966" s="4" t="str">
        <f t="array" ref="E5966">XLOOKUP(A5966,'Fintech, Regulatory Arbitrage, '!A:A,'Fintech, Regulatory Arbitrage, '!C:C,"")</f>
        <v/>
      </c>
    </row>
    <row r="5967">
      <c r="A5967" s="1" t="s">
        <v>5987</v>
      </c>
      <c r="B5967" s="2">
        <v>2.0</v>
      </c>
      <c r="C5967" s="4"/>
      <c r="E5967" s="4" t="str">
        <f t="array" ref="E5967">XLOOKUP(A5967,'Fintech, Regulatory Arbitrage, '!A:A,'Fintech, Regulatory Arbitrage, '!C:C,"")</f>
        <v/>
      </c>
    </row>
    <row r="5968">
      <c r="A5968" s="1" t="s">
        <v>5988</v>
      </c>
      <c r="B5968" s="2">
        <v>2.0</v>
      </c>
      <c r="C5968" s="4"/>
      <c r="E5968" s="4" t="str">
        <f t="array" ref="E5968">XLOOKUP(A5968,'Fintech, Regulatory Arbitrage, '!A:A,'Fintech, Regulatory Arbitrage, '!C:C,"")</f>
        <v/>
      </c>
    </row>
    <row r="5969">
      <c r="A5969" s="1" t="s">
        <v>5989</v>
      </c>
      <c r="B5969" s="2">
        <v>2.0</v>
      </c>
      <c r="C5969" s="4"/>
      <c r="E5969" s="4" t="str">
        <f t="array" ref="E5969">XLOOKUP(A5969,'Fintech, Regulatory Arbitrage, '!A:A,'Fintech, Regulatory Arbitrage, '!C:C,"")</f>
        <v/>
      </c>
    </row>
    <row r="5970">
      <c r="A5970" s="1" t="s">
        <v>5990</v>
      </c>
      <c r="B5970" s="2">
        <v>2.0</v>
      </c>
      <c r="C5970" s="4"/>
      <c r="E5970" s="4" t="str">
        <f t="array" ref="E5970">XLOOKUP(A5970,'Fintech, Regulatory Arbitrage, '!A:A,'Fintech, Regulatory Arbitrage, '!C:C,"")</f>
        <v/>
      </c>
    </row>
    <row r="5971">
      <c r="A5971" s="1" t="s">
        <v>5991</v>
      </c>
      <c r="B5971" s="2">
        <v>2.0</v>
      </c>
      <c r="C5971" s="4"/>
      <c r="E5971" s="4" t="str">
        <f t="array" ref="E5971">XLOOKUP(A5971,'Fintech, Regulatory Arbitrage, '!A:A,'Fintech, Regulatory Arbitrage, '!C:C,"")</f>
        <v/>
      </c>
    </row>
    <row r="5972">
      <c r="A5972" s="1" t="s">
        <v>5992</v>
      </c>
      <c r="B5972" s="2">
        <v>2.0</v>
      </c>
      <c r="C5972" s="4"/>
      <c r="E5972" s="4" t="str">
        <f t="array" ref="E5972">XLOOKUP(A5972,'Fintech, Regulatory Arbitrage, '!A:A,'Fintech, Regulatory Arbitrage, '!C:C,"")</f>
        <v/>
      </c>
    </row>
    <row r="5973">
      <c r="A5973" s="1" t="s">
        <v>5993</v>
      </c>
      <c r="B5973" s="2">
        <v>2.0</v>
      </c>
      <c r="C5973" s="4"/>
      <c r="E5973" s="4" t="str">
        <f t="array" ref="E5973">XLOOKUP(A5973,'Fintech, Regulatory Arbitrage, '!A:A,'Fintech, Regulatory Arbitrage, '!C:C,"")</f>
        <v/>
      </c>
    </row>
    <row r="5974">
      <c r="A5974" s="1" t="s">
        <v>5994</v>
      </c>
      <c r="B5974" s="2">
        <v>2.0</v>
      </c>
      <c r="C5974" s="4"/>
      <c r="E5974" s="4" t="str">
        <f t="array" ref="E5974">XLOOKUP(A5974,'Fintech, Regulatory Arbitrage, '!A:A,'Fintech, Regulatory Arbitrage, '!C:C,"")</f>
        <v/>
      </c>
    </row>
    <row r="5975">
      <c r="A5975" s="1" t="s">
        <v>5995</v>
      </c>
      <c r="B5975" s="2">
        <v>2.0</v>
      </c>
      <c r="C5975" s="4"/>
      <c r="E5975" s="4" t="str">
        <f t="array" ref="E5975">XLOOKUP(A5975,'Fintech, Regulatory Arbitrage, '!A:A,'Fintech, Regulatory Arbitrage, '!C:C,"")</f>
        <v/>
      </c>
    </row>
    <row r="5976">
      <c r="A5976" s="1" t="s">
        <v>5996</v>
      </c>
      <c r="B5976" s="2">
        <v>2.0</v>
      </c>
      <c r="C5976" s="4"/>
      <c r="E5976" s="4" t="str">
        <f t="array" ref="E5976">XLOOKUP(A5976,'Fintech, Regulatory Arbitrage, '!A:A,'Fintech, Regulatory Arbitrage, '!C:C,"")</f>
        <v/>
      </c>
    </row>
    <row r="5977">
      <c r="A5977" s="1" t="s">
        <v>5997</v>
      </c>
      <c r="B5977" s="2">
        <v>2.0</v>
      </c>
      <c r="C5977" s="4"/>
      <c r="E5977" s="4" t="str">
        <f t="array" ref="E5977">XLOOKUP(A5977,'Fintech, Regulatory Arbitrage, '!A:A,'Fintech, Regulatory Arbitrage, '!C:C,"")</f>
        <v/>
      </c>
    </row>
    <row r="5978">
      <c r="A5978" s="1" t="s">
        <v>5998</v>
      </c>
      <c r="B5978" s="2">
        <v>2.0</v>
      </c>
      <c r="C5978" s="4"/>
      <c r="E5978" s="4" t="str">
        <f t="array" ref="E5978">XLOOKUP(A5978,'Fintech, Regulatory Arbitrage, '!A:A,'Fintech, Regulatory Arbitrage, '!C:C,"")</f>
        <v/>
      </c>
    </row>
    <row r="5979">
      <c r="A5979" s="1" t="s">
        <v>5999</v>
      </c>
      <c r="B5979" s="2">
        <v>2.0</v>
      </c>
      <c r="C5979" s="4"/>
      <c r="E5979" s="4" t="str">
        <f t="array" ref="E5979">XLOOKUP(A5979,'Fintech, Regulatory Arbitrage, '!A:A,'Fintech, Regulatory Arbitrage, '!C:C,"")</f>
        <v/>
      </c>
    </row>
    <row r="5980">
      <c r="A5980" s="1" t="s">
        <v>6000</v>
      </c>
      <c r="B5980" s="2">
        <v>2.0</v>
      </c>
      <c r="C5980" s="4"/>
      <c r="E5980" s="4" t="str">
        <f t="array" ref="E5980">XLOOKUP(A5980,'Fintech, Regulatory Arbitrage, '!A:A,'Fintech, Regulatory Arbitrage, '!C:C,"")</f>
        <v/>
      </c>
    </row>
    <row r="5981">
      <c r="A5981" s="1" t="s">
        <v>6001</v>
      </c>
      <c r="B5981" s="2">
        <v>2.0</v>
      </c>
      <c r="C5981" s="4"/>
      <c r="E5981" s="4" t="str">
        <f t="array" ref="E5981">XLOOKUP(A5981,'Fintech, Regulatory Arbitrage, '!A:A,'Fintech, Regulatory Arbitrage, '!C:C,"")</f>
        <v/>
      </c>
    </row>
    <row r="5982">
      <c r="A5982" s="1" t="s">
        <v>6002</v>
      </c>
      <c r="B5982" s="2">
        <v>2.0</v>
      </c>
      <c r="C5982" s="4"/>
      <c r="E5982" s="4" t="str">
        <f t="array" ref="E5982">XLOOKUP(A5982,'Fintech, Regulatory Arbitrage, '!A:A,'Fintech, Regulatory Arbitrage, '!C:C,"")</f>
        <v/>
      </c>
    </row>
    <row r="5983">
      <c r="A5983" s="1" t="s">
        <v>6003</v>
      </c>
      <c r="B5983" s="2">
        <v>2.0</v>
      </c>
      <c r="C5983" s="4"/>
      <c r="E5983" s="4" t="str">
        <f t="array" ref="E5983">XLOOKUP(A5983,'Fintech, Regulatory Arbitrage, '!A:A,'Fintech, Regulatory Arbitrage, '!C:C,"")</f>
        <v/>
      </c>
    </row>
    <row r="5984">
      <c r="A5984" s="1" t="s">
        <v>6004</v>
      </c>
      <c r="B5984" s="2">
        <v>2.0</v>
      </c>
      <c r="C5984" s="4"/>
      <c r="E5984" s="4" t="str">
        <f t="array" ref="E5984">XLOOKUP(A5984,'Fintech, Regulatory Arbitrage, '!A:A,'Fintech, Regulatory Arbitrage, '!C:C,"")</f>
        <v/>
      </c>
    </row>
    <row r="5985">
      <c r="A5985" s="1" t="s">
        <v>6005</v>
      </c>
      <c r="B5985" s="2">
        <v>2.0</v>
      </c>
      <c r="C5985" s="4"/>
      <c r="E5985" s="4" t="str">
        <f t="array" ref="E5985">XLOOKUP(A5985,'Fintech, Regulatory Arbitrage, '!A:A,'Fintech, Regulatory Arbitrage, '!C:C,"")</f>
        <v/>
      </c>
    </row>
    <row r="5986">
      <c r="A5986" s="1" t="s">
        <v>6006</v>
      </c>
      <c r="B5986" s="2">
        <v>2.0</v>
      </c>
      <c r="C5986" s="4"/>
      <c r="E5986" s="4" t="str">
        <f t="array" ref="E5986">XLOOKUP(A5986,'Fintech, Regulatory Arbitrage, '!A:A,'Fintech, Regulatory Arbitrage, '!C:C,"")</f>
        <v/>
      </c>
    </row>
    <row r="5987">
      <c r="A5987" s="1" t="s">
        <v>6007</v>
      </c>
      <c r="B5987" s="2">
        <v>2.0</v>
      </c>
      <c r="C5987" s="4"/>
      <c r="E5987" s="4" t="str">
        <f t="array" ref="E5987">XLOOKUP(A5987,'Fintech, Regulatory Arbitrage, '!A:A,'Fintech, Regulatory Arbitrage, '!C:C,"")</f>
        <v/>
      </c>
    </row>
    <row r="5988">
      <c r="A5988" s="1" t="s">
        <v>6008</v>
      </c>
      <c r="B5988" s="2">
        <v>2.0</v>
      </c>
      <c r="C5988" s="4"/>
      <c r="E5988" s="4" t="str">
        <f t="array" ref="E5988">XLOOKUP(A5988,'Fintech, Regulatory Arbitrage, '!A:A,'Fintech, Regulatory Arbitrage, '!C:C,"")</f>
        <v/>
      </c>
    </row>
    <row r="5989">
      <c r="A5989" s="1" t="s">
        <v>6009</v>
      </c>
      <c r="B5989" s="2">
        <v>2.0</v>
      </c>
      <c r="C5989" s="4"/>
      <c r="E5989" s="4" t="str">
        <f t="array" ref="E5989">XLOOKUP(A5989,'Fintech, Regulatory Arbitrage, '!A:A,'Fintech, Regulatory Arbitrage, '!C:C,"")</f>
        <v/>
      </c>
    </row>
    <row r="5990">
      <c r="A5990" s="1" t="s">
        <v>6010</v>
      </c>
      <c r="B5990" s="2">
        <v>2.0</v>
      </c>
      <c r="C5990" s="4"/>
      <c r="E5990" s="4" t="str">
        <f t="array" ref="E5990">XLOOKUP(A5990,'Fintech, Regulatory Arbitrage, '!A:A,'Fintech, Regulatory Arbitrage, '!C:C,"")</f>
        <v/>
      </c>
    </row>
    <row r="5991">
      <c r="A5991" s="1" t="s">
        <v>6011</v>
      </c>
      <c r="B5991" s="2">
        <v>2.0</v>
      </c>
      <c r="C5991" s="4"/>
      <c r="E5991" s="4" t="str">
        <f t="array" ref="E5991">XLOOKUP(A5991,'Fintech, Regulatory Arbitrage, '!A:A,'Fintech, Regulatory Arbitrage, '!C:C,"")</f>
        <v/>
      </c>
    </row>
    <row r="5992">
      <c r="A5992" s="1" t="s">
        <v>6012</v>
      </c>
      <c r="B5992" s="2">
        <v>2.0</v>
      </c>
      <c r="C5992" s="4"/>
      <c r="E5992" s="4" t="str">
        <f t="array" ref="E5992">XLOOKUP(A5992,'Fintech, Regulatory Arbitrage, '!A:A,'Fintech, Regulatory Arbitrage, '!C:C,"")</f>
        <v/>
      </c>
    </row>
    <row r="5993">
      <c r="A5993" s="1" t="s">
        <v>6013</v>
      </c>
      <c r="B5993" s="2">
        <v>2.0</v>
      </c>
      <c r="C5993" s="4"/>
      <c r="E5993" s="4" t="str">
        <f t="array" ref="E5993">XLOOKUP(A5993,'Fintech, Regulatory Arbitrage, '!A:A,'Fintech, Regulatory Arbitrage, '!C:C,"")</f>
        <v/>
      </c>
    </row>
    <row r="5994">
      <c r="A5994" s="1" t="s">
        <v>6014</v>
      </c>
      <c r="B5994" s="2">
        <v>2.0</v>
      </c>
      <c r="C5994" s="4"/>
      <c r="E5994" s="4" t="str">
        <f t="array" ref="E5994">XLOOKUP(A5994,'Fintech, Regulatory Arbitrage, '!A:A,'Fintech, Regulatory Arbitrage, '!C:C,"")</f>
        <v/>
      </c>
    </row>
    <row r="5995">
      <c r="A5995" s="1" t="s">
        <v>6015</v>
      </c>
      <c r="B5995" s="2">
        <v>2.0</v>
      </c>
      <c r="C5995" s="4"/>
      <c r="E5995" s="4" t="str">
        <f t="array" ref="E5995">XLOOKUP(A5995,'Fintech, Regulatory Arbitrage, '!A:A,'Fintech, Regulatory Arbitrage, '!C:C,"")</f>
        <v/>
      </c>
    </row>
    <row r="5996">
      <c r="A5996" s="1" t="s">
        <v>6016</v>
      </c>
      <c r="B5996" s="2">
        <v>2.0</v>
      </c>
      <c r="C5996" s="4"/>
      <c r="E5996" s="4" t="str">
        <f t="array" ref="E5996">XLOOKUP(A5996,'Fintech, Regulatory Arbitrage, '!A:A,'Fintech, Regulatory Arbitrage, '!C:C,"")</f>
        <v/>
      </c>
    </row>
    <row r="5997">
      <c r="A5997" s="1" t="s">
        <v>6017</v>
      </c>
      <c r="B5997" s="2">
        <v>2.0</v>
      </c>
      <c r="C5997" s="4"/>
      <c r="E5997" s="4" t="str">
        <f t="array" ref="E5997">XLOOKUP(A5997,'Fintech, Regulatory Arbitrage, '!A:A,'Fintech, Regulatory Arbitrage, '!C:C,"")</f>
        <v/>
      </c>
    </row>
    <row r="5998">
      <c r="A5998" s="1" t="s">
        <v>6018</v>
      </c>
      <c r="B5998" s="2">
        <v>2.0</v>
      </c>
      <c r="C5998" s="4"/>
      <c r="E5998" s="4" t="str">
        <f t="array" ref="E5998">XLOOKUP(A5998,'Fintech, Regulatory Arbitrage, '!A:A,'Fintech, Regulatory Arbitrage, '!C:C,"")</f>
        <v/>
      </c>
    </row>
    <row r="5999">
      <c r="A5999" s="1" t="s">
        <v>6019</v>
      </c>
      <c r="B5999" s="2">
        <v>2.0</v>
      </c>
      <c r="C5999" s="4"/>
      <c r="E5999" s="4" t="str">
        <f t="array" ref="E5999">XLOOKUP(A5999,'Fintech, Regulatory Arbitrage, '!A:A,'Fintech, Regulatory Arbitrage, '!C:C,"")</f>
        <v/>
      </c>
    </row>
    <row r="6000">
      <c r="A6000" s="1" t="s">
        <v>6020</v>
      </c>
      <c r="B6000" s="2">
        <v>2.0</v>
      </c>
      <c r="C6000" s="4"/>
      <c r="E6000" s="4" t="str">
        <f t="array" ref="E6000">XLOOKUP(A6000,'Fintech, Regulatory Arbitrage, '!A:A,'Fintech, Regulatory Arbitrage, '!C:C,"")</f>
        <v/>
      </c>
    </row>
    <row r="6001">
      <c r="A6001" s="1" t="s">
        <v>6021</v>
      </c>
      <c r="B6001" s="2">
        <v>2.0</v>
      </c>
      <c r="C6001" s="4"/>
      <c r="E6001" s="4" t="str">
        <f t="array" ref="E6001">XLOOKUP(A6001,'Fintech, Regulatory Arbitrage, '!A:A,'Fintech, Regulatory Arbitrage, '!C:C,"")</f>
        <v/>
      </c>
    </row>
    <row r="6002">
      <c r="A6002" s="1" t="s">
        <v>6022</v>
      </c>
      <c r="B6002" s="2">
        <v>2.0</v>
      </c>
      <c r="C6002" s="4"/>
      <c r="E6002" s="4" t="str">
        <f t="array" ref="E6002">XLOOKUP(A6002,'Fintech, Regulatory Arbitrage, '!A:A,'Fintech, Regulatory Arbitrage, '!C:C,"")</f>
        <v/>
      </c>
    </row>
    <row r="6003">
      <c r="A6003" s="1" t="s">
        <v>6023</v>
      </c>
      <c r="B6003" s="2">
        <v>2.0</v>
      </c>
      <c r="C6003" s="4"/>
      <c r="E6003" s="4" t="str">
        <f t="array" ref="E6003">XLOOKUP(A6003,'Fintech, Regulatory Arbitrage, '!A:A,'Fintech, Regulatory Arbitrage, '!C:C,"")</f>
        <v/>
      </c>
    </row>
    <row r="6004">
      <c r="A6004" s="1" t="s">
        <v>6024</v>
      </c>
      <c r="B6004" s="2">
        <v>2.0</v>
      </c>
      <c r="C6004" s="4"/>
      <c r="E6004" s="4" t="str">
        <f t="array" ref="E6004">XLOOKUP(A6004,'Fintech, Regulatory Arbitrage, '!A:A,'Fintech, Regulatory Arbitrage, '!C:C,"")</f>
        <v/>
      </c>
    </row>
    <row r="6005">
      <c r="A6005" s="1" t="s">
        <v>6025</v>
      </c>
      <c r="B6005" s="2">
        <v>2.0</v>
      </c>
      <c r="C6005" s="4"/>
      <c r="E6005" s="4" t="str">
        <f t="array" ref="E6005">XLOOKUP(A6005,'Fintech, Regulatory Arbitrage, '!A:A,'Fintech, Regulatory Arbitrage, '!C:C,"")</f>
        <v/>
      </c>
    </row>
    <row r="6006">
      <c r="A6006" s="1" t="s">
        <v>6026</v>
      </c>
      <c r="B6006" s="2">
        <v>2.0</v>
      </c>
      <c r="C6006" s="4"/>
      <c r="E6006" s="4" t="str">
        <f t="array" ref="E6006">XLOOKUP(A6006,'Fintech, Regulatory Arbitrage, '!A:A,'Fintech, Regulatory Arbitrage, '!C:C,"")</f>
        <v/>
      </c>
    </row>
    <row r="6007">
      <c r="A6007" s="1" t="s">
        <v>6027</v>
      </c>
      <c r="B6007" s="2">
        <v>2.0</v>
      </c>
      <c r="C6007" s="4"/>
      <c r="E6007" s="4" t="str">
        <f t="array" ref="E6007">XLOOKUP(A6007,'Fintech, Regulatory Arbitrage, '!A:A,'Fintech, Regulatory Arbitrage, '!C:C,"")</f>
        <v/>
      </c>
    </row>
    <row r="6008">
      <c r="A6008" s="1" t="s">
        <v>6028</v>
      </c>
      <c r="B6008" s="2">
        <v>2.0</v>
      </c>
      <c r="C6008" s="4"/>
      <c r="E6008" s="4" t="str">
        <f t="array" ref="E6008">XLOOKUP(A6008,'Fintech, Regulatory Arbitrage, '!A:A,'Fintech, Regulatory Arbitrage, '!C:C,"")</f>
        <v/>
      </c>
    </row>
    <row r="6009">
      <c r="A6009" s="1" t="s">
        <v>6029</v>
      </c>
      <c r="B6009" s="2">
        <v>2.0</v>
      </c>
      <c r="C6009" s="4"/>
      <c r="E6009" s="4" t="str">
        <f t="array" ref="E6009">XLOOKUP(A6009,'Fintech, Regulatory Arbitrage, '!A:A,'Fintech, Regulatory Arbitrage, '!C:C,"")</f>
        <v/>
      </c>
    </row>
    <row r="6010">
      <c r="A6010" s="1" t="s">
        <v>6030</v>
      </c>
      <c r="B6010" s="2">
        <v>2.0</v>
      </c>
      <c r="C6010" s="4"/>
      <c r="E6010" s="4" t="str">
        <f t="array" ref="E6010">XLOOKUP(A6010,'Fintech, Regulatory Arbitrage, '!A:A,'Fintech, Regulatory Arbitrage, '!C:C,"")</f>
        <v/>
      </c>
    </row>
    <row r="6011">
      <c r="A6011" s="1" t="s">
        <v>6031</v>
      </c>
      <c r="B6011" s="2">
        <v>2.0</v>
      </c>
      <c r="C6011" s="4"/>
      <c r="E6011" s="4" t="str">
        <f t="array" ref="E6011">XLOOKUP(A6011,'Fintech, Regulatory Arbitrage, '!A:A,'Fintech, Regulatory Arbitrage, '!C:C,"")</f>
        <v/>
      </c>
    </row>
    <row r="6012">
      <c r="A6012" s="1" t="s">
        <v>6032</v>
      </c>
      <c r="B6012" s="2">
        <v>2.0</v>
      </c>
      <c r="C6012" s="4"/>
      <c r="E6012" s="4" t="str">
        <f t="array" ref="E6012">XLOOKUP(A6012,'Fintech, Regulatory Arbitrage, '!A:A,'Fintech, Regulatory Arbitrage, '!C:C,"")</f>
        <v/>
      </c>
    </row>
    <row r="6013">
      <c r="A6013" s="1" t="s">
        <v>6033</v>
      </c>
      <c r="B6013" s="2">
        <v>2.0</v>
      </c>
      <c r="C6013" s="4"/>
      <c r="E6013" s="4" t="str">
        <f t="array" ref="E6013">XLOOKUP(A6013,'Fintech, Regulatory Arbitrage, '!A:A,'Fintech, Regulatory Arbitrage, '!C:C,"")</f>
        <v/>
      </c>
    </row>
    <row r="6014">
      <c r="A6014" s="1" t="s">
        <v>6034</v>
      </c>
      <c r="B6014" s="2">
        <v>2.0</v>
      </c>
      <c r="C6014" s="4"/>
      <c r="E6014" s="4" t="str">
        <f t="array" ref="E6014">XLOOKUP(A6014,'Fintech, Regulatory Arbitrage, '!A:A,'Fintech, Regulatory Arbitrage, '!C:C,"")</f>
        <v/>
      </c>
    </row>
    <row r="6015">
      <c r="A6015" s="1" t="s">
        <v>6035</v>
      </c>
      <c r="B6015" s="2">
        <v>2.0</v>
      </c>
      <c r="C6015" s="4"/>
      <c r="E6015" s="4" t="str">
        <f t="array" ref="E6015">XLOOKUP(A6015,'Fintech, Regulatory Arbitrage, '!A:A,'Fintech, Regulatory Arbitrage, '!C:C,"")</f>
        <v/>
      </c>
    </row>
    <row r="6016">
      <c r="A6016" s="1" t="s">
        <v>6036</v>
      </c>
      <c r="B6016" s="2">
        <v>2.0</v>
      </c>
      <c r="C6016" s="4"/>
      <c r="E6016" s="4" t="str">
        <f t="array" ref="E6016">XLOOKUP(A6016,'Fintech, Regulatory Arbitrage, '!A:A,'Fintech, Regulatory Arbitrage, '!C:C,"")</f>
        <v/>
      </c>
    </row>
    <row r="6017">
      <c r="A6017" s="1" t="s">
        <v>6037</v>
      </c>
      <c r="B6017" s="2">
        <v>2.0</v>
      </c>
      <c r="C6017" s="4"/>
      <c r="E6017" s="4" t="str">
        <f t="array" ref="E6017">XLOOKUP(A6017,'Fintech, Regulatory Arbitrage, '!A:A,'Fintech, Regulatory Arbitrage, '!C:C,"")</f>
        <v/>
      </c>
    </row>
    <row r="6018">
      <c r="A6018" s="1" t="s">
        <v>6038</v>
      </c>
      <c r="B6018" s="2">
        <v>2.0</v>
      </c>
      <c r="C6018" s="4"/>
      <c r="E6018" s="4" t="str">
        <f t="array" ref="E6018">XLOOKUP(A6018,'Fintech, Regulatory Arbitrage, '!A:A,'Fintech, Regulatory Arbitrage, '!C:C,"")</f>
        <v/>
      </c>
    </row>
    <row r="6019">
      <c r="A6019" s="1" t="s">
        <v>6039</v>
      </c>
      <c r="B6019" s="2">
        <v>2.0</v>
      </c>
      <c r="C6019" s="4"/>
      <c r="E6019" s="4" t="str">
        <f t="array" ref="E6019">XLOOKUP(A6019,'Fintech, Regulatory Arbitrage, '!A:A,'Fintech, Regulatory Arbitrage, '!C:C,"")</f>
        <v/>
      </c>
    </row>
    <row r="6020">
      <c r="A6020" s="1" t="s">
        <v>6040</v>
      </c>
      <c r="B6020" s="2">
        <v>2.0</v>
      </c>
      <c r="C6020" s="4"/>
      <c r="E6020" s="4" t="str">
        <f t="array" ref="E6020">XLOOKUP(A6020,'Fintech, Regulatory Arbitrage, '!A:A,'Fintech, Regulatory Arbitrage, '!C:C,"")</f>
        <v/>
      </c>
    </row>
    <row r="6021">
      <c r="A6021" s="1" t="s">
        <v>6041</v>
      </c>
      <c r="B6021" s="2">
        <v>2.0</v>
      </c>
      <c r="C6021" s="4"/>
      <c r="E6021" s="4" t="str">
        <f t="array" ref="E6021">XLOOKUP(A6021,'Fintech, Regulatory Arbitrage, '!A:A,'Fintech, Regulatory Arbitrage, '!C:C,"")</f>
        <v/>
      </c>
    </row>
    <row r="6022">
      <c r="A6022" s="1" t="s">
        <v>6042</v>
      </c>
      <c r="B6022" s="2">
        <v>2.0</v>
      </c>
      <c r="C6022" s="4"/>
      <c r="E6022" s="4" t="str">
        <f t="array" ref="E6022">XLOOKUP(A6022,'Fintech, Regulatory Arbitrage, '!A:A,'Fintech, Regulatory Arbitrage, '!C:C,"")</f>
        <v/>
      </c>
    </row>
    <row r="6023">
      <c r="A6023" s="1" t="s">
        <v>6043</v>
      </c>
      <c r="B6023" s="2">
        <v>2.0</v>
      </c>
      <c r="C6023" s="4"/>
      <c r="E6023" s="4" t="str">
        <f t="array" ref="E6023">XLOOKUP(A6023,'Fintech, Regulatory Arbitrage, '!A:A,'Fintech, Regulatory Arbitrage, '!C:C,"")</f>
        <v/>
      </c>
    </row>
    <row r="6024">
      <c r="A6024" s="1" t="s">
        <v>6044</v>
      </c>
      <c r="B6024" s="2">
        <v>2.0</v>
      </c>
      <c r="C6024" s="4"/>
      <c r="E6024" s="4" t="str">
        <f t="array" ref="E6024">XLOOKUP(A6024,'Fintech, Regulatory Arbitrage, '!A:A,'Fintech, Regulatory Arbitrage, '!C:C,"")</f>
        <v/>
      </c>
    </row>
    <row r="6025">
      <c r="A6025" s="1" t="s">
        <v>6045</v>
      </c>
      <c r="B6025" s="2">
        <v>2.0</v>
      </c>
      <c r="C6025" s="4"/>
      <c r="E6025" s="4" t="str">
        <f t="array" ref="E6025">XLOOKUP(A6025,'Fintech, Regulatory Arbitrage, '!A:A,'Fintech, Regulatory Arbitrage, '!C:C,"")</f>
        <v/>
      </c>
    </row>
    <row r="6026">
      <c r="A6026" s="1" t="s">
        <v>6046</v>
      </c>
      <c r="B6026" s="2">
        <v>2.0</v>
      </c>
      <c r="C6026" s="4"/>
      <c r="E6026" s="4" t="str">
        <f t="array" ref="E6026">XLOOKUP(A6026,'Fintech, Regulatory Arbitrage, '!A:A,'Fintech, Regulatory Arbitrage, '!C:C,"")</f>
        <v/>
      </c>
    </row>
    <row r="6027">
      <c r="A6027" s="1" t="s">
        <v>6047</v>
      </c>
      <c r="B6027" s="2">
        <v>2.0</v>
      </c>
      <c r="C6027" s="4"/>
      <c r="E6027" s="4" t="str">
        <f t="array" ref="E6027">XLOOKUP(A6027,'Fintech, Regulatory Arbitrage, '!A:A,'Fintech, Regulatory Arbitrage, '!C:C,"")</f>
        <v/>
      </c>
    </row>
    <row r="6028">
      <c r="A6028" s="1" t="s">
        <v>6048</v>
      </c>
      <c r="B6028" s="2">
        <v>2.0</v>
      </c>
      <c r="C6028" s="4"/>
      <c r="E6028" s="4" t="str">
        <f t="array" ref="E6028">XLOOKUP(A6028,'Fintech, Regulatory Arbitrage, '!A:A,'Fintech, Regulatory Arbitrage, '!C:C,"")</f>
        <v/>
      </c>
    </row>
    <row r="6029">
      <c r="A6029" s="1" t="s">
        <v>6049</v>
      </c>
      <c r="B6029" s="2">
        <v>2.0</v>
      </c>
      <c r="C6029" s="4"/>
      <c r="E6029" s="4" t="str">
        <f t="array" ref="E6029">XLOOKUP(A6029,'Fintech, Regulatory Arbitrage, '!A:A,'Fintech, Regulatory Arbitrage, '!C:C,"")</f>
        <v/>
      </c>
    </row>
    <row r="6030">
      <c r="A6030" s="1" t="s">
        <v>6050</v>
      </c>
      <c r="B6030" s="2">
        <v>2.0</v>
      </c>
      <c r="C6030" s="4"/>
      <c r="E6030" s="4" t="str">
        <f t="array" ref="E6030">XLOOKUP(A6030,'Fintech, Regulatory Arbitrage, '!A:A,'Fintech, Regulatory Arbitrage, '!C:C,"")</f>
        <v/>
      </c>
    </row>
    <row r="6031">
      <c r="A6031" s="1" t="s">
        <v>6051</v>
      </c>
      <c r="B6031" s="2">
        <v>2.0</v>
      </c>
      <c r="C6031" s="4"/>
      <c r="E6031" s="4" t="str">
        <f t="array" ref="E6031">XLOOKUP(A6031,'Fintech, Regulatory Arbitrage, '!A:A,'Fintech, Regulatory Arbitrage, '!C:C,"")</f>
        <v/>
      </c>
    </row>
    <row r="6032">
      <c r="A6032" s="1" t="s">
        <v>6052</v>
      </c>
      <c r="B6032" s="2">
        <v>2.0</v>
      </c>
      <c r="C6032" s="4"/>
      <c r="E6032" s="4" t="str">
        <f t="array" ref="E6032">XLOOKUP(A6032,'Fintech, Regulatory Arbitrage, '!A:A,'Fintech, Regulatory Arbitrage, '!C:C,"")</f>
        <v/>
      </c>
    </row>
    <row r="6033">
      <c r="A6033" s="1" t="s">
        <v>6053</v>
      </c>
      <c r="B6033" s="2">
        <v>2.0</v>
      </c>
      <c r="C6033" s="4"/>
      <c r="E6033" s="4" t="str">
        <f t="array" ref="E6033">XLOOKUP(A6033,'Fintech, Regulatory Arbitrage, '!A:A,'Fintech, Regulatory Arbitrage, '!C:C,"")</f>
        <v/>
      </c>
    </row>
    <row r="6034">
      <c r="A6034" s="1" t="s">
        <v>6054</v>
      </c>
      <c r="B6034" s="2">
        <v>2.0</v>
      </c>
      <c r="C6034" s="4"/>
      <c r="E6034" s="4" t="str">
        <f t="array" ref="E6034">XLOOKUP(A6034,'Fintech, Regulatory Arbitrage, '!A:A,'Fintech, Regulatory Arbitrage, '!C:C,"")</f>
        <v/>
      </c>
    </row>
    <row r="6035">
      <c r="A6035" s="1" t="s">
        <v>6055</v>
      </c>
      <c r="B6035" s="2">
        <v>2.0</v>
      </c>
      <c r="C6035" s="4"/>
      <c r="E6035" s="4" t="str">
        <f t="array" ref="E6035">XLOOKUP(A6035,'Fintech, Regulatory Arbitrage, '!A:A,'Fintech, Regulatory Arbitrage, '!C:C,"")</f>
        <v/>
      </c>
    </row>
    <row r="6036">
      <c r="A6036" s="1" t="s">
        <v>6056</v>
      </c>
      <c r="B6036" s="2">
        <v>2.0</v>
      </c>
      <c r="C6036" s="4"/>
      <c r="E6036" s="4" t="str">
        <f t="array" ref="E6036">XLOOKUP(A6036,'Fintech, Regulatory Arbitrage, '!A:A,'Fintech, Regulatory Arbitrage, '!C:C,"")</f>
        <v/>
      </c>
    </row>
    <row r="6037">
      <c r="A6037" s="1" t="s">
        <v>6057</v>
      </c>
      <c r="B6037" s="2">
        <v>2.0</v>
      </c>
      <c r="C6037" s="4"/>
      <c r="E6037" s="4" t="str">
        <f t="array" ref="E6037">XLOOKUP(A6037,'Fintech, Regulatory Arbitrage, '!A:A,'Fintech, Regulatory Arbitrage, '!C:C,"")</f>
        <v/>
      </c>
    </row>
    <row r="6038">
      <c r="A6038" s="1" t="s">
        <v>6058</v>
      </c>
      <c r="B6038" s="2">
        <v>2.0</v>
      </c>
      <c r="C6038" s="4"/>
      <c r="E6038" s="4" t="str">
        <f t="array" ref="E6038">XLOOKUP(A6038,'Fintech, Regulatory Arbitrage, '!A:A,'Fintech, Regulatory Arbitrage, '!C:C,"")</f>
        <v/>
      </c>
    </row>
    <row r="6039">
      <c r="A6039" s="1" t="s">
        <v>6059</v>
      </c>
      <c r="B6039" s="2">
        <v>2.0</v>
      </c>
      <c r="C6039" s="4"/>
      <c r="E6039" s="4" t="str">
        <f t="array" ref="E6039">XLOOKUP(A6039,'Fintech, Regulatory Arbitrage, '!A:A,'Fintech, Regulatory Arbitrage, '!C:C,"")</f>
        <v/>
      </c>
    </row>
    <row r="6040">
      <c r="A6040" s="1" t="s">
        <v>6060</v>
      </c>
      <c r="B6040" s="2">
        <v>2.0</v>
      </c>
      <c r="C6040" s="4"/>
      <c r="E6040" s="4" t="str">
        <f t="array" ref="E6040">XLOOKUP(A6040,'Fintech, Regulatory Arbitrage, '!A:A,'Fintech, Regulatory Arbitrage, '!C:C,"")</f>
        <v/>
      </c>
    </row>
    <row r="6041">
      <c r="A6041" s="1" t="s">
        <v>6061</v>
      </c>
      <c r="B6041" s="2">
        <v>2.0</v>
      </c>
      <c r="C6041" s="4"/>
      <c r="E6041" s="4" t="str">
        <f t="array" ref="E6041">XLOOKUP(A6041,'Fintech, Regulatory Arbitrage, '!A:A,'Fintech, Regulatory Arbitrage, '!C:C,"")</f>
        <v/>
      </c>
    </row>
    <row r="6042">
      <c r="A6042" s="1" t="s">
        <v>6062</v>
      </c>
      <c r="B6042" s="2">
        <v>2.0</v>
      </c>
      <c r="C6042" s="4"/>
      <c r="E6042" s="4" t="str">
        <f t="array" ref="E6042">XLOOKUP(A6042,'Fintech, Regulatory Arbitrage, '!A:A,'Fintech, Regulatory Arbitrage, '!C:C,"")</f>
        <v/>
      </c>
    </row>
    <row r="6043">
      <c r="A6043" s="1" t="s">
        <v>6063</v>
      </c>
      <c r="B6043" s="2">
        <v>2.0</v>
      </c>
      <c r="C6043" s="4"/>
      <c r="E6043" s="4" t="str">
        <f t="array" ref="E6043">XLOOKUP(A6043,'Fintech, Regulatory Arbitrage, '!A:A,'Fintech, Regulatory Arbitrage, '!C:C,"")</f>
        <v/>
      </c>
    </row>
    <row r="6044">
      <c r="A6044" s="1" t="s">
        <v>6064</v>
      </c>
      <c r="B6044" s="2">
        <v>2.0</v>
      </c>
      <c r="C6044" s="4"/>
      <c r="E6044" s="4" t="str">
        <f t="array" ref="E6044">XLOOKUP(A6044,'Fintech, Regulatory Arbitrage, '!A:A,'Fintech, Regulatory Arbitrage, '!C:C,"")</f>
        <v/>
      </c>
    </row>
    <row r="6045">
      <c r="A6045" s="1" t="s">
        <v>6065</v>
      </c>
      <c r="B6045" s="2">
        <v>2.0</v>
      </c>
      <c r="C6045" s="4"/>
      <c r="E6045" s="4" t="str">
        <f t="array" ref="E6045">XLOOKUP(A6045,'Fintech, Regulatory Arbitrage, '!A:A,'Fintech, Regulatory Arbitrage, '!C:C,"")</f>
        <v/>
      </c>
    </row>
    <row r="6046">
      <c r="A6046" s="1" t="s">
        <v>6066</v>
      </c>
      <c r="B6046" s="2">
        <v>2.0</v>
      </c>
      <c r="C6046" s="4"/>
      <c r="E6046" s="4" t="str">
        <f t="array" ref="E6046">XLOOKUP(A6046,'Fintech, Regulatory Arbitrage, '!A:A,'Fintech, Regulatory Arbitrage, '!C:C,"")</f>
        <v/>
      </c>
    </row>
    <row r="6047">
      <c r="A6047" s="1" t="s">
        <v>6067</v>
      </c>
      <c r="B6047" s="2">
        <v>2.0</v>
      </c>
      <c r="C6047" s="4"/>
      <c r="E6047" s="4" t="str">
        <f t="array" ref="E6047">XLOOKUP(A6047,'Fintech, Regulatory Arbitrage, '!A:A,'Fintech, Regulatory Arbitrage, '!C:C,"")</f>
        <v/>
      </c>
    </row>
    <row r="6048">
      <c r="A6048" s="1" t="s">
        <v>6068</v>
      </c>
      <c r="B6048" s="2">
        <v>2.0</v>
      </c>
      <c r="C6048" s="4"/>
      <c r="E6048" s="4" t="str">
        <f t="array" ref="E6048">XLOOKUP(A6048,'Fintech, Regulatory Arbitrage, '!A:A,'Fintech, Regulatory Arbitrage, '!C:C,"")</f>
        <v/>
      </c>
    </row>
    <row r="6049">
      <c r="A6049" s="1" t="s">
        <v>6069</v>
      </c>
      <c r="B6049" s="2">
        <v>2.0</v>
      </c>
      <c r="C6049" s="4"/>
      <c r="E6049" s="4" t="str">
        <f t="array" ref="E6049">XLOOKUP(A6049,'Fintech, Regulatory Arbitrage, '!A:A,'Fintech, Regulatory Arbitrage, '!C:C,"")</f>
        <v/>
      </c>
    </row>
    <row r="6050">
      <c r="A6050" s="1" t="s">
        <v>6070</v>
      </c>
      <c r="B6050" s="2">
        <v>2.0</v>
      </c>
      <c r="C6050" s="4"/>
      <c r="E6050" s="4" t="str">
        <f t="array" ref="E6050">XLOOKUP(A6050,'Fintech, Regulatory Arbitrage, '!A:A,'Fintech, Regulatory Arbitrage, '!C:C,"")</f>
        <v/>
      </c>
    </row>
    <row r="6051">
      <c r="A6051" s="1" t="s">
        <v>6071</v>
      </c>
      <c r="B6051" s="2">
        <v>2.0</v>
      </c>
      <c r="C6051" s="4"/>
      <c r="E6051" s="4" t="str">
        <f t="array" ref="E6051">XLOOKUP(A6051,'Fintech, Regulatory Arbitrage, '!A:A,'Fintech, Regulatory Arbitrage, '!C:C,"")</f>
        <v/>
      </c>
    </row>
    <row r="6052">
      <c r="A6052" s="1" t="s">
        <v>6072</v>
      </c>
      <c r="B6052" s="2">
        <v>2.0</v>
      </c>
      <c r="C6052" s="4"/>
      <c r="E6052" s="4" t="str">
        <f t="array" ref="E6052">XLOOKUP(A6052,'Fintech, Regulatory Arbitrage, '!A:A,'Fintech, Regulatory Arbitrage, '!C:C,"")</f>
        <v/>
      </c>
    </row>
    <row r="6053">
      <c r="A6053" s="1" t="s">
        <v>6073</v>
      </c>
      <c r="B6053" s="2">
        <v>2.0</v>
      </c>
      <c r="C6053" s="4"/>
      <c r="E6053" s="4" t="str">
        <f t="array" ref="E6053">XLOOKUP(A6053,'Fintech, Regulatory Arbitrage, '!A:A,'Fintech, Regulatory Arbitrage, '!C:C,"")</f>
        <v/>
      </c>
    </row>
    <row r="6054">
      <c r="A6054" s="1" t="s">
        <v>6074</v>
      </c>
      <c r="B6054" s="2">
        <v>2.0</v>
      </c>
      <c r="C6054" s="4"/>
      <c r="E6054" s="4" t="str">
        <f t="array" ref="E6054">XLOOKUP(A6054,'Fintech, Regulatory Arbitrage, '!A:A,'Fintech, Regulatory Arbitrage, '!C:C,"")</f>
        <v/>
      </c>
    </row>
    <row r="6055">
      <c r="A6055" s="1" t="s">
        <v>6075</v>
      </c>
      <c r="B6055" s="2">
        <v>2.0</v>
      </c>
      <c r="C6055" s="4"/>
      <c r="E6055" s="4" t="str">
        <f t="array" ref="E6055">XLOOKUP(A6055,'Fintech, Regulatory Arbitrage, '!A:A,'Fintech, Regulatory Arbitrage, '!C:C,"")</f>
        <v/>
      </c>
    </row>
    <row r="6056">
      <c r="A6056" s="1" t="s">
        <v>6076</v>
      </c>
      <c r="B6056" s="2">
        <v>2.0</v>
      </c>
      <c r="C6056" s="4"/>
      <c r="E6056" s="4" t="str">
        <f t="array" ref="E6056">XLOOKUP(A6056,'Fintech, Regulatory Arbitrage, '!A:A,'Fintech, Regulatory Arbitrage, '!C:C,"")</f>
        <v/>
      </c>
    </row>
    <row r="6057">
      <c r="A6057" s="1" t="s">
        <v>6077</v>
      </c>
      <c r="B6057" s="2">
        <v>2.0</v>
      </c>
      <c r="C6057" s="4"/>
      <c r="E6057" s="4" t="str">
        <f t="array" ref="E6057">XLOOKUP(A6057,'Fintech, Regulatory Arbitrage, '!A:A,'Fintech, Regulatory Arbitrage, '!C:C,"")</f>
        <v/>
      </c>
    </row>
    <row r="6058">
      <c r="A6058" s="1" t="s">
        <v>6078</v>
      </c>
      <c r="B6058" s="2">
        <v>2.0</v>
      </c>
      <c r="C6058" s="4"/>
      <c r="E6058" s="4" t="str">
        <f t="array" ref="E6058">XLOOKUP(A6058,'Fintech, Regulatory Arbitrage, '!A:A,'Fintech, Regulatory Arbitrage, '!C:C,"")</f>
        <v/>
      </c>
    </row>
    <row r="6059">
      <c r="A6059" s="1" t="s">
        <v>6079</v>
      </c>
      <c r="B6059" s="2">
        <v>2.0</v>
      </c>
      <c r="C6059" s="4"/>
      <c r="E6059" s="4" t="str">
        <f t="array" ref="E6059">XLOOKUP(A6059,'Fintech, Regulatory Arbitrage, '!A:A,'Fintech, Regulatory Arbitrage, '!C:C,"")</f>
        <v/>
      </c>
    </row>
    <row r="6060">
      <c r="A6060" s="1" t="s">
        <v>6080</v>
      </c>
      <c r="B6060" s="2">
        <v>2.0</v>
      </c>
      <c r="C6060" s="4"/>
      <c r="E6060" s="4" t="str">
        <f t="array" ref="E6060">XLOOKUP(A6060,'Fintech, Regulatory Arbitrage, '!A:A,'Fintech, Regulatory Arbitrage, '!C:C,"")</f>
        <v/>
      </c>
    </row>
    <row r="6061">
      <c r="A6061" s="1" t="s">
        <v>6081</v>
      </c>
      <c r="B6061" s="2">
        <v>2.0</v>
      </c>
      <c r="C6061" s="4"/>
      <c r="E6061" s="4" t="str">
        <f t="array" ref="E6061">XLOOKUP(A6061,'Fintech, Regulatory Arbitrage, '!A:A,'Fintech, Regulatory Arbitrage, '!C:C,"")</f>
        <v/>
      </c>
    </row>
    <row r="6062">
      <c r="A6062" s="1" t="s">
        <v>6082</v>
      </c>
      <c r="B6062" s="2">
        <v>2.0</v>
      </c>
      <c r="C6062" s="4"/>
      <c r="E6062" s="4" t="str">
        <f t="array" ref="E6062">XLOOKUP(A6062,'Fintech, Regulatory Arbitrage, '!A:A,'Fintech, Regulatory Arbitrage, '!C:C,"")</f>
        <v/>
      </c>
    </row>
    <row r="6063">
      <c r="A6063" s="1" t="s">
        <v>6083</v>
      </c>
      <c r="B6063" s="2">
        <v>2.0</v>
      </c>
      <c r="C6063" s="4"/>
      <c r="E6063" s="4" t="str">
        <f t="array" ref="E6063">XLOOKUP(A6063,'Fintech, Regulatory Arbitrage, '!A:A,'Fintech, Regulatory Arbitrage, '!C:C,"")</f>
        <v/>
      </c>
    </row>
    <row r="6064">
      <c r="A6064" s="1" t="s">
        <v>6084</v>
      </c>
      <c r="B6064" s="2">
        <v>2.0</v>
      </c>
      <c r="C6064" s="4"/>
      <c r="E6064" s="4" t="str">
        <f t="array" ref="E6064">XLOOKUP(A6064,'Fintech, Regulatory Arbitrage, '!A:A,'Fintech, Regulatory Arbitrage, '!C:C,"")</f>
        <v/>
      </c>
    </row>
    <row r="6065">
      <c r="A6065" s="1" t="s">
        <v>6085</v>
      </c>
      <c r="B6065" s="2">
        <v>2.0</v>
      </c>
      <c r="C6065" s="4"/>
      <c r="E6065" s="4" t="str">
        <f t="array" ref="E6065">XLOOKUP(A6065,'Fintech, Regulatory Arbitrage, '!A:A,'Fintech, Regulatory Arbitrage, '!C:C,"")</f>
        <v/>
      </c>
    </row>
    <row r="6066">
      <c r="A6066" s="1" t="s">
        <v>6086</v>
      </c>
      <c r="B6066" s="2">
        <v>2.0</v>
      </c>
      <c r="C6066" s="4"/>
      <c r="E6066" s="4" t="str">
        <f t="array" ref="E6066">XLOOKUP(A6066,'Fintech, Regulatory Arbitrage, '!A:A,'Fintech, Regulatory Arbitrage, '!C:C,"")</f>
        <v/>
      </c>
    </row>
    <row r="6067">
      <c r="A6067" s="1" t="s">
        <v>6087</v>
      </c>
      <c r="B6067" s="2">
        <v>2.0</v>
      </c>
      <c r="C6067" s="4"/>
      <c r="E6067" s="4" t="str">
        <f t="array" ref="E6067">XLOOKUP(A6067,'Fintech, Regulatory Arbitrage, '!A:A,'Fintech, Regulatory Arbitrage, '!C:C,"")</f>
        <v/>
      </c>
    </row>
    <row r="6068">
      <c r="A6068" s="1" t="s">
        <v>6088</v>
      </c>
      <c r="B6068" s="2">
        <v>2.0</v>
      </c>
      <c r="C6068" s="4"/>
      <c r="E6068" s="4" t="str">
        <f t="array" ref="E6068">XLOOKUP(A6068,'Fintech, Regulatory Arbitrage, '!A:A,'Fintech, Regulatory Arbitrage, '!C:C,"")</f>
        <v/>
      </c>
    </row>
    <row r="6069">
      <c r="A6069" s="1" t="s">
        <v>6089</v>
      </c>
      <c r="B6069" s="2">
        <v>2.0</v>
      </c>
      <c r="C6069" s="4"/>
      <c r="E6069" s="4" t="str">
        <f t="array" ref="E6069">XLOOKUP(A6069,'Fintech, Regulatory Arbitrage, '!A:A,'Fintech, Regulatory Arbitrage, '!C:C,"")</f>
        <v/>
      </c>
    </row>
    <row r="6070">
      <c r="A6070" s="1" t="s">
        <v>6090</v>
      </c>
      <c r="B6070" s="2">
        <v>2.0</v>
      </c>
      <c r="C6070" s="4"/>
      <c r="E6070" s="4" t="str">
        <f t="array" ref="E6070">XLOOKUP(A6070,'Fintech, Regulatory Arbitrage, '!A:A,'Fintech, Regulatory Arbitrage, '!C:C,"")</f>
        <v/>
      </c>
    </row>
    <row r="6071">
      <c r="A6071" s="1" t="s">
        <v>6091</v>
      </c>
      <c r="B6071" s="2">
        <v>2.0</v>
      </c>
      <c r="C6071" s="4"/>
      <c r="E6071" s="4" t="str">
        <f t="array" ref="E6071">XLOOKUP(A6071,'Fintech, Regulatory Arbitrage, '!A:A,'Fintech, Regulatory Arbitrage, '!C:C,"")</f>
        <v/>
      </c>
    </row>
    <row r="6072">
      <c r="A6072" s="1" t="s">
        <v>6092</v>
      </c>
      <c r="B6072" s="2">
        <v>2.0</v>
      </c>
      <c r="C6072" s="4"/>
      <c r="E6072" s="4" t="str">
        <f t="array" ref="E6072">XLOOKUP(A6072,'Fintech, Regulatory Arbitrage, '!A:A,'Fintech, Regulatory Arbitrage, '!C:C,"")</f>
        <v/>
      </c>
    </row>
    <row r="6073">
      <c r="A6073" s="1" t="s">
        <v>6093</v>
      </c>
      <c r="B6073" s="2">
        <v>2.0</v>
      </c>
      <c r="C6073" s="4"/>
      <c r="E6073" s="4" t="str">
        <f t="array" ref="E6073">XLOOKUP(A6073,'Fintech, Regulatory Arbitrage, '!A:A,'Fintech, Regulatory Arbitrage, '!C:C,"")</f>
        <v/>
      </c>
    </row>
    <row r="6074">
      <c r="A6074" s="1" t="s">
        <v>6094</v>
      </c>
      <c r="B6074" s="2">
        <v>2.0</v>
      </c>
      <c r="C6074" s="4"/>
      <c r="E6074" s="4" t="str">
        <f t="array" ref="E6074">XLOOKUP(A6074,'Fintech, Regulatory Arbitrage, '!A:A,'Fintech, Regulatory Arbitrage, '!C:C,"")</f>
        <v/>
      </c>
    </row>
    <row r="6075">
      <c r="A6075" s="1" t="s">
        <v>6095</v>
      </c>
      <c r="B6075" s="2">
        <v>2.0</v>
      </c>
      <c r="C6075" s="4"/>
      <c r="E6075" s="4" t="str">
        <f t="array" ref="E6075">XLOOKUP(A6075,'Fintech, Regulatory Arbitrage, '!A:A,'Fintech, Regulatory Arbitrage, '!C:C,"")</f>
        <v/>
      </c>
    </row>
    <row r="6076">
      <c r="A6076" s="1" t="s">
        <v>6096</v>
      </c>
      <c r="B6076" s="2">
        <v>2.0</v>
      </c>
      <c r="C6076" s="4"/>
      <c r="E6076" s="4" t="str">
        <f t="array" ref="E6076">XLOOKUP(A6076,'Fintech, Regulatory Arbitrage, '!A:A,'Fintech, Regulatory Arbitrage, '!C:C,"")</f>
        <v/>
      </c>
    </row>
    <row r="6077">
      <c r="A6077" s="1" t="s">
        <v>6097</v>
      </c>
      <c r="B6077" s="2">
        <v>2.0</v>
      </c>
      <c r="C6077" s="4"/>
      <c r="E6077" s="4" t="str">
        <f t="array" ref="E6077">XLOOKUP(A6077,'Fintech, Regulatory Arbitrage, '!A:A,'Fintech, Regulatory Arbitrage, '!C:C,"")</f>
        <v/>
      </c>
    </row>
    <row r="6078">
      <c r="A6078" s="1" t="s">
        <v>6098</v>
      </c>
      <c r="B6078" s="2">
        <v>2.0</v>
      </c>
      <c r="C6078" s="4"/>
      <c r="E6078" s="4" t="str">
        <f t="array" ref="E6078">XLOOKUP(A6078,'Fintech, Regulatory Arbitrage, '!A:A,'Fintech, Regulatory Arbitrage, '!C:C,"")</f>
        <v/>
      </c>
    </row>
    <row r="6079">
      <c r="A6079" s="1" t="s">
        <v>6099</v>
      </c>
      <c r="B6079" s="2">
        <v>2.0</v>
      </c>
      <c r="C6079" s="4"/>
      <c r="E6079" s="4" t="str">
        <f t="array" ref="E6079">XLOOKUP(A6079,'Fintech, Regulatory Arbitrage, '!A:A,'Fintech, Regulatory Arbitrage, '!C:C,"")</f>
        <v/>
      </c>
    </row>
    <row r="6080">
      <c r="A6080" s="1" t="s">
        <v>6100</v>
      </c>
      <c r="B6080" s="2">
        <v>2.0</v>
      </c>
      <c r="C6080" s="4"/>
      <c r="E6080" s="4" t="str">
        <f t="array" ref="E6080">XLOOKUP(A6080,'Fintech, Regulatory Arbitrage, '!A:A,'Fintech, Regulatory Arbitrage, '!C:C,"")</f>
        <v/>
      </c>
    </row>
    <row r="6081">
      <c r="A6081" s="1" t="s">
        <v>6101</v>
      </c>
      <c r="B6081" s="2">
        <v>2.0</v>
      </c>
      <c r="C6081" s="4"/>
      <c r="E6081" s="4" t="str">
        <f t="array" ref="E6081">XLOOKUP(A6081,'Fintech, Regulatory Arbitrage, '!A:A,'Fintech, Regulatory Arbitrage, '!C:C,"")</f>
        <v/>
      </c>
    </row>
    <row r="6082">
      <c r="A6082" s="1" t="s">
        <v>6102</v>
      </c>
      <c r="B6082" s="2">
        <v>2.0</v>
      </c>
      <c r="C6082" s="4"/>
      <c r="E6082" s="4" t="str">
        <f t="array" ref="E6082">XLOOKUP(A6082,'Fintech, Regulatory Arbitrage, '!A:A,'Fintech, Regulatory Arbitrage, '!C:C,"")</f>
        <v/>
      </c>
    </row>
    <row r="6083">
      <c r="A6083" s="1" t="s">
        <v>6103</v>
      </c>
      <c r="B6083" s="2">
        <v>2.0</v>
      </c>
      <c r="C6083" s="4"/>
      <c r="E6083" s="4" t="str">
        <f t="array" ref="E6083">XLOOKUP(A6083,'Fintech, Regulatory Arbitrage, '!A:A,'Fintech, Regulatory Arbitrage, '!C:C,"")</f>
        <v/>
      </c>
    </row>
    <row r="6084">
      <c r="A6084" s="1" t="s">
        <v>6104</v>
      </c>
      <c r="B6084" s="2">
        <v>2.0</v>
      </c>
      <c r="C6084" s="4"/>
      <c r="E6084" s="4" t="str">
        <f t="array" ref="E6084">XLOOKUP(A6084,'Fintech, Regulatory Arbitrage, '!A:A,'Fintech, Regulatory Arbitrage, '!C:C,"")</f>
        <v/>
      </c>
    </row>
    <row r="6085">
      <c r="A6085" s="1" t="s">
        <v>6105</v>
      </c>
      <c r="B6085" s="2">
        <v>2.0</v>
      </c>
      <c r="C6085" s="4"/>
      <c r="E6085" s="4" t="str">
        <f t="array" ref="E6085">XLOOKUP(A6085,'Fintech, Regulatory Arbitrage, '!A:A,'Fintech, Regulatory Arbitrage, '!C:C,"")</f>
        <v/>
      </c>
    </row>
    <row r="6086">
      <c r="A6086" s="1" t="s">
        <v>6106</v>
      </c>
      <c r="B6086" s="2">
        <v>2.0</v>
      </c>
      <c r="C6086" s="4"/>
      <c r="E6086" s="4" t="str">
        <f t="array" ref="E6086">XLOOKUP(A6086,'Fintech, Regulatory Arbitrage, '!A:A,'Fintech, Regulatory Arbitrage, '!C:C,"")</f>
        <v/>
      </c>
    </row>
    <row r="6087">
      <c r="A6087" s="1" t="s">
        <v>6107</v>
      </c>
      <c r="B6087" s="2">
        <v>2.0</v>
      </c>
      <c r="C6087" s="4"/>
      <c r="E6087" s="4" t="str">
        <f t="array" ref="E6087">XLOOKUP(A6087,'Fintech, Regulatory Arbitrage, '!A:A,'Fintech, Regulatory Arbitrage, '!C:C,"")</f>
        <v/>
      </c>
    </row>
    <row r="6088">
      <c r="A6088" s="1" t="s">
        <v>6108</v>
      </c>
      <c r="B6088" s="2">
        <v>2.0</v>
      </c>
      <c r="C6088" s="4"/>
      <c r="E6088" s="4" t="str">
        <f t="array" ref="E6088">XLOOKUP(A6088,'Fintech, Regulatory Arbitrage, '!A:A,'Fintech, Regulatory Arbitrage, '!C:C,"")</f>
        <v/>
      </c>
    </row>
    <row r="6089">
      <c r="A6089" s="1" t="s">
        <v>6109</v>
      </c>
      <c r="B6089" s="2">
        <v>2.0</v>
      </c>
      <c r="C6089" s="4"/>
      <c r="E6089" s="4" t="str">
        <f t="array" ref="E6089">XLOOKUP(A6089,'Fintech, Regulatory Arbitrage, '!A:A,'Fintech, Regulatory Arbitrage, '!C:C,"")</f>
        <v/>
      </c>
    </row>
    <row r="6090">
      <c r="A6090" s="1" t="s">
        <v>6110</v>
      </c>
      <c r="B6090" s="2">
        <v>2.0</v>
      </c>
      <c r="C6090" s="4"/>
      <c r="E6090" s="4" t="str">
        <f t="array" ref="E6090">XLOOKUP(A6090,'Fintech, Regulatory Arbitrage, '!A:A,'Fintech, Regulatory Arbitrage, '!C:C,"")</f>
        <v/>
      </c>
    </row>
    <row r="6091">
      <c r="A6091" s="1" t="s">
        <v>6111</v>
      </c>
      <c r="B6091" s="2">
        <v>2.0</v>
      </c>
      <c r="C6091" s="4"/>
      <c r="E6091" s="4" t="str">
        <f t="array" ref="E6091">XLOOKUP(A6091,'Fintech, Regulatory Arbitrage, '!A:A,'Fintech, Regulatory Arbitrage, '!C:C,"")</f>
        <v/>
      </c>
    </row>
    <row r="6092">
      <c r="A6092" s="1" t="s">
        <v>6112</v>
      </c>
      <c r="B6092" s="2">
        <v>2.0</v>
      </c>
      <c r="C6092" s="4"/>
      <c r="E6092" s="4" t="str">
        <f t="array" ref="E6092">XLOOKUP(A6092,'Fintech, Regulatory Arbitrage, '!A:A,'Fintech, Regulatory Arbitrage, '!C:C,"")</f>
        <v/>
      </c>
    </row>
    <row r="6093">
      <c r="A6093" s="1" t="s">
        <v>6113</v>
      </c>
      <c r="B6093" s="2">
        <v>2.0</v>
      </c>
      <c r="C6093" s="4"/>
      <c r="E6093" s="4" t="str">
        <f t="array" ref="E6093">XLOOKUP(A6093,'Fintech, Regulatory Arbitrage, '!A:A,'Fintech, Regulatory Arbitrage, '!C:C,"")</f>
        <v/>
      </c>
    </row>
    <row r="6094">
      <c r="A6094" s="1" t="s">
        <v>6114</v>
      </c>
      <c r="B6094" s="2">
        <v>2.0</v>
      </c>
      <c r="C6094" s="4"/>
      <c r="E6094" s="4" t="str">
        <f t="array" ref="E6094">XLOOKUP(A6094,'Fintech, Regulatory Arbitrage, '!A:A,'Fintech, Regulatory Arbitrage, '!C:C,"")</f>
        <v/>
      </c>
    </row>
    <row r="6095">
      <c r="A6095" s="1" t="s">
        <v>6115</v>
      </c>
      <c r="B6095" s="2">
        <v>2.0</v>
      </c>
      <c r="C6095" s="4"/>
      <c r="E6095" s="4" t="str">
        <f t="array" ref="E6095">XLOOKUP(A6095,'Fintech, Regulatory Arbitrage, '!A:A,'Fintech, Regulatory Arbitrage, '!C:C,"")</f>
        <v/>
      </c>
    </row>
    <row r="6096">
      <c r="A6096" s="1" t="s">
        <v>6116</v>
      </c>
      <c r="B6096" s="2">
        <v>2.0</v>
      </c>
      <c r="C6096" s="4"/>
      <c r="E6096" s="4" t="str">
        <f t="array" ref="E6096">XLOOKUP(A6096,'Fintech, Regulatory Arbitrage, '!A:A,'Fintech, Regulatory Arbitrage, '!C:C,"")</f>
        <v/>
      </c>
    </row>
    <row r="6097">
      <c r="A6097" s="1" t="s">
        <v>6117</v>
      </c>
      <c r="B6097" s="2">
        <v>2.0</v>
      </c>
      <c r="C6097" s="4"/>
      <c r="E6097" s="4" t="str">
        <f t="array" ref="E6097">XLOOKUP(A6097,'Fintech, Regulatory Arbitrage, '!A:A,'Fintech, Regulatory Arbitrage, '!C:C,"")</f>
        <v/>
      </c>
    </row>
    <row r="6098">
      <c r="A6098" s="1" t="s">
        <v>6118</v>
      </c>
      <c r="B6098" s="2">
        <v>2.0</v>
      </c>
      <c r="C6098" s="4"/>
      <c r="E6098" s="4" t="str">
        <f t="array" ref="E6098">XLOOKUP(A6098,'Fintech, Regulatory Arbitrage, '!A:A,'Fintech, Regulatory Arbitrage, '!C:C,"")</f>
        <v/>
      </c>
    </row>
    <row r="6099">
      <c r="A6099" s="1" t="s">
        <v>6119</v>
      </c>
      <c r="B6099" s="2">
        <v>2.0</v>
      </c>
      <c r="C6099" s="4"/>
      <c r="E6099" s="4" t="str">
        <f t="array" ref="E6099">XLOOKUP(A6099,'Fintech, Regulatory Arbitrage, '!A:A,'Fintech, Regulatory Arbitrage, '!C:C,"")</f>
        <v/>
      </c>
    </row>
    <row r="6100">
      <c r="A6100" s="1" t="s">
        <v>6120</v>
      </c>
      <c r="B6100" s="2">
        <v>2.0</v>
      </c>
      <c r="C6100" s="4"/>
      <c r="E6100" s="4" t="str">
        <f t="array" ref="E6100">XLOOKUP(A6100,'Fintech, Regulatory Arbitrage, '!A:A,'Fintech, Regulatory Arbitrage, '!C:C,"")</f>
        <v/>
      </c>
    </row>
    <row r="6101">
      <c r="A6101" s="1" t="s">
        <v>6121</v>
      </c>
      <c r="B6101" s="2">
        <v>2.0</v>
      </c>
      <c r="C6101" s="4"/>
      <c r="E6101" s="4" t="str">
        <f t="array" ref="E6101">XLOOKUP(A6101,'Fintech, Regulatory Arbitrage, '!A:A,'Fintech, Regulatory Arbitrage, '!C:C,"")</f>
        <v/>
      </c>
    </row>
    <row r="6102">
      <c r="A6102" s="1" t="s">
        <v>6122</v>
      </c>
      <c r="B6102" s="2">
        <v>2.0</v>
      </c>
      <c r="C6102" s="4"/>
      <c r="E6102" s="4" t="str">
        <f t="array" ref="E6102">XLOOKUP(A6102,'Fintech, Regulatory Arbitrage, '!A:A,'Fintech, Regulatory Arbitrage, '!C:C,"")</f>
        <v/>
      </c>
    </row>
    <row r="6103">
      <c r="A6103" s="1" t="s">
        <v>6123</v>
      </c>
      <c r="B6103" s="2">
        <v>2.0</v>
      </c>
      <c r="C6103" s="4"/>
      <c r="E6103" s="4" t="str">
        <f t="array" ref="E6103">XLOOKUP(A6103,'Fintech, Regulatory Arbitrage, '!A:A,'Fintech, Regulatory Arbitrage, '!C:C,"")</f>
        <v/>
      </c>
    </row>
    <row r="6104">
      <c r="A6104" s="1" t="s">
        <v>6124</v>
      </c>
      <c r="B6104" s="2">
        <v>2.0</v>
      </c>
      <c r="C6104" s="4"/>
      <c r="E6104" s="4" t="str">
        <f t="array" ref="E6104">XLOOKUP(A6104,'Fintech, Regulatory Arbitrage, '!A:A,'Fintech, Regulatory Arbitrage, '!C:C,"")</f>
        <v/>
      </c>
    </row>
    <row r="6105">
      <c r="A6105" s="1" t="s">
        <v>6125</v>
      </c>
      <c r="B6105" s="2">
        <v>2.0</v>
      </c>
      <c r="C6105" s="4"/>
      <c r="E6105" s="4" t="str">
        <f t="array" ref="E6105">XLOOKUP(A6105,'Fintech, Regulatory Arbitrage, '!A:A,'Fintech, Regulatory Arbitrage, '!C:C,"")</f>
        <v/>
      </c>
    </row>
    <row r="6106">
      <c r="A6106" s="1" t="s">
        <v>6126</v>
      </c>
      <c r="B6106" s="2">
        <v>2.0</v>
      </c>
      <c r="C6106" s="4"/>
      <c r="E6106" s="4" t="str">
        <f t="array" ref="E6106">XLOOKUP(A6106,'Fintech, Regulatory Arbitrage, '!A:A,'Fintech, Regulatory Arbitrage, '!C:C,"")</f>
        <v/>
      </c>
    </row>
    <row r="6107">
      <c r="A6107" s="1" t="s">
        <v>6127</v>
      </c>
      <c r="B6107" s="2">
        <v>2.0</v>
      </c>
      <c r="C6107" s="4"/>
      <c r="E6107" s="4" t="str">
        <f t="array" ref="E6107">XLOOKUP(A6107,'Fintech, Regulatory Arbitrage, '!A:A,'Fintech, Regulatory Arbitrage, '!C:C,"")</f>
        <v/>
      </c>
    </row>
    <row r="6108">
      <c r="A6108" s="1" t="s">
        <v>6128</v>
      </c>
      <c r="B6108" s="2">
        <v>2.0</v>
      </c>
      <c r="C6108" s="4"/>
      <c r="E6108" s="4" t="str">
        <f t="array" ref="E6108">XLOOKUP(A6108,'Fintech, Regulatory Arbitrage, '!A:A,'Fintech, Regulatory Arbitrage, '!C:C,"")</f>
        <v/>
      </c>
    </row>
    <row r="6109">
      <c r="A6109" s="1" t="s">
        <v>6129</v>
      </c>
      <c r="B6109" s="2">
        <v>2.0</v>
      </c>
      <c r="C6109" s="4"/>
      <c r="E6109" s="4" t="str">
        <f t="array" ref="E6109">XLOOKUP(A6109,'Fintech, Regulatory Arbitrage, '!A:A,'Fintech, Regulatory Arbitrage, '!C:C,"")</f>
        <v/>
      </c>
    </row>
    <row r="6110">
      <c r="A6110" s="1" t="s">
        <v>6130</v>
      </c>
      <c r="B6110" s="2">
        <v>2.0</v>
      </c>
      <c r="C6110" s="4"/>
      <c r="E6110" s="4" t="str">
        <f t="array" ref="E6110">XLOOKUP(A6110,'Fintech, Regulatory Arbitrage, '!A:A,'Fintech, Regulatory Arbitrage, '!C:C,"")</f>
        <v/>
      </c>
    </row>
    <row r="6111">
      <c r="A6111" s="1" t="s">
        <v>6131</v>
      </c>
      <c r="B6111" s="2">
        <v>2.0</v>
      </c>
      <c r="C6111" s="4"/>
      <c r="E6111" s="4" t="str">
        <f t="array" ref="E6111">XLOOKUP(A6111,'Fintech, Regulatory Arbitrage, '!A:A,'Fintech, Regulatory Arbitrage, '!C:C,"")</f>
        <v/>
      </c>
    </row>
    <row r="6112">
      <c r="A6112" s="1" t="s">
        <v>6132</v>
      </c>
      <c r="B6112" s="2">
        <v>2.0</v>
      </c>
      <c r="C6112" s="4"/>
      <c r="E6112" s="4" t="str">
        <f t="array" ref="E6112">XLOOKUP(A6112,'Fintech, Regulatory Arbitrage, '!A:A,'Fintech, Regulatory Arbitrage, '!C:C,"")</f>
        <v/>
      </c>
    </row>
    <row r="6113">
      <c r="A6113" s="1" t="s">
        <v>6133</v>
      </c>
      <c r="B6113" s="2">
        <v>2.0</v>
      </c>
      <c r="C6113" s="4"/>
      <c r="E6113" s="4" t="str">
        <f t="array" ref="E6113">XLOOKUP(A6113,'Fintech, Regulatory Arbitrage, '!A:A,'Fintech, Regulatory Arbitrage, '!C:C,"")</f>
        <v/>
      </c>
    </row>
    <row r="6114">
      <c r="A6114" s="1" t="s">
        <v>6134</v>
      </c>
      <c r="B6114" s="2">
        <v>2.0</v>
      </c>
      <c r="C6114" s="4"/>
      <c r="E6114" s="4" t="str">
        <f t="array" ref="E6114">XLOOKUP(A6114,'Fintech, Regulatory Arbitrage, '!A:A,'Fintech, Regulatory Arbitrage, '!C:C,"")</f>
        <v/>
      </c>
    </row>
    <row r="6115">
      <c r="A6115" s="1" t="s">
        <v>6135</v>
      </c>
      <c r="B6115" s="2">
        <v>2.0</v>
      </c>
      <c r="C6115" s="4"/>
      <c r="E6115" s="4" t="str">
        <f t="array" ref="E6115">XLOOKUP(A6115,'Fintech, Regulatory Arbitrage, '!A:A,'Fintech, Regulatory Arbitrage, '!C:C,"")</f>
        <v/>
      </c>
    </row>
    <row r="6116">
      <c r="A6116" s="1" t="s">
        <v>6136</v>
      </c>
      <c r="B6116" s="2">
        <v>2.0</v>
      </c>
      <c r="C6116" s="4"/>
      <c r="E6116" s="4" t="str">
        <f t="array" ref="E6116">XLOOKUP(A6116,'Fintech, Regulatory Arbitrage, '!A:A,'Fintech, Regulatory Arbitrage, '!C:C,"")</f>
        <v/>
      </c>
    </row>
    <row r="6117">
      <c r="A6117" s="1" t="s">
        <v>6137</v>
      </c>
      <c r="B6117" s="2">
        <v>2.0</v>
      </c>
      <c r="C6117" s="4"/>
      <c r="E6117" s="4" t="str">
        <f t="array" ref="E6117">XLOOKUP(A6117,'Fintech, Regulatory Arbitrage, '!A:A,'Fintech, Regulatory Arbitrage, '!C:C,"")</f>
        <v/>
      </c>
    </row>
    <row r="6118">
      <c r="A6118" s="1" t="s">
        <v>6138</v>
      </c>
      <c r="B6118" s="2">
        <v>2.0</v>
      </c>
      <c r="C6118" s="4"/>
      <c r="E6118" s="4" t="str">
        <f t="array" ref="E6118">XLOOKUP(A6118,'Fintech, Regulatory Arbitrage, '!A:A,'Fintech, Regulatory Arbitrage, '!C:C,"")</f>
        <v/>
      </c>
    </row>
    <row r="6119">
      <c r="A6119" s="1" t="s">
        <v>6139</v>
      </c>
      <c r="B6119" s="2">
        <v>2.0</v>
      </c>
      <c r="C6119" s="4"/>
      <c r="E6119" s="4" t="str">
        <f t="array" ref="E6119">XLOOKUP(A6119,'Fintech, Regulatory Arbitrage, '!A:A,'Fintech, Regulatory Arbitrage, '!C:C,"")</f>
        <v/>
      </c>
    </row>
    <row r="6120">
      <c r="A6120" s="1" t="s">
        <v>6140</v>
      </c>
      <c r="B6120" s="2">
        <v>2.0</v>
      </c>
      <c r="C6120" s="4"/>
      <c r="E6120" s="4" t="str">
        <f t="array" ref="E6120">XLOOKUP(A6120,'Fintech, Regulatory Arbitrage, '!A:A,'Fintech, Regulatory Arbitrage, '!C:C,"")</f>
        <v/>
      </c>
    </row>
    <row r="6121">
      <c r="A6121" s="1" t="s">
        <v>6141</v>
      </c>
      <c r="B6121" s="2">
        <v>2.0</v>
      </c>
      <c r="C6121" s="4"/>
      <c r="E6121" s="4" t="str">
        <f t="array" ref="E6121">XLOOKUP(A6121,'Fintech, Regulatory Arbitrage, '!A:A,'Fintech, Regulatory Arbitrage, '!C:C,"")</f>
        <v/>
      </c>
    </row>
    <row r="6122">
      <c r="A6122" s="1" t="s">
        <v>6142</v>
      </c>
      <c r="B6122" s="2">
        <v>2.0</v>
      </c>
      <c r="C6122" s="4"/>
      <c r="E6122" s="4" t="str">
        <f t="array" ref="E6122">XLOOKUP(A6122,'Fintech, Regulatory Arbitrage, '!A:A,'Fintech, Regulatory Arbitrage, '!C:C,"")</f>
        <v/>
      </c>
    </row>
    <row r="6123">
      <c r="A6123" s="1" t="s">
        <v>6143</v>
      </c>
      <c r="B6123" s="2">
        <v>2.0</v>
      </c>
      <c r="C6123" s="4"/>
      <c r="E6123" s="4" t="str">
        <f t="array" ref="E6123">XLOOKUP(A6123,'Fintech, Regulatory Arbitrage, '!A:A,'Fintech, Regulatory Arbitrage, '!C:C,"")</f>
        <v/>
      </c>
    </row>
    <row r="6124">
      <c r="A6124" s="1" t="s">
        <v>6144</v>
      </c>
      <c r="B6124" s="2">
        <v>2.0</v>
      </c>
      <c r="C6124" s="4"/>
      <c r="E6124" s="4" t="str">
        <f t="array" ref="E6124">XLOOKUP(A6124,'Fintech, Regulatory Arbitrage, '!A:A,'Fintech, Regulatory Arbitrage, '!C:C,"")</f>
        <v/>
      </c>
    </row>
    <row r="6125">
      <c r="A6125" s="1" t="s">
        <v>6145</v>
      </c>
      <c r="B6125" s="2">
        <v>2.0</v>
      </c>
      <c r="C6125" s="4"/>
      <c r="E6125" s="4" t="str">
        <f t="array" ref="E6125">XLOOKUP(A6125,'Fintech, Regulatory Arbitrage, '!A:A,'Fintech, Regulatory Arbitrage, '!C:C,"")</f>
        <v/>
      </c>
    </row>
    <row r="6126">
      <c r="A6126" s="1" t="s">
        <v>6146</v>
      </c>
      <c r="B6126" s="2">
        <v>2.0</v>
      </c>
      <c r="C6126" s="4"/>
      <c r="E6126" s="4" t="str">
        <f t="array" ref="E6126">XLOOKUP(A6126,'Fintech, Regulatory Arbitrage, '!A:A,'Fintech, Regulatory Arbitrage, '!C:C,"")</f>
        <v/>
      </c>
    </row>
    <row r="6127">
      <c r="A6127" s="1" t="s">
        <v>6147</v>
      </c>
      <c r="B6127" s="2">
        <v>2.0</v>
      </c>
      <c r="C6127" s="4"/>
      <c r="E6127" s="4" t="str">
        <f t="array" ref="E6127">XLOOKUP(A6127,'Fintech, Regulatory Arbitrage, '!A:A,'Fintech, Regulatory Arbitrage, '!C:C,"")</f>
        <v/>
      </c>
    </row>
    <row r="6128">
      <c r="A6128" s="1" t="s">
        <v>6148</v>
      </c>
      <c r="B6128" s="2">
        <v>2.0</v>
      </c>
      <c r="C6128" s="4"/>
      <c r="E6128" s="4" t="str">
        <f t="array" ref="E6128">XLOOKUP(A6128,'Fintech, Regulatory Arbitrage, '!A:A,'Fintech, Regulatory Arbitrage, '!C:C,"")</f>
        <v/>
      </c>
    </row>
    <row r="6129">
      <c r="A6129" s="1" t="s">
        <v>6149</v>
      </c>
      <c r="B6129" s="2">
        <v>2.0</v>
      </c>
      <c r="C6129" s="4"/>
      <c r="E6129" s="4" t="str">
        <f t="array" ref="E6129">XLOOKUP(A6129,'Fintech, Regulatory Arbitrage, '!A:A,'Fintech, Regulatory Arbitrage, '!C:C,"")</f>
        <v/>
      </c>
    </row>
    <row r="6130">
      <c r="A6130" s="1" t="s">
        <v>6150</v>
      </c>
      <c r="B6130" s="2">
        <v>2.0</v>
      </c>
      <c r="C6130" s="4"/>
      <c r="E6130" s="4" t="str">
        <f t="array" ref="E6130">XLOOKUP(A6130,'Fintech, Regulatory Arbitrage, '!A:A,'Fintech, Regulatory Arbitrage, '!C:C,"")</f>
        <v/>
      </c>
    </row>
    <row r="6131">
      <c r="A6131" s="1" t="s">
        <v>6151</v>
      </c>
      <c r="B6131" s="2">
        <v>2.0</v>
      </c>
      <c r="C6131" s="4"/>
      <c r="E6131" s="4" t="str">
        <f t="array" ref="E6131">XLOOKUP(A6131,'Fintech, Regulatory Arbitrage, '!A:A,'Fintech, Regulatory Arbitrage, '!C:C,"")</f>
        <v/>
      </c>
    </row>
    <row r="6132">
      <c r="A6132" s="1" t="s">
        <v>6152</v>
      </c>
      <c r="B6132" s="2">
        <v>2.0</v>
      </c>
      <c r="C6132" s="4"/>
      <c r="E6132" s="4" t="str">
        <f t="array" ref="E6132">XLOOKUP(A6132,'Fintech, Regulatory Arbitrage, '!A:A,'Fintech, Regulatory Arbitrage, '!C:C,"")</f>
        <v/>
      </c>
    </row>
    <row r="6133">
      <c r="A6133" s="1" t="s">
        <v>6153</v>
      </c>
      <c r="B6133" s="2">
        <v>2.0</v>
      </c>
      <c r="C6133" s="4"/>
      <c r="E6133" s="4" t="str">
        <f t="array" ref="E6133">XLOOKUP(A6133,'Fintech, Regulatory Arbitrage, '!A:A,'Fintech, Regulatory Arbitrage, '!C:C,"")</f>
        <v/>
      </c>
    </row>
    <row r="6134">
      <c r="A6134" s="1" t="s">
        <v>6154</v>
      </c>
      <c r="B6134" s="2">
        <v>2.0</v>
      </c>
      <c r="C6134" s="4"/>
      <c r="E6134" s="4" t="str">
        <f t="array" ref="E6134">XLOOKUP(A6134,'Fintech, Regulatory Arbitrage, '!A:A,'Fintech, Regulatory Arbitrage, '!C:C,"")</f>
        <v/>
      </c>
    </row>
    <row r="6135">
      <c r="A6135" s="1" t="s">
        <v>6155</v>
      </c>
      <c r="B6135" s="2">
        <v>2.0</v>
      </c>
      <c r="C6135" s="4"/>
      <c r="E6135" s="4" t="str">
        <f t="array" ref="E6135">XLOOKUP(A6135,'Fintech, Regulatory Arbitrage, '!A:A,'Fintech, Regulatory Arbitrage, '!C:C,"")</f>
        <v/>
      </c>
    </row>
    <row r="6136">
      <c r="A6136" s="1" t="s">
        <v>6156</v>
      </c>
      <c r="B6136" s="2">
        <v>2.0</v>
      </c>
      <c r="C6136" s="4"/>
      <c r="E6136" s="4" t="str">
        <f t="array" ref="E6136">XLOOKUP(A6136,'Fintech, Regulatory Arbitrage, '!A:A,'Fintech, Regulatory Arbitrage, '!C:C,"")</f>
        <v/>
      </c>
    </row>
    <row r="6137">
      <c r="A6137" s="1" t="s">
        <v>6157</v>
      </c>
      <c r="B6137" s="2">
        <v>2.0</v>
      </c>
      <c r="C6137" s="4"/>
      <c r="E6137" s="4" t="str">
        <f t="array" ref="E6137">XLOOKUP(A6137,'Fintech, Regulatory Arbitrage, '!A:A,'Fintech, Regulatory Arbitrage, '!C:C,"")</f>
        <v/>
      </c>
    </row>
    <row r="6138">
      <c r="A6138" s="1" t="s">
        <v>6158</v>
      </c>
      <c r="B6138" s="2">
        <v>2.0</v>
      </c>
      <c r="C6138" s="4"/>
      <c r="E6138" s="4" t="str">
        <f t="array" ref="E6138">XLOOKUP(A6138,'Fintech, Regulatory Arbitrage, '!A:A,'Fintech, Regulatory Arbitrage, '!C:C,"")</f>
        <v/>
      </c>
    </row>
    <row r="6139">
      <c r="A6139" s="1" t="s">
        <v>6159</v>
      </c>
      <c r="B6139" s="2">
        <v>2.0</v>
      </c>
      <c r="C6139" s="4"/>
      <c r="E6139" s="4" t="str">
        <f t="array" ref="E6139">XLOOKUP(A6139,'Fintech, Regulatory Arbitrage, '!A:A,'Fintech, Regulatory Arbitrage, '!C:C,"")</f>
        <v/>
      </c>
    </row>
    <row r="6140">
      <c r="A6140" s="1" t="s">
        <v>6160</v>
      </c>
      <c r="B6140" s="2">
        <v>2.0</v>
      </c>
      <c r="C6140" s="4"/>
      <c r="E6140" s="4" t="str">
        <f t="array" ref="E6140">XLOOKUP(A6140,'Fintech, Regulatory Arbitrage, '!A:A,'Fintech, Regulatory Arbitrage, '!C:C,"")</f>
        <v/>
      </c>
    </row>
    <row r="6141">
      <c r="A6141" s="1" t="s">
        <v>6161</v>
      </c>
      <c r="B6141" s="2">
        <v>2.0</v>
      </c>
      <c r="C6141" s="4"/>
      <c r="E6141" s="4" t="str">
        <f t="array" ref="E6141">XLOOKUP(A6141,'Fintech, Regulatory Arbitrage, '!A:A,'Fintech, Regulatory Arbitrage, '!C:C,"")</f>
        <v/>
      </c>
    </row>
    <row r="6142">
      <c r="A6142" s="1" t="s">
        <v>6162</v>
      </c>
      <c r="B6142" s="2">
        <v>2.0</v>
      </c>
      <c r="C6142" s="4"/>
      <c r="E6142" s="4" t="str">
        <f t="array" ref="E6142">XLOOKUP(A6142,'Fintech, Regulatory Arbitrage, '!A:A,'Fintech, Regulatory Arbitrage, '!C:C,"")</f>
        <v/>
      </c>
    </row>
    <row r="6143">
      <c r="A6143" s="1" t="s">
        <v>6163</v>
      </c>
      <c r="B6143" s="2">
        <v>2.0</v>
      </c>
      <c r="C6143" s="4"/>
      <c r="E6143" s="4" t="str">
        <f t="array" ref="E6143">XLOOKUP(A6143,'Fintech, Regulatory Arbitrage, '!A:A,'Fintech, Regulatory Arbitrage, '!C:C,"")</f>
        <v/>
      </c>
    </row>
    <row r="6144">
      <c r="A6144" s="1" t="s">
        <v>6164</v>
      </c>
      <c r="B6144" s="2">
        <v>2.0</v>
      </c>
      <c r="C6144" s="4"/>
      <c r="E6144" s="4" t="str">
        <f t="array" ref="E6144">XLOOKUP(A6144,'Fintech, Regulatory Arbitrage, '!A:A,'Fintech, Regulatory Arbitrage, '!C:C,"")</f>
        <v/>
      </c>
    </row>
    <row r="6145">
      <c r="A6145" s="1" t="s">
        <v>6165</v>
      </c>
      <c r="B6145" s="2">
        <v>2.0</v>
      </c>
      <c r="C6145" s="4"/>
      <c r="E6145" s="4" t="str">
        <f t="array" ref="E6145">XLOOKUP(A6145,'Fintech, Regulatory Arbitrage, '!A:A,'Fintech, Regulatory Arbitrage, '!C:C,"")</f>
        <v/>
      </c>
    </row>
    <row r="6146">
      <c r="A6146" s="1" t="s">
        <v>6166</v>
      </c>
      <c r="B6146" s="2">
        <v>2.0</v>
      </c>
      <c r="C6146" s="4"/>
      <c r="E6146" s="4" t="str">
        <f t="array" ref="E6146">XLOOKUP(A6146,'Fintech, Regulatory Arbitrage, '!A:A,'Fintech, Regulatory Arbitrage, '!C:C,"")</f>
        <v/>
      </c>
    </row>
    <row r="6147">
      <c r="A6147" s="1" t="s">
        <v>6167</v>
      </c>
      <c r="B6147" s="2">
        <v>2.0</v>
      </c>
      <c r="C6147" s="4"/>
      <c r="E6147" s="4" t="str">
        <f t="array" ref="E6147">XLOOKUP(A6147,'Fintech, Regulatory Arbitrage, '!A:A,'Fintech, Regulatory Arbitrage, '!C:C,"")</f>
        <v/>
      </c>
    </row>
    <row r="6148">
      <c r="A6148" s="1" t="s">
        <v>6168</v>
      </c>
      <c r="B6148" s="2">
        <v>2.0</v>
      </c>
      <c r="C6148" s="4"/>
      <c r="E6148" s="4" t="str">
        <f t="array" ref="E6148">XLOOKUP(A6148,'Fintech, Regulatory Arbitrage, '!A:A,'Fintech, Regulatory Arbitrage, '!C:C,"")</f>
        <v/>
      </c>
    </row>
    <row r="6149">
      <c r="A6149" s="1" t="s">
        <v>6169</v>
      </c>
      <c r="B6149" s="2">
        <v>2.0</v>
      </c>
      <c r="C6149" s="4"/>
      <c r="E6149" s="4" t="str">
        <f t="array" ref="E6149">XLOOKUP(A6149,'Fintech, Regulatory Arbitrage, '!A:A,'Fintech, Regulatory Arbitrage, '!C:C,"")</f>
        <v/>
      </c>
    </row>
    <row r="6150">
      <c r="A6150" s="1" t="s">
        <v>6170</v>
      </c>
      <c r="B6150" s="2">
        <v>2.0</v>
      </c>
      <c r="C6150" s="4"/>
      <c r="E6150" s="4" t="str">
        <f t="array" ref="E6150">XLOOKUP(A6150,'Fintech, Regulatory Arbitrage, '!A:A,'Fintech, Regulatory Arbitrage, '!C:C,"")</f>
        <v/>
      </c>
    </row>
    <row r="6151">
      <c r="A6151" s="1" t="s">
        <v>6171</v>
      </c>
      <c r="B6151" s="2">
        <v>2.0</v>
      </c>
      <c r="C6151" s="4"/>
      <c r="E6151" s="4" t="str">
        <f t="array" ref="E6151">XLOOKUP(A6151,'Fintech, Regulatory Arbitrage, '!A:A,'Fintech, Regulatory Arbitrage, '!C:C,"")</f>
        <v/>
      </c>
    </row>
    <row r="6152">
      <c r="A6152" s="1" t="s">
        <v>6172</v>
      </c>
      <c r="B6152" s="2">
        <v>2.0</v>
      </c>
      <c r="C6152" s="4"/>
      <c r="E6152" s="4" t="str">
        <f t="array" ref="E6152">XLOOKUP(A6152,'Fintech, Regulatory Arbitrage, '!A:A,'Fintech, Regulatory Arbitrage, '!C:C,"")</f>
        <v/>
      </c>
    </row>
    <row r="6153">
      <c r="A6153" s="1" t="s">
        <v>6173</v>
      </c>
      <c r="B6153" s="2">
        <v>2.0</v>
      </c>
      <c r="C6153" s="4"/>
      <c r="E6153" s="4" t="str">
        <f t="array" ref="E6153">XLOOKUP(A6153,'Fintech, Regulatory Arbitrage, '!A:A,'Fintech, Regulatory Arbitrage, '!C:C,"")</f>
        <v/>
      </c>
    </row>
    <row r="6154">
      <c r="A6154" s="1" t="s">
        <v>6174</v>
      </c>
      <c r="B6154" s="2">
        <v>2.0</v>
      </c>
      <c r="C6154" s="4"/>
      <c r="E6154" s="4" t="str">
        <f t="array" ref="E6154">XLOOKUP(A6154,'Fintech, Regulatory Arbitrage, '!A:A,'Fintech, Regulatory Arbitrage, '!C:C,"")</f>
        <v/>
      </c>
    </row>
    <row r="6155">
      <c r="A6155" s="1" t="s">
        <v>6175</v>
      </c>
      <c r="B6155" s="2">
        <v>2.0</v>
      </c>
      <c r="C6155" s="4"/>
      <c r="E6155" s="4" t="str">
        <f t="array" ref="E6155">XLOOKUP(A6155,'Fintech, Regulatory Arbitrage, '!A:A,'Fintech, Regulatory Arbitrage, '!C:C,"")</f>
        <v/>
      </c>
    </row>
    <row r="6156">
      <c r="A6156" s="1" t="s">
        <v>6176</v>
      </c>
      <c r="B6156" s="2">
        <v>2.0</v>
      </c>
      <c r="C6156" s="4"/>
      <c r="E6156" s="4" t="str">
        <f t="array" ref="E6156">XLOOKUP(A6156,'Fintech, Regulatory Arbitrage, '!A:A,'Fintech, Regulatory Arbitrage, '!C:C,"")</f>
        <v/>
      </c>
    </row>
    <row r="6157">
      <c r="A6157" s="1" t="s">
        <v>6177</v>
      </c>
      <c r="B6157" s="2">
        <v>2.0</v>
      </c>
      <c r="C6157" s="4"/>
      <c r="E6157" s="4" t="str">
        <f t="array" ref="E6157">XLOOKUP(A6157,'Fintech, Regulatory Arbitrage, '!A:A,'Fintech, Regulatory Arbitrage, '!C:C,"")</f>
        <v/>
      </c>
    </row>
    <row r="6158">
      <c r="A6158" s="1" t="s">
        <v>6178</v>
      </c>
      <c r="B6158" s="2">
        <v>2.0</v>
      </c>
      <c r="C6158" s="4"/>
      <c r="E6158" s="4" t="str">
        <f t="array" ref="E6158">XLOOKUP(A6158,'Fintech, Regulatory Arbitrage, '!A:A,'Fintech, Regulatory Arbitrage, '!C:C,"")</f>
        <v/>
      </c>
    </row>
    <row r="6159">
      <c r="A6159" s="1" t="s">
        <v>6179</v>
      </c>
      <c r="B6159" s="2">
        <v>2.0</v>
      </c>
      <c r="C6159" s="4"/>
      <c r="E6159" s="4" t="str">
        <f t="array" ref="E6159">XLOOKUP(A6159,'Fintech, Regulatory Arbitrage, '!A:A,'Fintech, Regulatory Arbitrage, '!C:C,"")</f>
        <v/>
      </c>
    </row>
    <row r="6160">
      <c r="A6160" s="1" t="s">
        <v>6180</v>
      </c>
      <c r="B6160" s="2">
        <v>2.0</v>
      </c>
      <c r="C6160" s="4"/>
      <c r="E6160" s="4" t="str">
        <f t="array" ref="E6160">XLOOKUP(A6160,'Fintech, Regulatory Arbitrage, '!A:A,'Fintech, Regulatory Arbitrage, '!C:C,"")</f>
        <v/>
      </c>
    </row>
    <row r="6161">
      <c r="A6161" s="1" t="s">
        <v>6181</v>
      </c>
      <c r="B6161" s="2">
        <v>2.0</v>
      </c>
      <c r="C6161" s="4"/>
      <c r="E6161" s="4" t="str">
        <f t="array" ref="E6161">XLOOKUP(A6161,'Fintech, Regulatory Arbitrage, '!A:A,'Fintech, Regulatory Arbitrage, '!C:C,"")</f>
        <v/>
      </c>
    </row>
    <row r="6162">
      <c r="A6162" s="1" t="s">
        <v>6182</v>
      </c>
      <c r="B6162" s="2">
        <v>2.0</v>
      </c>
      <c r="C6162" s="4"/>
      <c r="E6162" s="4" t="str">
        <f t="array" ref="E6162">XLOOKUP(A6162,'Fintech, Regulatory Arbitrage, '!A:A,'Fintech, Regulatory Arbitrage, '!C:C,"")</f>
        <v/>
      </c>
    </row>
    <row r="6163">
      <c r="A6163" s="1" t="s">
        <v>6183</v>
      </c>
      <c r="B6163" s="2">
        <v>2.0</v>
      </c>
      <c r="C6163" s="4"/>
      <c r="E6163" s="4" t="str">
        <f t="array" ref="E6163">XLOOKUP(A6163,'Fintech, Regulatory Arbitrage, '!A:A,'Fintech, Regulatory Arbitrage, '!C:C,"")</f>
        <v/>
      </c>
    </row>
    <row r="6164">
      <c r="A6164" s="1" t="s">
        <v>6184</v>
      </c>
      <c r="B6164" s="2">
        <v>2.0</v>
      </c>
      <c r="C6164" s="4"/>
      <c r="E6164" s="4" t="str">
        <f t="array" ref="E6164">XLOOKUP(A6164,'Fintech, Regulatory Arbitrage, '!A:A,'Fintech, Regulatory Arbitrage, '!C:C,"")</f>
        <v/>
      </c>
    </row>
    <row r="6165">
      <c r="A6165" s="1" t="s">
        <v>6185</v>
      </c>
      <c r="B6165" s="2">
        <v>2.0</v>
      </c>
      <c r="C6165" s="4"/>
      <c r="E6165" s="4" t="str">
        <f t="array" ref="E6165">XLOOKUP(A6165,'Fintech, Regulatory Arbitrage, '!A:A,'Fintech, Regulatory Arbitrage, '!C:C,"")</f>
        <v/>
      </c>
    </row>
    <row r="6166">
      <c r="A6166" s="1" t="s">
        <v>6186</v>
      </c>
      <c r="B6166" s="2">
        <v>2.0</v>
      </c>
      <c r="C6166" s="4"/>
      <c r="E6166" s="4" t="str">
        <f t="array" ref="E6166">XLOOKUP(A6166,'Fintech, Regulatory Arbitrage, '!A:A,'Fintech, Regulatory Arbitrage, '!C:C,"")</f>
        <v/>
      </c>
    </row>
    <row r="6167">
      <c r="A6167" s="1" t="s">
        <v>6187</v>
      </c>
      <c r="B6167" s="2">
        <v>2.0</v>
      </c>
      <c r="C6167" s="4"/>
      <c r="E6167" s="4" t="str">
        <f t="array" ref="E6167">XLOOKUP(A6167,'Fintech, Regulatory Arbitrage, '!A:A,'Fintech, Regulatory Arbitrage, '!C:C,"")</f>
        <v/>
      </c>
    </row>
    <row r="6168">
      <c r="A6168" s="1" t="s">
        <v>6188</v>
      </c>
      <c r="B6168" s="2">
        <v>2.0</v>
      </c>
      <c r="C6168" s="4"/>
      <c r="E6168" s="4" t="str">
        <f t="array" ref="E6168">XLOOKUP(A6168,'Fintech, Regulatory Arbitrage, '!A:A,'Fintech, Regulatory Arbitrage, '!C:C,"")</f>
        <v/>
      </c>
    </row>
    <row r="6169">
      <c r="A6169" s="1" t="s">
        <v>6189</v>
      </c>
      <c r="B6169" s="2">
        <v>2.0</v>
      </c>
      <c r="C6169" s="4"/>
      <c r="E6169" s="4" t="str">
        <f t="array" ref="E6169">XLOOKUP(A6169,'Fintech, Regulatory Arbitrage, '!A:A,'Fintech, Regulatory Arbitrage, '!C:C,"")</f>
        <v/>
      </c>
    </row>
    <row r="6170">
      <c r="A6170" s="1" t="s">
        <v>6190</v>
      </c>
      <c r="B6170" s="2">
        <v>2.0</v>
      </c>
      <c r="C6170" s="4"/>
      <c r="E6170" s="4" t="str">
        <f t="array" ref="E6170">XLOOKUP(A6170,'Fintech, Regulatory Arbitrage, '!A:A,'Fintech, Regulatory Arbitrage, '!C:C,"")</f>
        <v/>
      </c>
    </row>
    <row r="6171">
      <c r="A6171" s="1" t="s">
        <v>6191</v>
      </c>
      <c r="B6171" s="2">
        <v>2.0</v>
      </c>
      <c r="C6171" s="4"/>
      <c r="E6171" s="4" t="str">
        <f t="array" ref="E6171">XLOOKUP(A6171,'Fintech, Regulatory Arbitrage, '!A:A,'Fintech, Regulatory Arbitrage, '!C:C,"")</f>
        <v/>
      </c>
    </row>
    <row r="6172">
      <c r="A6172" s="1" t="s">
        <v>6192</v>
      </c>
      <c r="B6172" s="2">
        <v>2.0</v>
      </c>
      <c r="C6172" s="4"/>
      <c r="E6172" s="4" t="str">
        <f t="array" ref="E6172">XLOOKUP(A6172,'Fintech, Regulatory Arbitrage, '!A:A,'Fintech, Regulatory Arbitrage, '!C:C,"")</f>
        <v/>
      </c>
    </row>
    <row r="6173">
      <c r="A6173" s="1" t="s">
        <v>6193</v>
      </c>
      <c r="B6173" s="2">
        <v>2.0</v>
      </c>
      <c r="C6173" s="4"/>
      <c r="E6173" s="4" t="str">
        <f t="array" ref="E6173">XLOOKUP(A6173,'Fintech, Regulatory Arbitrage, '!A:A,'Fintech, Regulatory Arbitrage, '!C:C,"")</f>
        <v/>
      </c>
    </row>
    <row r="6174">
      <c r="A6174" s="1" t="s">
        <v>6194</v>
      </c>
      <c r="B6174" s="2">
        <v>2.0</v>
      </c>
      <c r="C6174" s="4"/>
      <c r="E6174" s="4" t="str">
        <f t="array" ref="E6174">XLOOKUP(A6174,'Fintech, Regulatory Arbitrage, '!A:A,'Fintech, Regulatory Arbitrage, '!C:C,"")</f>
        <v/>
      </c>
    </row>
    <row r="6175">
      <c r="A6175" s="1" t="s">
        <v>6195</v>
      </c>
      <c r="B6175" s="2">
        <v>2.0</v>
      </c>
      <c r="C6175" s="4"/>
      <c r="E6175" s="4" t="str">
        <f t="array" ref="E6175">XLOOKUP(A6175,'Fintech, Regulatory Arbitrage, '!A:A,'Fintech, Regulatory Arbitrage, '!C:C,"")</f>
        <v/>
      </c>
    </row>
    <row r="6176">
      <c r="A6176" s="1" t="s">
        <v>6196</v>
      </c>
      <c r="B6176" s="2">
        <v>2.0</v>
      </c>
      <c r="C6176" s="4"/>
      <c r="E6176" s="4" t="str">
        <f t="array" ref="E6176">XLOOKUP(A6176,'Fintech, Regulatory Arbitrage, '!A:A,'Fintech, Regulatory Arbitrage, '!C:C,"")</f>
        <v/>
      </c>
    </row>
    <row r="6177">
      <c r="A6177" s="1" t="s">
        <v>6197</v>
      </c>
      <c r="B6177" s="2">
        <v>2.0</v>
      </c>
      <c r="C6177" s="4"/>
      <c r="E6177" s="4" t="str">
        <f t="array" ref="E6177">XLOOKUP(A6177,'Fintech, Regulatory Arbitrage, '!A:A,'Fintech, Regulatory Arbitrage, '!C:C,"")</f>
        <v/>
      </c>
    </row>
    <row r="6178">
      <c r="A6178" s="1" t="s">
        <v>6198</v>
      </c>
      <c r="B6178" s="2">
        <v>2.0</v>
      </c>
      <c r="C6178" s="4"/>
      <c r="E6178" s="4" t="str">
        <f t="array" ref="E6178">XLOOKUP(A6178,'Fintech, Regulatory Arbitrage, '!A:A,'Fintech, Regulatory Arbitrage, '!C:C,"")</f>
        <v/>
      </c>
    </row>
    <row r="6179">
      <c r="A6179" s="1" t="s">
        <v>6199</v>
      </c>
      <c r="B6179" s="2">
        <v>2.0</v>
      </c>
      <c r="C6179" s="4"/>
      <c r="E6179" s="4" t="str">
        <f t="array" ref="E6179">XLOOKUP(A6179,'Fintech, Regulatory Arbitrage, '!A:A,'Fintech, Regulatory Arbitrage, '!C:C,"")</f>
        <v/>
      </c>
    </row>
    <row r="6180">
      <c r="A6180" s="1" t="s">
        <v>6200</v>
      </c>
      <c r="B6180" s="2">
        <v>2.0</v>
      </c>
      <c r="C6180" s="4"/>
      <c r="E6180" s="4" t="str">
        <f t="array" ref="E6180">XLOOKUP(A6180,'Fintech, Regulatory Arbitrage, '!A:A,'Fintech, Regulatory Arbitrage, '!C:C,"")</f>
        <v/>
      </c>
    </row>
    <row r="6181">
      <c r="A6181" s="1" t="s">
        <v>6201</v>
      </c>
      <c r="B6181" s="2">
        <v>2.0</v>
      </c>
      <c r="C6181" s="4"/>
      <c r="E6181" s="4" t="str">
        <f t="array" ref="E6181">XLOOKUP(A6181,'Fintech, Regulatory Arbitrage, '!A:A,'Fintech, Regulatory Arbitrage, '!C:C,"")</f>
        <v/>
      </c>
    </row>
    <row r="6182">
      <c r="A6182" s="1" t="s">
        <v>6202</v>
      </c>
      <c r="B6182" s="2">
        <v>2.0</v>
      </c>
      <c r="C6182" s="4"/>
      <c r="E6182" s="4" t="str">
        <f t="array" ref="E6182">XLOOKUP(A6182,'Fintech, Regulatory Arbitrage, '!A:A,'Fintech, Regulatory Arbitrage, '!C:C,"")</f>
        <v/>
      </c>
    </row>
    <row r="6183">
      <c r="A6183" s="1" t="s">
        <v>6203</v>
      </c>
      <c r="B6183" s="2">
        <v>2.0</v>
      </c>
      <c r="C6183" s="4"/>
      <c r="E6183" s="4" t="str">
        <f t="array" ref="E6183">XLOOKUP(A6183,'Fintech, Regulatory Arbitrage, '!A:A,'Fintech, Regulatory Arbitrage, '!C:C,"")</f>
        <v/>
      </c>
    </row>
    <row r="6184">
      <c r="A6184" s="1" t="s">
        <v>6204</v>
      </c>
      <c r="B6184" s="2">
        <v>2.0</v>
      </c>
      <c r="C6184" s="4"/>
      <c r="E6184" s="4" t="str">
        <f t="array" ref="E6184">XLOOKUP(A6184,'Fintech, Regulatory Arbitrage, '!A:A,'Fintech, Regulatory Arbitrage, '!C:C,"")</f>
        <v/>
      </c>
    </row>
    <row r="6185">
      <c r="A6185" s="1" t="s">
        <v>6205</v>
      </c>
      <c r="B6185" s="2">
        <v>2.0</v>
      </c>
      <c r="C6185" s="4"/>
      <c r="E6185" s="4" t="str">
        <f t="array" ref="E6185">XLOOKUP(A6185,'Fintech, Regulatory Arbitrage, '!A:A,'Fintech, Regulatory Arbitrage, '!C:C,"")</f>
        <v/>
      </c>
    </row>
    <row r="6186">
      <c r="A6186" s="1" t="s">
        <v>6206</v>
      </c>
      <c r="B6186" s="2">
        <v>2.0</v>
      </c>
      <c r="C6186" s="4"/>
      <c r="E6186" s="4" t="str">
        <f t="array" ref="E6186">XLOOKUP(A6186,'Fintech, Regulatory Arbitrage, '!A:A,'Fintech, Regulatory Arbitrage, '!C:C,"")</f>
        <v/>
      </c>
    </row>
    <row r="6187">
      <c r="A6187" s="1" t="s">
        <v>6207</v>
      </c>
      <c r="B6187" s="2">
        <v>2.0</v>
      </c>
      <c r="C6187" s="4"/>
      <c r="E6187" s="4" t="str">
        <f t="array" ref="E6187">XLOOKUP(A6187,'Fintech, Regulatory Arbitrage, '!A:A,'Fintech, Regulatory Arbitrage, '!C:C,"")</f>
        <v/>
      </c>
    </row>
    <row r="6188">
      <c r="A6188" s="1" t="s">
        <v>6208</v>
      </c>
      <c r="B6188" s="2">
        <v>2.0</v>
      </c>
      <c r="C6188" s="4"/>
      <c r="E6188" s="4" t="str">
        <f t="array" ref="E6188">XLOOKUP(A6188,'Fintech, Regulatory Arbitrage, '!A:A,'Fintech, Regulatory Arbitrage, '!C:C,"")</f>
        <v/>
      </c>
    </row>
    <row r="6189">
      <c r="A6189" s="1" t="s">
        <v>6209</v>
      </c>
      <c r="B6189" s="2">
        <v>2.0</v>
      </c>
      <c r="C6189" s="4"/>
      <c r="E6189" s="4" t="str">
        <f t="array" ref="E6189">XLOOKUP(A6189,'Fintech, Regulatory Arbitrage, '!A:A,'Fintech, Regulatory Arbitrage, '!C:C,"")</f>
        <v/>
      </c>
    </row>
    <row r="6190">
      <c r="A6190" s="1" t="s">
        <v>6210</v>
      </c>
      <c r="B6190" s="2">
        <v>2.0</v>
      </c>
      <c r="C6190" s="4"/>
      <c r="E6190" s="4" t="str">
        <f t="array" ref="E6190">XLOOKUP(A6190,'Fintech, Regulatory Arbitrage, '!A:A,'Fintech, Regulatory Arbitrage, '!C:C,"")</f>
        <v/>
      </c>
    </row>
    <row r="6191">
      <c r="A6191" s="1" t="s">
        <v>6211</v>
      </c>
      <c r="B6191" s="2">
        <v>2.0</v>
      </c>
      <c r="C6191" s="4"/>
      <c r="E6191" s="4" t="str">
        <f t="array" ref="E6191">XLOOKUP(A6191,'Fintech, Regulatory Arbitrage, '!A:A,'Fintech, Regulatory Arbitrage, '!C:C,"")</f>
        <v/>
      </c>
    </row>
    <row r="6192">
      <c r="A6192" s="1" t="s">
        <v>6212</v>
      </c>
      <c r="B6192" s="2">
        <v>2.0</v>
      </c>
      <c r="C6192" s="4"/>
      <c r="E6192" s="4" t="str">
        <f t="array" ref="E6192">XLOOKUP(A6192,'Fintech, Regulatory Arbitrage, '!A:A,'Fintech, Regulatory Arbitrage, '!C:C,"")</f>
        <v/>
      </c>
    </row>
    <row r="6193">
      <c r="A6193" s="1" t="s">
        <v>6213</v>
      </c>
      <c r="B6193" s="2">
        <v>2.0</v>
      </c>
      <c r="C6193" s="4"/>
      <c r="E6193" s="4" t="str">
        <f t="array" ref="E6193">XLOOKUP(A6193,'Fintech, Regulatory Arbitrage, '!A:A,'Fintech, Regulatory Arbitrage, '!C:C,"")</f>
        <v/>
      </c>
    </row>
    <row r="6194">
      <c r="A6194" s="1" t="s">
        <v>6214</v>
      </c>
      <c r="B6194" s="2">
        <v>2.0</v>
      </c>
      <c r="C6194" s="4"/>
      <c r="E6194" s="4" t="str">
        <f t="array" ref="E6194">XLOOKUP(A6194,'Fintech, Regulatory Arbitrage, '!A:A,'Fintech, Regulatory Arbitrage, '!C:C,"")</f>
        <v/>
      </c>
    </row>
    <row r="6195">
      <c r="A6195" s="1" t="s">
        <v>6215</v>
      </c>
      <c r="B6195" s="2">
        <v>2.0</v>
      </c>
      <c r="C6195" s="4"/>
      <c r="E6195" s="4" t="str">
        <f t="array" ref="E6195">XLOOKUP(A6195,'Fintech, Regulatory Arbitrage, '!A:A,'Fintech, Regulatory Arbitrage, '!C:C,"")</f>
        <v/>
      </c>
    </row>
    <row r="6196">
      <c r="A6196" s="1" t="s">
        <v>6216</v>
      </c>
      <c r="B6196" s="2">
        <v>2.0</v>
      </c>
      <c r="C6196" s="4"/>
      <c r="E6196" s="4" t="str">
        <f t="array" ref="E6196">XLOOKUP(A6196,'Fintech, Regulatory Arbitrage, '!A:A,'Fintech, Regulatory Arbitrage, '!C:C,"")</f>
        <v/>
      </c>
    </row>
    <row r="6197">
      <c r="A6197" s="1" t="s">
        <v>6217</v>
      </c>
      <c r="B6197" s="2">
        <v>2.0</v>
      </c>
      <c r="C6197" s="4"/>
      <c r="E6197" s="4" t="str">
        <f t="array" ref="E6197">XLOOKUP(A6197,'Fintech, Regulatory Arbitrage, '!A:A,'Fintech, Regulatory Arbitrage, '!C:C,"")</f>
        <v/>
      </c>
    </row>
    <row r="6198">
      <c r="A6198" s="1" t="s">
        <v>6218</v>
      </c>
      <c r="B6198" s="2">
        <v>2.0</v>
      </c>
      <c r="C6198" s="4"/>
      <c r="E6198" s="4" t="str">
        <f t="array" ref="E6198">XLOOKUP(A6198,'Fintech, Regulatory Arbitrage, '!A:A,'Fintech, Regulatory Arbitrage, '!C:C,"")</f>
        <v/>
      </c>
    </row>
    <row r="6199">
      <c r="A6199" s="1" t="s">
        <v>6219</v>
      </c>
      <c r="B6199" s="2">
        <v>2.0</v>
      </c>
      <c r="C6199" s="4"/>
      <c r="E6199" s="4" t="str">
        <f t="array" ref="E6199">XLOOKUP(A6199,'Fintech, Regulatory Arbitrage, '!A:A,'Fintech, Regulatory Arbitrage, '!C:C,"")</f>
        <v/>
      </c>
    </row>
    <row r="6200">
      <c r="A6200" s="1" t="s">
        <v>6220</v>
      </c>
      <c r="B6200" s="2">
        <v>2.0</v>
      </c>
      <c r="C6200" s="4"/>
      <c r="E6200" s="4" t="str">
        <f t="array" ref="E6200">XLOOKUP(A6200,'Fintech, Regulatory Arbitrage, '!A:A,'Fintech, Regulatory Arbitrage, '!C:C,"")</f>
        <v/>
      </c>
    </row>
    <row r="6201">
      <c r="A6201" s="1" t="s">
        <v>6221</v>
      </c>
      <c r="B6201" s="2">
        <v>2.0</v>
      </c>
      <c r="C6201" s="4"/>
      <c r="E6201" s="4" t="str">
        <f t="array" ref="E6201">XLOOKUP(A6201,'Fintech, Regulatory Arbitrage, '!A:A,'Fintech, Regulatory Arbitrage, '!C:C,"")</f>
        <v/>
      </c>
    </row>
    <row r="6202">
      <c r="A6202" s="1" t="s">
        <v>6222</v>
      </c>
      <c r="B6202" s="2">
        <v>2.0</v>
      </c>
      <c r="C6202" s="4"/>
      <c r="E6202" s="4" t="str">
        <f t="array" ref="E6202">XLOOKUP(A6202,'Fintech, Regulatory Arbitrage, '!A:A,'Fintech, Regulatory Arbitrage, '!C:C,"")</f>
        <v/>
      </c>
    </row>
    <row r="6203">
      <c r="A6203" s="1" t="s">
        <v>6223</v>
      </c>
      <c r="B6203" s="2">
        <v>2.0</v>
      </c>
      <c r="C6203" s="4"/>
      <c r="E6203" s="4" t="str">
        <f t="array" ref="E6203">XLOOKUP(A6203,'Fintech, Regulatory Arbitrage, '!A:A,'Fintech, Regulatory Arbitrage, '!C:C,"")</f>
        <v/>
      </c>
    </row>
    <row r="6204">
      <c r="A6204" s="1" t="s">
        <v>6224</v>
      </c>
      <c r="B6204" s="2">
        <v>2.0</v>
      </c>
      <c r="C6204" s="4"/>
      <c r="E6204" s="4" t="str">
        <f t="array" ref="E6204">XLOOKUP(A6204,'Fintech, Regulatory Arbitrage, '!A:A,'Fintech, Regulatory Arbitrage, '!C:C,"")</f>
        <v/>
      </c>
    </row>
    <row r="6205">
      <c r="A6205" s="1" t="s">
        <v>6225</v>
      </c>
      <c r="B6205" s="2">
        <v>2.0</v>
      </c>
      <c r="C6205" s="4"/>
      <c r="E6205" s="4" t="str">
        <f t="array" ref="E6205">XLOOKUP(A6205,'Fintech, Regulatory Arbitrage, '!A:A,'Fintech, Regulatory Arbitrage, '!C:C,"")</f>
        <v/>
      </c>
    </row>
    <row r="6206">
      <c r="A6206" s="1" t="s">
        <v>6226</v>
      </c>
      <c r="B6206" s="2">
        <v>2.0</v>
      </c>
      <c r="C6206" s="4"/>
      <c r="E6206" s="4" t="str">
        <f t="array" ref="E6206">XLOOKUP(A6206,'Fintech, Regulatory Arbitrage, '!A:A,'Fintech, Regulatory Arbitrage, '!C:C,"")</f>
        <v/>
      </c>
    </row>
    <row r="6207">
      <c r="A6207" s="1" t="s">
        <v>6227</v>
      </c>
      <c r="B6207" s="2">
        <v>2.0</v>
      </c>
      <c r="C6207" s="4"/>
      <c r="E6207" s="4" t="str">
        <f t="array" ref="E6207">XLOOKUP(A6207,'Fintech, Regulatory Arbitrage, '!A:A,'Fintech, Regulatory Arbitrage, '!C:C,"")</f>
        <v/>
      </c>
    </row>
    <row r="6208">
      <c r="A6208" s="1" t="s">
        <v>6228</v>
      </c>
      <c r="B6208" s="2">
        <v>2.0</v>
      </c>
      <c r="C6208" s="4"/>
      <c r="E6208" s="4" t="str">
        <f t="array" ref="E6208">XLOOKUP(A6208,'Fintech, Regulatory Arbitrage, '!A:A,'Fintech, Regulatory Arbitrage, '!C:C,"")</f>
        <v/>
      </c>
    </row>
    <row r="6209">
      <c r="A6209" s="1" t="s">
        <v>6229</v>
      </c>
      <c r="B6209" s="2">
        <v>2.0</v>
      </c>
      <c r="C6209" s="4"/>
      <c r="E6209" s="4" t="str">
        <f t="array" ref="E6209">XLOOKUP(A6209,'Fintech, Regulatory Arbitrage, '!A:A,'Fintech, Regulatory Arbitrage, '!C:C,"")</f>
        <v/>
      </c>
    </row>
    <row r="6210">
      <c r="A6210" s="1" t="s">
        <v>6230</v>
      </c>
      <c r="B6210" s="2">
        <v>2.0</v>
      </c>
      <c r="C6210" s="4"/>
      <c r="E6210" s="4" t="str">
        <f t="array" ref="E6210">XLOOKUP(A6210,'Fintech, Regulatory Arbitrage, '!A:A,'Fintech, Regulatory Arbitrage, '!C:C,"")</f>
        <v/>
      </c>
    </row>
    <row r="6211">
      <c r="A6211" s="1" t="s">
        <v>6231</v>
      </c>
      <c r="B6211" s="2">
        <v>2.0</v>
      </c>
      <c r="C6211" s="4"/>
      <c r="E6211" s="4" t="str">
        <f t="array" ref="E6211">XLOOKUP(A6211,'Fintech, Regulatory Arbitrage, '!A:A,'Fintech, Regulatory Arbitrage, '!C:C,"")</f>
        <v/>
      </c>
    </row>
    <row r="6212">
      <c r="A6212" s="1" t="s">
        <v>6232</v>
      </c>
      <c r="B6212" s="2">
        <v>2.0</v>
      </c>
      <c r="C6212" s="4"/>
      <c r="E6212" s="4" t="str">
        <f t="array" ref="E6212">XLOOKUP(A6212,'Fintech, Regulatory Arbitrage, '!A:A,'Fintech, Regulatory Arbitrage, '!C:C,"")</f>
        <v/>
      </c>
    </row>
    <row r="6213">
      <c r="A6213" s="1" t="s">
        <v>6233</v>
      </c>
      <c r="B6213" s="2">
        <v>2.0</v>
      </c>
      <c r="C6213" s="4"/>
      <c r="E6213" s="4" t="str">
        <f t="array" ref="E6213">XLOOKUP(A6213,'Fintech, Regulatory Arbitrage, '!A:A,'Fintech, Regulatory Arbitrage, '!C:C,"")</f>
        <v/>
      </c>
    </row>
    <row r="6214">
      <c r="A6214" s="1" t="s">
        <v>6234</v>
      </c>
      <c r="B6214" s="2">
        <v>2.0</v>
      </c>
      <c r="C6214" s="4"/>
      <c r="E6214" s="4" t="str">
        <f t="array" ref="E6214">XLOOKUP(A6214,'Fintech, Regulatory Arbitrage, '!A:A,'Fintech, Regulatory Arbitrage, '!C:C,"")</f>
        <v/>
      </c>
    </row>
    <row r="6215">
      <c r="A6215" s="1" t="s">
        <v>6235</v>
      </c>
      <c r="B6215" s="2">
        <v>2.0</v>
      </c>
      <c r="C6215" s="4"/>
      <c r="E6215" s="4" t="str">
        <f t="array" ref="E6215">XLOOKUP(A6215,'Fintech, Regulatory Arbitrage, '!A:A,'Fintech, Regulatory Arbitrage, '!C:C,"")</f>
        <v/>
      </c>
    </row>
    <row r="6216">
      <c r="A6216" s="1" t="s">
        <v>6236</v>
      </c>
      <c r="B6216" s="2">
        <v>2.0</v>
      </c>
      <c r="C6216" s="4"/>
      <c r="E6216" s="4" t="str">
        <f t="array" ref="E6216">XLOOKUP(A6216,'Fintech, Regulatory Arbitrage, '!A:A,'Fintech, Regulatory Arbitrage, '!C:C,"")</f>
        <v/>
      </c>
    </row>
    <row r="6217">
      <c r="A6217" s="1" t="s">
        <v>6237</v>
      </c>
      <c r="B6217" s="2">
        <v>2.0</v>
      </c>
      <c r="C6217" s="4"/>
      <c r="E6217" s="4" t="str">
        <f t="array" ref="E6217">XLOOKUP(A6217,'Fintech, Regulatory Arbitrage, '!A:A,'Fintech, Regulatory Arbitrage, '!C:C,"")</f>
        <v/>
      </c>
    </row>
    <row r="6218">
      <c r="A6218" s="1" t="s">
        <v>6238</v>
      </c>
      <c r="B6218" s="2">
        <v>2.0</v>
      </c>
      <c r="C6218" s="4"/>
      <c r="E6218" s="4" t="str">
        <f t="array" ref="E6218">XLOOKUP(A6218,'Fintech, Regulatory Arbitrage, '!A:A,'Fintech, Regulatory Arbitrage, '!C:C,"")</f>
        <v/>
      </c>
    </row>
    <row r="6219">
      <c r="A6219" s="1" t="s">
        <v>6239</v>
      </c>
      <c r="B6219" s="2">
        <v>2.0</v>
      </c>
      <c r="C6219" s="4"/>
      <c r="E6219" s="4" t="str">
        <f t="array" ref="E6219">XLOOKUP(A6219,'Fintech, Regulatory Arbitrage, '!A:A,'Fintech, Regulatory Arbitrage, '!C:C,"")</f>
        <v/>
      </c>
    </row>
    <row r="6220">
      <c r="A6220" s="1" t="s">
        <v>6240</v>
      </c>
      <c r="B6220" s="2">
        <v>2.0</v>
      </c>
      <c r="C6220" s="4"/>
      <c r="E6220" s="4" t="str">
        <f t="array" ref="E6220">XLOOKUP(A6220,'Fintech, Regulatory Arbitrage, '!A:A,'Fintech, Regulatory Arbitrage, '!C:C,"")</f>
        <v/>
      </c>
    </row>
    <row r="6221">
      <c r="A6221" s="1" t="s">
        <v>6241</v>
      </c>
      <c r="B6221" s="2">
        <v>2.0</v>
      </c>
      <c r="C6221" s="4"/>
      <c r="E6221" s="4" t="str">
        <f t="array" ref="E6221">XLOOKUP(A6221,'Fintech, Regulatory Arbitrage, '!A:A,'Fintech, Regulatory Arbitrage, '!C:C,"")</f>
        <v/>
      </c>
    </row>
    <row r="6222">
      <c r="A6222" s="1" t="s">
        <v>6242</v>
      </c>
      <c r="B6222" s="2">
        <v>2.0</v>
      </c>
      <c r="C6222" s="4"/>
      <c r="E6222" s="4" t="str">
        <f t="array" ref="E6222">XLOOKUP(A6222,'Fintech, Regulatory Arbitrage, '!A:A,'Fintech, Regulatory Arbitrage, '!C:C,"")</f>
        <v/>
      </c>
    </row>
    <row r="6223">
      <c r="A6223" s="1" t="s">
        <v>6243</v>
      </c>
      <c r="B6223" s="2">
        <v>2.0</v>
      </c>
      <c r="C6223" s="4"/>
      <c r="E6223" s="4" t="str">
        <f t="array" ref="E6223">XLOOKUP(A6223,'Fintech, Regulatory Arbitrage, '!A:A,'Fintech, Regulatory Arbitrage, '!C:C,"")</f>
        <v/>
      </c>
    </row>
    <row r="6224">
      <c r="A6224" s="1" t="s">
        <v>6244</v>
      </c>
      <c r="B6224" s="2">
        <v>2.0</v>
      </c>
      <c r="C6224" s="4"/>
      <c r="E6224" s="4" t="str">
        <f t="array" ref="E6224">XLOOKUP(A6224,'Fintech, Regulatory Arbitrage, '!A:A,'Fintech, Regulatory Arbitrage, '!C:C,"")</f>
        <v/>
      </c>
    </row>
    <row r="6225">
      <c r="A6225" s="1" t="s">
        <v>6245</v>
      </c>
      <c r="B6225" s="2">
        <v>2.0</v>
      </c>
      <c r="C6225" s="4"/>
      <c r="E6225" s="4" t="str">
        <f t="array" ref="E6225">XLOOKUP(A6225,'Fintech, Regulatory Arbitrage, '!A:A,'Fintech, Regulatory Arbitrage, '!C:C,"")</f>
        <v/>
      </c>
    </row>
    <row r="6226">
      <c r="A6226" s="1" t="s">
        <v>6246</v>
      </c>
      <c r="B6226" s="2">
        <v>2.0</v>
      </c>
      <c r="C6226" s="4"/>
      <c r="E6226" s="4" t="str">
        <f t="array" ref="E6226">XLOOKUP(A6226,'Fintech, Regulatory Arbitrage, '!A:A,'Fintech, Regulatory Arbitrage, '!C:C,"")</f>
        <v/>
      </c>
    </row>
    <row r="6227">
      <c r="A6227" s="1" t="s">
        <v>6247</v>
      </c>
      <c r="B6227" s="2">
        <v>2.0</v>
      </c>
      <c r="C6227" s="4"/>
      <c r="E6227" s="4" t="str">
        <f t="array" ref="E6227">XLOOKUP(A6227,'Fintech, Regulatory Arbitrage, '!A:A,'Fintech, Regulatory Arbitrage, '!C:C,"")</f>
        <v/>
      </c>
    </row>
    <row r="6228">
      <c r="A6228" s="1" t="s">
        <v>6248</v>
      </c>
      <c r="B6228" s="2">
        <v>2.0</v>
      </c>
      <c r="C6228" s="4"/>
      <c r="E6228" s="4" t="str">
        <f t="array" ref="E6228">XLOOKUP(A6228,'Fintech, Regulatory Arbitrage, '!A:A,'Fintech, Regulatory Arbitrage, '!C:C,"")</f>
        <v/>
      </c>
    </row>
    <row r="6229">
      <c r="A6229" s="1" t="s">
        <v>6249</v>
      </c>
      <c r="B6229" s="2">
        <v>2.0</v>
      </c>
      <c r="C6229" s="4"/>
      <c r="E6229" s="4" t="str">
        <f t="array" ref="E6229">XLOOKUP(A6229,'Fintech, Regulatory Arbitrage, '!A:A,'Fintech, Regulatory Arbitrage, '!C:C,"")</f>
        <v/>
      </c>
    </row>
    <row r="6230">
      <c r="A6230" s="1" t="s">
        <v>6250</v>
      </c>
      <c r="B6230" s="2">
        <v>2.0</v>
      </c>
      <c r="C6230" s="4"/>
      <c r="E6230" s="4" t="str">
        <f t="array" ref="E6230">XLOOKUP(A6230,'Fintech, Regulatory Arbitrage, '!A:A,'Fintech, Regulatory Arbitrage, '!C:C,"")</f>
        <v/>
      </c>
    </row>
    <row r="6231">
      <c r="A6231" s="1" t="s">
        <v>6251</v>
      </c>
      <c r="B6231" s="2">
        <v>2.0</v>
      </c>
      <c r="C6231" s="4"/>
      <c r="E6231" s="4" t="str">
        <f t="array" ref="E6231">XLOOKUP(A6231,'Fintech, Regulatory Arbitrage, '!A:A,'Fintech, Regulatory Arbitrage, '!C:C,"")</f>
        <v/>
      </c>
    </row>
    <row r="6232">
      <c r="A6232" s="1" t="s">
        <v>6252</v>
      </c>
      <c r="B6232" s="2">
        <v>2.0</v>
      </c>
      <c r="C6232" s="4"/>
      <c r="E6232" s="4" t="str">
        <f t="array" ref="E6232">XLOOKUP(A6232,'Fintech, Regulatory Arbitrage, '!A:A,'Fintech, Regulatory Arbitrage, '!C:C,"")</f>
        <v/>
      </c>
    </row>
    <row r="6233">
      <c r="A6233" s="1" t="s">
        <v>6253</v>
      </c>
      <c r="B6233" s="2">
        <v>2.0</v>
      </c>
      <c r="C6233" s="4"/>
      <c r="E6233" s="4" t="str">
        <f t="array" ref="E6233">XLOOKUP(A6233,'Fintech, Regulatory Arbitrage, '!A:A,'Fintech, Regulatory Arbitrage, '!C:C,"")</f>
        <v/>
      </c>
    </row>
    <row r="6234">
      <c r="A6234" s="1" t="s">
        <v>6254</v>
      </c>
      <c r="B6234" s="2">
        <v>2.0</v>
      </c>
      <c r="C6234" s="4"/>
      <c r="E6234" s="4" t="str">
        <f t="array" ref="E6234">XLOOKUP(A6234,'Fintech, Regulatory Arbitrage, '!A:A,'Fintech, Regulatory Arbitrage, '!C:C,"")</f>
        <v/>
      </c>
    </row>
    <row r="6235">
      <c r="A6235" s="1" t="s">
        <v>6255</v>
      </c>
      <c r="B6235" s="2">
        <v>2.0</v>
      </c>
      <c r="C6235" s="4"/>
      <c r="E6235" s="4" t="str">
        <f t="array" ref="E6235">XLOOKUP(A6235,'Fintech, Regulatory Arbitrage, '!A:A,'Fintech, Regulatory Arbitrage, '!C:C,"")</f>
        <v/>
      </c>
    </row>
    <row r="6236">
      <c r="A6236" s="1" t="s">
        <v>6256</v>
      </c>
      <c r="B6236" s="2">
        <v>2.0</v>
      </c>
      <c r="C6236" s="4"/>
      <c r="E6236" s="4" t="str">
        <f t="array" ref="E6236">XLOOKUP(A6236,'Fintech, Regulatory Arbitrage, '!A:A,'Fintech, Regulatory Arbitrage, '!C:C,"")</f>
        <v/>
      </c>
    </row>
    <row r="6237">
      <c r="A6237" s="1" t="s">
        <v>6257</v>
      </c>
      <c r="B6237" s="2">
        <v>2.0</v>
      </c>
      <c r="C6237" s="4"/>
      <c r="E6237" s="4" t="str">
        <f t="array" ref="E6237">XLOOKUP(A6237,'Fintech, Regulatory Arbitrage, '!A:A,'Fintech, Regulatory Arbitrage, '!C:C,"")</f>
        <v/>
      </c>
    </row>
    <row r="6238">
      <c r="A6238" s="1" t="s">
        <v>6258</v>
      </c>
      <c r="B6238" s="2">
        <v>2.0</v>
      </c>
      <c r="C6238" s="4"/>
      <c r="E6238" s="4" t="str">
        <f t="array" ref="E6238">XLOOKUP(A6238,'Fintech, Regulatory Arbitrage, '!A:A,'Fintech, Regulatory Arbitrage, '!C:C,"")</f>
        <v/>
      </c>
    </row>
    <row r="6239">
      <c r="A6239" s="1" t="s">
        <v>6259</v>
      </c>
      <c r="B6239" s="2">
        <v>2.0</v>
      </c>
      <c r="C6239" s="4"/>
      <c r="E6239" s="4" t="str">
        <f t="array" ref="E6239">XLOOKUP(A6239,'Fintech, Regulatory Arbitrage, '!A:A,'Fintech, Regulatory Arbitrage, '!C:C,"")</f>
        <v/>
      </c>
    </row>
    <row r="6240">
      <c r="A6240" s="1" t="s">
        <v>6260</v>
      </c>
      <c r="B6240" s="2">
        <v>2.0</v>
      </c>
      <c r="C6240" s="4"/>
      <c r="E6240" s="4" t="str">
        <f t="array" ref="E6240">XLOOKUP(A6240,'Fintech, Regulatory Arbitrage, '!A:A,'Fintech, Regulatory Arbitrage, '!C:C,"")</f>
        <v/>
      </c>
    </row>
    <row r="6241">
      <c r="A6241" s="1" t="s">
        <v>6261</v>
      </c>
      <c r="B6241" s="2">
        <v>2.0</v>
      </c>
      <c r="C6241" s="4"/>
      <c r="E6241" s="4" t="str">
        <f t="array" ref="E6241">XLOOKUP(A6241,'Fintech, Regulatory Arbitrage, '!A:A,'Fintech, Regulatory Arbitrage, '!C:C,"")</f>
        <v/>
      </c>
    </row>
    <row r="6242">
      <c r="A6242" s="1" t="s">
        <v>6262</v>
      </c>
      <c r="B6242" s="2">
        <v>2.0</v>
      </c>
      <c r="C6242" s="4"/>
      <c r="E6242" s="4" t="str">
        <f t="array" ref="E6242">XLOOKUP(A6242,'Fintech, Regulatory Arbitrage, '!A:A,'Fintech, Regulatory Arbitrage, '!C:C,"")</f>
        <v/>
      </c>
    </row>
    <row r="6243">
      <c r="A6243" s="1" t="s">
        <v>6263</v>
      </c>
      <c r="B6243" s="2">
        <v>2.0</v>
      </c>
      <c r="C6243" s="4"/>
      <c r="E6243" s="4" t="str">
        <f t="array" ref="E6243">XLOOKUP(A6243,'Fintech, Regulatory Arbitrage, '!A:A,'Fintech, Regulatory Arbitrage, '!C:C,"")</f>
        <v/>
      </c>
    </row>
    <row r="6244">
      <c r="A6244" s="1" t="s">
        <v>6264</v>
      </c>
      <c r="B6244" s="2">
        <v>2.0</v>
      </c>
      <c r="C6244" s="4"/>
      <c r="E6244" s="4" t="str">
        <f t="array" ref="E6244">XLOOKUP(A6244,'Fintech, Regulatory Arbitrage, '!A:A,'Fintech, Regulatory Arbitrage, '!C:C,"")</f>
        <v/>
      </c>
    </row>
    <row r="6245">
      <c r="A6245" s="1" t="s">
        <v>6265</v>
      </c>
      <c r="B6245" s="2">
        <v>2.0</v>
      </c>
      <c r="C6245" s="4"/>
      <c r="E6245" s="4" t="str">
        <f t="array" ref="E6245">XLOOKUP(A6245,'Fintech, Regulatory Arbitrage, '!A:A,'Fintech, Regulatory Arbitrage, '!C:C,"")</f>
        <v/>
      </c>
    </row>
    <row r="6246">
      <c r="A6246" s="1" t="s">
        <v>6266</v>
      </c>
      <c r="B6246" s="2">
        <v>2.0</v>
      </c>
      <c r="C6246" s="4"/>
      <c r="E6246" s="4" t="str">
        <f t="array" ref="E6246">XLOOKUP(A6246,'Fintech, Regulatory Arbitrage, '!A:A,'Fintech, Regulatory Arbitrage, '!C:C,"")</f>
        <v/>
      </c>
    </row>
    <row r="6247">
      <c r="A6247" s="1" t="s">
        <v>6267</v>
      </c>
      <c r="B6247" s="2">
        <v>2.0</v>
      </c>
      <c r="C6247" s="4"/>
      <c r="E6247" s="4" t="str">
        <f t="array" ref="E6247">XLOOKUP(A6247,'Fintech, Regulatory Arbitrage, '!A:A,'Fintech, Regulatory Arbitrage, '!C:C,"")</f>
        <v/>
      </c>
    </row>
    <row r="6248">
      <c r="A6248" s="1" t="s">
        <v>6268</v>
      </c>
      <c r="B6248" s="2">
        <v>2.0</v>
      </c>
      <c r="C6248" s="4"/>
      <c r="E6248" s="4" t="str">
        <f t="array" ref="E6248">XLOOKUP(A6248,'Fintech, Regulatory Arbitrage, '!A:A,'Fintech, Regulatory Arbitrage, '!C:C,"")</f>
        <v/>
      </c>
    </row>
    <row r="6249">
      <c r="A6249" s="1" t="s">
        <v>6269</v>
      </c>
      <c r="B6249" s="2">
        <v>2.0</v>
      </c>
      <c r="C6249" s="4"/>
      <c r="E6249" s="4" t="str">
        <f t="array" ref="E6249">XLOOKUP(A6249,'Fintech, Regulatory Arbitrage, '!A:A,'Fintech, Regulatory Arbitrage, '!C:C,"")</f>
        <v/>
      </c>
    </row>
    <row r="6250">
      <c r="A6250" s="1" t="s">
        <v>6270</v>
      </c>
      <c r="B6250" s="2">
        <v>2.0</v>
      </c>
      <c r="C6250" s="4"/>
      <c r="E6250" s="4" t="str">
        <f t="array" ref="E6250">XLOOKUP(A6250,'Fintech, Regulatory Arbitrage, '!A:A,'Fintech, Regulatory Arbitrage, '!C:C,"")</f>
        <v/>
      </c>
    </row>
    <row r="6251">
      <c r="A6251" s="1" t="s">
        <v>6271</v>
      </c>
      <c r="B6251" s="2">
        <v>2.0</v>
      </c>
      <c r="C6251" s="4"/>
      <c r="E6251" s="4" t="str">
        <f t="array" ref="E6251">XLOOKUP(A6251,'Fintech, Regulatory Arbitrage, '!A:A,'Fintech, Regulatory Arbitrage, '!C:C,"")</f>
        <v/>
      </c>
    </row>
    <row r="6252">
      <c r="A6252" s="1" t="s">
        <v>6272</v>
      </c>
      <c r="B6252" s="2">
        <v>2.0</v>
      </c>
      <c r="C6252" s="4"/>
      <c r="E6252" s="4" t="str">
        <f t="array" ref="E6252">XLOOKUP(A6252,'Fintech, Regulatory Arbitrage, '!A:A,'Fintech, Regulatory Arbitrage, '!C:C,"")</f>
        <v/>
      </c>
    </row>
    <row r="6253">
      <c r="A6253" s="1" t="s">
        <v>6273</v>
      </c>
      <c r="B6253" s="2">
        <v>2.0</v>
      </c>
      <c r="C6253" s="4"/>
      <c r="E6253" s="4" t="str">
        <f t="array" ref="E6253">XLOOKUP(A6253,'Fintech, Regulatory Arbitrage, '!A:A,'Fintech, Regulatory Arbitrage, '!C:C,"")</f>
        <v/>
      </c>
    </row>
    <row r="6254">
      <c r="A6254" s="1" t="s">
        <v>6274</v>
      </c>
      <c r="B6254" s="2">
        <v>2.0</v>
      </c>
      <c r="C6254" s="4"/>
      <c r="E6254" s="4" t="str">
        <f t="array" ref="E6254">XLOOKUP(A6254,'Fintech, Regulatory Arbitrage, '!A:A,'Fintech, Regulatory Arbitrage, '!C:C,"")</f>
        <v/>
      </c>
    </row>
    <row r="6255">
      <c r="A6255" s="1" t="s">
        <v>6275</v>
      </c>
      <c r="B6255" s="2">
        <v>2.0</v>
      </c>
      <c r="C6255" s="4"/>
      <c r="E6255" s="4" t="str">
        <f t="array" ref="E6255">XLOOKUP(A6255,'Fintech, Regulatory Arbitrage, '!A:A,'Fintech, Regulatory Arbitrage, '!C:C,"")</f>
        <v/>
      </c>
    </row>
    <row r="6256">
      <c r="A6256" s="1" t="s">
        <v>6276</v>
      </c>
      <c r="B6256" s="2">
        <v>2.0</v>
      </c>
      <c r="C6256" s="4"/>
      <c r="E6256" s="4" t="str">
        <f t="array" ref="E6256">XLOOKUP(A6256,'Fintech, Regulatory Arbitrage, '!A:A,'Fintech, Regulatory Arbitrage, '!C:C,"")</f>
        <v/>
      </c>
    </row>
    <row r="6257">
      <c r="A6257" s="1" t="s">
        <v>6277</v>
      </c>
      <c r="B6257" s="2">
        <v>2.0</v>
      </c>
      <c r="C6257" s="4"/>
      <c r="E6257" s="4" t="str">
        <f t="array" ref="E6257">XLOOKUP(A6257,'Fintech, Regulatory Arbitrage, '!A:A,'Fintech, Regulatory Arbitrage, '!C:C,"")</f>
        <v/>
      </c>
    </row>
    <row r="6258">
      <c r="A6258" s="1" t="s">
        <v>6278</v>
      </c>
      <c r="B6258" s="2">
        <v>2.0</v>
      </c>
      <c r="C6258" s="4"/>
      <c r="E6258" s="4" t="str">
        <f t="array" ref="E6258">XLOOKUP(A6258,'Fintech, Regulatory Arbitrage, '!A:A,'Fintech, Regulatory Arbitrage, '!C:C,"")</f>
        <v/>
      </c>
    </row>
    <row r="6259">
      <c r="A6259" s="1" t="s">
        <v>6279</v>
      </c>
      <c r="B6259" s="2">
        <v>2.0</v>
      </c>
      <c r="C6259" s="4"/>
      <c r="E6259" s="4" t="str">
        <f t="array" ref="E6259">XLOOKUP(A6259,'Fintech, Regulatory Arbitrage, '!A:A,'Fintech, Regulatory Arbitrage, '!C:C,"")</f>
        <v/>
      </c>
    </row>
    <row r="6260">
      <c r="A6260" s="1" t="s">
        <v>6280</v>
      </c>
      <c r="B6260" s="2">
        <v>2.0</v>
      </c>
      <c r="C6260" s="4"/>
      <c r="E6260" s="4" t="str">
        <f t="array" ref="E6260">XLOOKUP(A6260,'Fintech, Regulatory Arbitrage, '!A:A,'Fintech, Regulatory Arbitrage, '!C:C,"")</f>
        <v/>
      </c>
    </row>
    <row r="6261">
      <c r="A6261" s="1" t="s">
        <v>6281</v>
      </c>
      <c r="B6261" s="2">
        <v>2.0</v>
      </c>
      <c r="C6261" s="4"/>
      <c r="E6261" s="4" t="str">
        <f t="array" ref="E6261">XLOOKUP(A6261,'Fintech, Regulatory Arbitrage, '!A:A,'Fintech, Regulatory Arbitrage, '!C:C,"")</f>
        <v/>
      </c>
    </row>
    <row r="6262">
      <c r="A6262" s="1" t="s">
        <v>6282</v>
      </c>
      <c r="B6262" s="2">
        <v>2.0</v>
      </c>
      <c r="C6262" s="4"/>
      <c r="E6262" s="4" t="str">
        <f t="array" ref="E6262">XLOOKUP(A6262,'Fintech, Regulatory Arbitrage, '!A:A,'Fintech, Regulatory Arbitrage, '!C:C,"")</f>
        <v/>
      </c>
    </row>
    <row r="6263">
      <c r="A6263" s="1" t="s">
        <v>6283</v>
      </c>
      <c r="B6263" s="2">
        <v>2.0</v>
      </c>
      <c r="C6263" s="4"/>
      <c r="E6263" s="4" t="str">
        <f t="array" ref="E6263">XLOOKUP(A6263,'Fintech, Regulatory Arbitrage, '!A:A,'Fintech, Regulatory Arbitrage, '!C:C,"")</f>
        <v/>
      </c>
    </row>
    <row r="6264">
      <c r="A6264" s="1" t="s">
        <v>6284</v>
      </c>
      <c r="B6264" s="2">
        <v>2.0</v>
      </c>
      <c r="C6264" s="4"/>
      <c r="E6264" s="4" t="str">
        <f t="array" ref="E6264">XLOOKUP(A6264,'Fintech, Regulatory Arbitrage, '!A:A,'Fintech, Regulatory Arbitrage, '!C:C,"")</f>
        <v/>
      </c>
    </row>
    <row r="6265">
      <c r="A6265" s="1" t="s">
        <v>6285</v>
      </c>
      <c r="B6265" s="2">
        <v>2.0</v>
      </c>
      <c r="C6265" s="4"/>
      <c r="E6265" s="4" t="str">
        <f t="array" ref="E6265">XLOOKUP(A6265,'Fintech, Regulatory Arbitrage, '!A:A,'Fintech, Regulatory Arbitrage, '!C:C,"")</f>
        <v/>
      </c>
    </row>
    <row r="6266">
      <c r="A6266" s="1" t="s">
        <v>6286</v>
      </c>
      <c r="B6266" s="2">
        <v>2.0</v>
      </c>
      <c r="C6266" s="4"/>
      <c r="E6266" s="4" t="str">
        <f t="array" ref="E6266">XLOOKUP(A6266,'Fintech, Regulatory Arbitrage, '!A:A,'Fintech, Regulatory Arbitrage, '!C:C,"")</f>
        <v/>
      </c>
    </row>
    <row r="6267">
      <c r="A6267" s="1" t="s">
        <v>6287</v>
      </c>
      <c r="B6267" s="2">
        <v>2.0</v>
      </c>
      <c r="C6267" s="4"/>
      <c r="E6267" s="4" t="str">
        <f t="array" ref="E6267">XLOOKUP(A6267,'Fintech, Regulatory Arbitrage, '!A:A,'Fintech, Regulatory Arbitrage, '!C:C,"")</f>
        <v/>
      </c>
    </row>
    <row r="6268">
      <c r="A6268" s="1" t="s">
        <v>6288</v>
      </c>
      <c r="B6268" s="2">
        <v>2.0</v>
      </c>
      <c r="C6268" s="4"/>
      <c r="E6268" s="4" t="str">
        <f t="array" ref="E6268">XLOOKUP(A6268,'Fintech, Regulatory Arbitrage, '!A:A,'Fintech, Regulatory Arbitrage, '!C:C,"")</f>
        <v/>
      </c>
    </row>
    <row r="6269">
      <c r="A6269" s="1" t="s">
        <v>6289</v>
      </c>
      <c r="B6269" s="2">
        <v>2.0</v>
      </c>
      <c r="C6269" s="4"/>
      <c r="E6269" s="4" t="str">
        <f t="array" ref="E6269">XLOOKUP(A6269,'Fintech, Regulatory Arbitrage, '!A:A,'Fintech, Regulatory Arbitrage, '!C:C,"")</f>
        <v/>
      </c>
    </row>
    <row r="6270">
      <c r="A6270" s="1" t="s">
        <v>6290</v>
      </c>
      <c r="B6270" s="2">
        <v>2.0</v>
      </c>
      <c r="C6270" s="4"/>
      <c r="E6270" s="4" t="str">
        <f t="array" ref="E6270">XLOOKUP(A6270,'Fintech, Regulatory Arbitrage, '!A:A,'Fintech, Regulatory Arbitrage, '!C:C,"")</f>
        <v/>
      </c>
    </row>
    <row r="6271">
      <c r="A6271" s="1" t="s">
        <v>6291</v>
      </c>
      <c r="B6271" s="2">
        <v>2.0</v>
      </c>
      <c r="C6271" s="4"/>
      <c r="E6271" s="4" t="str">
        <f t="array" ref="E6271">XLOOKUP(A6271,'Fintech, Regulatory Arbitrage, '!A:A,'Fintech, Regulatory Arbitrage, '!C:C,"")</f>
        <v/>
      </c>
    </row>
    <row r="6272">
      <c r="A6272" s="1" t="s">
        <v>6292</v>
      </c>
      <c r="B6272" s="2">
        <v>2.0</v>
      </c>
      <c r="C6272" s="4"/>
      <c r="E6272" s="4" t="str">
        <f t="array" ref="E6272">XLOOKUP(A6272,'Fintech, Regulatory Arbitrage, '!A:A,'Fintech, Regulatory Arbitrage, '!C:C,"")</f>
        <v/>
      </c>
    </row>
    <row r="6273">
      <c r="A6273" s="1" t="s">
        <v>6293</v>
      </c>
      <c r="B6273" s="2">
        <v>2.0</v>
      </c>
      <c r="C6273" s="4"/>
      <c r="E6273" s="4" t="str">
        <f t="array" ref="E6273">XLOOKUP(A6273,'Fintech, Regulatory Arbitrage, '!A:A,'Fintech, Regulatory Arbitrage, '!C:C,"")</f>
        <v/>
      </c>
    </row>
    <row r="6274">
      <c r="A6274" s="1" t="s">
        <v>6294</v>
      </c>
      <c r="B6274" s="2">
        <v>2.0</v>
      </c>
      <c r="C6274" s="4"/>
      <c r="E6274" s="4" t="str">
        <f t="array" ref="E6274">XLOOKUP(A6274,'Fintech, Regulatory Arbitrage, '!A:A,'Fintech, Regulatory Arbitrage, '!C:C,"")</f>
        <v/>
      </c>
    </row>
    <row r="6275">
      <c r="A6275" s="1" t="s">
        <v>6295</v>
      </c>
      <c r="B6275" s="2">
        <v>2.0</v>
      </c>
      <c r="C6275" s="4"/>
      <c r="E6275" s="4" t="str">
        <f t="array" ref="E6275">XLOOKUP(A6275,'Fintech, Regulatory Arbitrage, '!A:A,'Fintech, Regulatory Arbitrage, '!C:C,"")</f>
        <v/>
      </c>
    </row>
    <row r="6276">
      <c r="A6276" s="1" t="s">
        <v>6296</v>
      </c>
      <c r="B6276" s="2">
        <v>2.0</v>
      </c>
      <c r="C6276" s="4"/>
      <c r="E6276" s="4" t="str">
        <f t="array" ref="E6276">XLOOKUP(A6276,'Fintech, Regulatory Arbitrage, '!A:A,'Fintech, Regulatory Arbitrage, '!C:C,"")</f>
        <v/>
      </c>
    </row>
    <row r="6277">
      <c r="A6277" s="1" t="s">
        <v>6297</v>
      </c>
      <c r="B6277" s="2">
        <v>2.0</v>
      </c>
      <c r="C6277" s="4"/>
      <c r="E6277" s="4" t="str">
        <f t="array" ref="E6277">XLOOKUP(A6277,'Fintech, Regulatory Arbitrage, '!A:A,'Fintech, Regulatory Arbitrage, '!C:C,"")</f>
        <v/>
      </c>
    </row>
    <row r="6278">
      <c r="A6278" s="1" t="s">
        <v>6298</v>
      </c>
      <c r="B6278" s="2">
        <v>2.0</v>
      </c>
      <c r="C6278" s="4"/>
      <c r="E6278" s="4" t="str">
        <f t="array" ref="E6278">XLOOKUP(A6278,'Fintech, Regulatory Arbitrage, '!A:A,'Fintech, Regulatory Arbitrage, '!C:C,"")</f>
        <v/>
      </c>
    </row>
    <row r="6279">
      <c r="A6279" s="1" t="s">
        <v>6299</v>
      </c>
      <c r="B6279" s="2">
        <v>2.0</v>
      </c>
      <c r="C6279" s="4"/>
      <c r="E6279" s="4" t="str">
        <f t="array" ref="E6279">XLOOKUP(A6279,'Fintech, Regulatory Arbitrage, '!A:A,'Fintech, Regulatory Arbitrage, '!C:C,"")</f>
        <v/>
      </c>
    </row>
    <row r="6280">
      <c r="A6280" s="1" t="s">
        <v>6300</v>
      </c>
      <c r="B6280" s="2">
        <v>2.0</v>
      </c>
      <c r="C6280" s="4"/>
      <c r="E6280" s="4" t="str">
        <f t="array" ref="E6280">XLOOKUP(A6280,'Fintech, Regulatory Arbitrage, '!A:A,'Fintech, Regulatory Arbitrage, '!C:C,"")</f>
        <v/>
      </c>
    </row>
    <row r="6281">
      <c r="A6281" s="1" t="s">
        <v>6301</v>
      </c>
      <c r="B6281" s="2">
        <v>2.0</v>
      </c>
      <c r="C6281" s="4"/>
      <c r="E6281" s="4" t="str">
        <f t="array" ref="E6281">XLOOKUP(A6281,'Fintech, Regulatory Arbitrage, '!A:A,'Fintech, Regulatory Arbitrage, '!C:C,"")</f>
        <v/>
      </c>
    </row>
    <row r="6282">
      <c r="A6282" s="1" t="s">
        <v>6302</v>
      </c>
      <c r="B6282" s="2">
        <v>2.0</v>
      </c>
      <c r="C6282" s="4"/>
      <c r="E6282" s="4" t="str">
        <f t="array" ref="E6282">XLOOKUP(A6282,'Fintech, Regulatory Arbitrage, '!A:A,'Fintech, Regulatory Arbitrage, '!C:C,"")</f>
        <v/>
      </c>
    </row>
    <row r="6283">
      <c r="A6283" s="1" t="s">
        <v>6303</v>
      </c>
      <c r="B6283" s="2">
        <v>2.0</v>
      </c>
      <c r="C6283" s="4"/>
      <c r="E6283" s="4" t="str">
        <f t="array" ref="E6283">XLOOKUP(A6283,'Fintech, Regulatory Arbitrage, '!A:A,'Fintech, Regulatory Arbitrage, '!C:C,"")</f>
        <v/>
      </c>
    </row>
    <row r="6284">
      <c r="A6284" s="1" t="s">
        <v>6304</v>
      </c>
      <c r="B6284" s="2">
        <v>2.0</v>
      </c>
      <c r="C6284" s="4"/>
      <c r="E6284" s="4" t="str">
        <f t="array" ref="E6284">XLOOKUP(A6284,'Fintech, Regulatory Arbitrage, '!A:A,'Fintech, Regulatory Arbitrage, '!C:C,"")</f>
        <v/>
      </c>
    </row>
    <row r="6285">
      <c r="A6285" s="1" t="s">
        <v>6305</v>
      </c>
      <c r="B6285" s="2">
        <v>2.0</v>
      </c>
      <c r="C6285" s="4"/>
      <c r="E6285" s="4" t="str">
        <f t="array" ref="E6285">XLOOKUP(A6285,'Fintech, Regulatory Arbitrage, '!A:A,'Fintech, Regulatory Arbitrage, '!C:C,"")</f>
        <v/>
      </c>
    </row>
    <row r="6286">
      <c r="A6286" s="1" t="s">
        <v>6306</v>
      </c>
      <c r="B6286" s="2">
        <v>2.0</v>
      </c>
      <c r="C6286" s="4"/>
      <c r="E6286" s="4" t="str">
        <f t="array" ref="E6286">XLOOKUP(A6286,'Fintech, Regulatory Arbitrage, '!A:A,'Fintech, Regulatory Arbitrage, '!C:C,"")</f>
        <v/>
      </c>
    </row>
    <row r="6287">
      <c r="A6287" s="1" t="s">
        <v>6307</v>
      </c>
      <c r="B6287" s="2">
        <v>2.0</v>
      </c>
      <c r="C6287" s="4"/>
      <c r="E6287" s="4" t="str">
        <f t="array" ref="E6287">XLOOKUP(A6287,'Fintech, Regulatory Arbitrage, '!A:A,'Fintech, Regulatory Arbitrage, '!C:C,"")</f>
        <v/>
      </c>
    </row>
    <row r="6288">
      <c r="A6288" s="1" t="s">
        <v>6308</v>
      </c>
      <c r="B6288" s="2">
        <v>2.0</v>
      </c>
      <c r="C6288" s="4"/>
      <c r="E6288" s="4" t="str">
        <f t="array" ref="E6288">XLOOKUP(A6288,'Fintech, Regulatory Arbitrage, '!A:A,'Fintech, Regulatory Arbitrage, '!C:C,"")</f>
        <v/>
      </c>
    </row>
    <row r="6289">
      <c r="A6289" s="1" t="s">
        <v>6309</v>
      </c>
      <c r="B6289" s="2">
        <v>2.0</v>
      </c>
      <c r="C6289" s="4"/>
      <c r="E6289" s="4" t="str">
        <f t="array" ref="E6289">XLOOKUP(A6289,'Fintech, Regulatory Arbitrage, '!A:A,'Fintech, Regulatory Arbitrage, '!C:C,"")</f>
        <v/>
      </c>
    </row>
    <row r="6290">
      <c r="A6290" s="1" t="s">
        <v>6310</v>
      </c>
      <c r="B6290" s="2">
        <v>2.0</v>
      </c>
      <c r="C6290" s="4"/>
      <c r="E6290" s="4" t="str">
        <f t="array" ref="E6290">XLOOKUP(A6290,'Fintech, Regulatory Arbitrage, '!A:A,'Fintech, Regulatory Arbitrage, '!C:C,"")</f>
        <v/>
      </c>
    </row>
    <row r="6291">
      <c r="A6291" s="1" t="s">
        <v>6311</v>
      </c>
      <c r="B6291" s="2">
        <v>2.0</v>
      </c>
      <c r="C6291" s="4"/>
      <c r="E6291" s="4" t="str">
        <f t="array" ref="E6291">XLOOKUP(A6291,'Fintech, Regulatory Arbitrage, '!A:A,'Fintech, Regulatory Arbitrage, '!C:C,"")</f>
        <v/>
      </c>
    </row>
    <row r="6292">
      <c r="A6292" s="1" t="s">
        <v>6312</v>
      </c>
      <c r="B6292" s="2">
        <v>2.0</v>
      </c>
      <c r="C6292" s="4"/>
      <c r="E6292" s="4" t="str">
        <f t="array" ref="E6292">XLOOKUP(A6292,'Fintech, Regulatory Arbitrage, '!A:A,'Fintech, Regulatory Arbitrage, '!C:C,"")</f>
        <v/>
      </c>
    </row>
    <row r="6293">
      <c r="A6293" s="1" t="s">
        <v>6313</v>
      </c>
      <c r="B6293" s="2">
        <v>2.0</v>
      </c>
      <c r="C6293" s="4"/>
      <c r="E6293" s="4" t="str">
        <f t="array" ref="E6293">XLOOKUP(A6293,'Fintech, Regulatory Arbitrage, '!A:A,'Fintech, Regulatory Arbitrage, '!C:C,"")</f>
        <v/>
      </c>
    </row>
    <row r="6294">
      <c r="A6294" s="1" t="s">
        <v>6314</v>
      </c>
      <c r="B6294" s="2">
        <v>2.0</v>
      </c>
      <c r="C6294" s="4"/>
      <c r="E6294" s="4" t="str">
        <f t="array" ref="E6294">XLOOKUP(A6294,'Fintech, Regulatory Arbitrage, '!A:A,'Fintech, Regulatory Arbitrage, '!C:C,"")</f>
        <v/>
      </c>
    </row>
    <row r="6295">
      <c r="A6295" s="1" t="s">
        <v>6315</v>
      </c>
      <c r="B6295" s="2">
        <v>2.0</v>
      </c>
      <c r="C6295" s="4"/>
      <c r="E6295" s="4" t="str">
        <f t="array" ref="E6295">XLOOKUP(A6295,'Fintech, Regulatory Arbitrage, '!A:A,'Fintech, Regulatory Arbitrage, '!C:C,"")</f>
        <v/>
      </c>
    </row>
    <row r="6296">
      <c r="A6296" s="1" t="s">
        <v>6316</v>
      </c>
      <c r="B6296" s="2">
        <v>2.0</v>
      </c>
      <c r="C6296" s="4"/>
      <c r="E6296" s="4" t="str">
        <f t="array" ref="E6296">XLOOKUP(A6296,'Fintech, Regulatory Arbitrage, '!A:A,'Fintech, Regulatory Arbitrage, '!C:C,"")</f>
        <v/>
      </c>
    </row>
    <row r="6297">
      <c r="A6297" s="1" t="s">
        <v>6317</v>
      </c>
      <c r="B6297" s="2">
        <v>2.0</v>
      </c>
      <c r="C6297" s="4"/>
      <c r="E6297" s="4" t="str">
        <f t="array" ref="E6297">XLOOKUP(A6297,'Fintech, Regulatory Arbitrage, '!A:A,'Fintech, Regulatory Arbitrage, '!C:C,"")</f>
        <v/>
      </c>
    </row>
    <row r="6298">
      <c r="A6298" s="1" t="s">
        <v>6318</v>
      </c>
      <c r="B6298" s="2">
        <v>2.0</v>
      </c>
      <c r="C6298" s="4"/>
      <c r="E6298" s="4" t="str">
        <f t="array" ref="E6298">XLOOKUP(A6298,'Fintech, Regulatory Arbitrage, '!A:A,'Fintech, Regulatory Arbitrage, '!C:C,"")</f>
        <v/>
      </c>
    </row>
    <row r="6299">
      <c r="A6299" s="1" t="s">
        <v>6319</v>
      </c>
      <c r="B6299" s="2">
        <v>2.0</v>
      </c>
      <c r="C6299" s="4"/>
      <c r="E6299" s="4" t="str">
        <f t="array" ref="E6299">XLOOKUP(A6299,'Fintech, Regulatory Arbitrage, '!A:A,'Fintech, Regulatory Arbitrage, '!C:C,"")</f>
        <v/>
      </c>
    </row>
    <row r="6300">
      <c r="A6300" s="1" t="s">
        <v>6320</v>
      </c>
      <c r="B6300" s="2">
        <v>2.0</v>
      </c>
      <c r="C6300" s="4"/>
      <c r="E6300" s="4" t="str">
        <f t="array" ref="E6300">XLOOKUP(A6300,'Fintech, Regulatory Arbitrage, '!A:A,'Fintech, Regulatory Arbitrage, '!C:C,"")</f>
        <v/>
      </c>
    </row>
    <row r="6301">
      <c r="A6301" s="1" t="s">
        <v>6321</v>
      </c>
      <c r="B6301" s="2">
        <v>2.0</v>
      </c>
      <c r="C6301" s="4"/>
      <c r="E6301" s="4" t="str">
        <f t="array" ref="E6301">XLOOKUP(A6301,'Fintech, Regulatory Arbitrage, '!A:A,'Fintech, Regulatory Arbitrage, '!C:C,"")</f>
        <v/>
      </c>
    </row>
    <row r="6302">
      <c r="A6302" s="1" t="s">
        <v>6322</v>
      </c>
      <c r="B6302" s="2">
        <v>2.0</v>
      </c>
      <c r="C6302" s="4"/>
      <c r="E6302" s="4" t="str">
        <f t="array" ref="E6302">XLOOKUP(A6302,'Fintech, Regulatory Arbitrage, '!A:A,'Fintech, Regulatory Arbitrage, '!C:C,"")</f>
        <v/>
      </c>
    </row>
    <row r="6303">
      <c r="A6303" s="1" t="s">
        <v>6323</v>
      </c>
      <c r="B6303" s="2">
        <v>2.0</v>
      </c>
      <c r="C6303" s="4"/>
      <c r="E6303" s="4" t="str">
        <f t="array" ref="E6303">XLOOKUP(A6303,'Fintech, Regulatory Arbitrage, '!A:A,'Fintech, Regulatory Arbitrage, '!C:C,"")</f>
        <v/>
      </c>
    </row>
    <row r="6304">
      <c r="A6304" s="1" t="s">
        <v>6324</v>
      </c>
      <c r="B6304" s="2">
        <v>2.0</v>
      </c>
      <c r="C6304" s="4"/>
      <c r="E6304" s="4" t="str">
        <f t="array" ref="E6304">XLOOKUP(A6304,'Fintech, Regulatory Arbitrage, '!A:A,'Fintech, Regulatory Arbitrage, '!C:C,"")</f>
        <v/>
      </c>
    </row>
    <row r="6305">
      <c r="A6305" s="1" t="s">
        <v>6325</v>
      </c>
      <c r="B6305" s="2">
        <v>2.0</v>
      </c>
      <c r="C6305" s="4"/>
      <c r="E6305" s="4" t="str">
        <f t="array" ref="E6305">XLOOKUP(A6305,'Fintech, Regulatory Arbitrage, '!A:A,'Fintech, Regulatory Arbitrage, '!C:C,"")</f>
        <v/>
      </c>
    </row>
    <row r="6306">
      <c r="A6306" s="1" t="s">
        <v>6326</v>
      </c>
      <c r="B6306" s="2">
        <v>2.0</v>
      </c>
      <c r="C6306" s="4"/>
      <c r="E6306" s="4" t="str">
        <f t="array" ref="E6306">XLOOKUP(A6306,'Fintech, Regulatory Arbitrage, '!A:A,'Fintech, Regulatory Arbitrage, '!C:C,"")</f>
        <v/>
      </c>
    </row>
    <row r="6307">
      <c r="A6307" s="1" t="s">
        <v>6327</v>
      </c>
      <c r="B6307" s="2">
        <v>2.0</v>
      </c>
      <c r="C6307" s="4"/>
      <c r="E6307" s="4" t="str">
        <f t="array" ref="E6307">XLOOKUP(A6307,'Fintech, Regulatory Arbitrage, '!A:A,'Fintech, Regulatory Arbitrage, '!C:C,"")</f>
        <v/>
      </c>
    </row>
    <row r="6308">
      <c r="A6308" s="1" t="s">
        <v>6328</v>
      </c>
      <c r="B6308" s="2">
        <v>2.0</v>
      </c>
      <c r="C6308" s="4"/>
      <c r="E6308" s="4" t="str">
        <f t="array" ref="E6308">XLOOKUP(A6308,'Fintech, Regulatory Arbitrage, '!A:A,'Fintech, Regulatory Arbitrage, '!C:C,"")</f>
        <v/>
      </c>
    </row>
    <row r="6309">
      <c r="A6309" s="1" t="s">
        <v>6329</v>
      </c>
      <c r="B6309" s="2">
        <v>2.0</v>
      </c>
      <c r="C6309" s="4"/>
      <c r="E6309" s="4" t="str">
        <f t="array" ref="E6309">XLOOKUP(A6309,'Fintech, Regulatory Arbitrage, '!A:A,'Fintech, Regulatory Arbitrage, '!C:C,"")</f>
        <v/>
      </c>
    </row>
    <row r="6310">
      <c r="A6310" s="1" t="s">
        <v>6330</v>
      </c>
      <c r="B6310" s="2">
        <v>2.0</v>
      </c>
      <c r="C6310" s="4"/>
      <c r="E6310" s="4" t="str">
        <f t="array" ref="E6310">XLOOKUP(A6310,'Fintech, Regulatory Arbitrage, '!A:A,'Fintech, Regulatory Arbitrage, '!C:C,"")</f>
        <v/>
      </c>
    </row>
    <row r="6311">
      <c r="A6311" s="1" t="s">
        <v>6331</v>
      </c>
      <c r="B6311" s="2">
        <v>2.0</v>
      </c>
      <c r="C6311" s="4"/>
      <c r="E6311" s="4" t="str">
        <f t="array" ref="E6311">XLOOKUP(A6311,'Fintech, Regulatory Arbitrage, '!A:A,'Fintech, Regulatory Arbitrage, '!C:C,"")</f>
        <v/>
      </c>
    </row>
    <row r="6312">
      <c r="A6312" s="1" t="s">
        <v>6332</v>
      </c>
      <c r="B6312" s="2">
        <v>2.0</v>
      </c>
      <c r="C6312" s="4"/>
      <c r="E6312" s="4" t="str">
        <f t="array" ref="E6312">XLOOKUP(A6312,'Fintech, Regulatory Arbitrage, '!A:A,'Fintech, Regulatory Arbitrage, '!C:C,"")</f>
        <v/>
      </c>
    </row>
    <row r="6313">
      <c r="A6313" s="1" t="s">
        <v>6333</v>
      </c>
      <c r="B6313" s="2">
        <v>2.0</v>
      </c>
      <c r="C6313" s="4"/>
      <c r="E6313" s="4" t="str">
        <f t="array" ref="E6313">XLOOKUP(A6313,'Fintech, Regulatory Arbitrage, '!A:A,'Fintech, Regulatory Arbitrage, '!C:C,"")</f>
        <v/>
      </c>
    </row>
    <row r="6314">
      <c r="A6314" s="1" t="s">
        <v>6334</v>
      </c>
      <c r="B6314" s="2">
        <v>2.0</v>
      </c>
      <c r="C6314" s="4"/>
      <c r="E6314" s="4" t="str">
        <f t="array" ref="E6314">XLOOKUP(A6314,'Fintech, Regulatory Arbitrage, '!A:A,'Fintech, Regulatory Arbitrage, '!C:C,"")</f>
        <v/>
      </c>
    </row>
    <row r="6315">
      <c r="A6315" s="1" t="s">
        <v>6335</v>
      </c>
      <c r="B6315" s="2">
        <v>2.0</v>
      </c>
      <c r="C6315" s="4"/>
      <c r="E6315" s="4" t="str">
        <f t="array" ref="E6315">XLOOKUP(A6315,'Fintech, Regulatory Arbitrage, '!A:A,'Fintech, Regulatory Arbitrage, '!C:C,"")</f>
        <v/>
      </c>
    </row>
    <row r="6316">
      <c r="A6316" s="1" t="s">
        <v>6336</v>
      </c>
      <c r="B6316" s="2">
        <v>2.0</v>
      </c>
      <c r="C6316" s="4"/>
      <c r="E6316" s="4" t="str">
        <f t="array" ref="E6316">XLOOKUP(A6316,'Fintech, Regulatory Arbitrage, '!A:A,'Fintech, Regulatory Arbitrage, '!C:C,"")</f>
        <v/>
      </c>
    </row>
    <row r="6317">
      <c r="A6317" s="1" t="s">
        <v>6337</v>
      </c>
      <c r="B6317" s="2">
        <v>2.0</v>
      </c>
      <c r="C6317" s="4"/>
      <c r="E6317" s="4" t="str">
        <f t="array" ref="E6317">XLOOKUP(A6317,'Fintech, Regulatory Arbitrage, '!A:A,'Fintech, Regulatory Arbitrage, '!C:C,"")</f>
        <v/>
      </c>
    </row>
    <row r="6318">
      <c r="A6318" s="1" t="s">
        <v>6338</v>
      </c>
      <c r="B6318" s="2">
        <v>2.0</v>
      </c>
      <c r="C6318" s="4"/>
      <c r="E6318" s="4" t="str">
        <f t="array" ref="E6318">XLOOKUP(A6318,'Fintech, Regulatory Arbitrage, '!A:A,'Fintech, Regulatory Arbitrage, '!C:C,"")</f>
        <v/>
      </c>
    </row>
    <row r="6319">
      <c r="A6319" s="1" t="s">
        <v>6339</v>
      </c>
      <c r="B6319" s="2">
        <v>2.0</v>
      </c>
      <c r="C6319" s="4"/>
      <c r="E6319" s="4" t="str">
        <f t="array" ref="E6319">XLOOKUP(A6319,'Fintech, Regulatory Arbitrage, '!A:A,'Fintech, Regulatory Arbitrage, '!C:C,"")</f>
        <v/>
      </c>
    </row>
    <row r="6320">
      <c r="A6320" s="1" t="s">
        <v>6340</v>
      </c>
      <c r="B6320" s="2">
        <v>2.0</v>
      </c>
      <c r="C6320" s="4"/>
      <c r="E6320" s="4" t="str">
        <f t="array" ref="E6320">XLOOKUP(A6320,'Fintech, Regulatory Arbitrage, '!A:A,'Fintech, Regulatory Arbitrage, '!C:C,"")</f>
        <v/>
      </c>
    </row>
    <row r="6321">
      <c r="A6321" s="1" t="s">
        <v>6341</v>
      </c>
      <c r="B6321" s="2">
        <v>2.0</v>
      </c>
      <c r="C6321" s="4"/>
      <c r="E6321" s="4" t="str">
        <f t="array" ref="E6321">XLOOKUP(A6321,'Fintech, Regulatory Arbitrage, '!A:A,'Fintech, Regulatory Arbitrage, '!C:C,"")</f>
        <v/>
      </c>
    </row>
    <row r="6322">
      <c r="A6322" s="1" t="s">
        <v>6342</v>
      </c>
      <c r="B6322" s="2">
        <v>2.0</v>
      </c>
      <c r="C6322" s="4"/>
      <c r="E6322" s="4" t="str">
        <f t="array" ref="E6322">XLOOKUP(A6322,'Fintech, Regulatory Arbitrage, '!A:A,'Fintech, Regulatory Arbitrage, '!C:C,"")</f>
        <v/>
      </c>
    </row>
    <row r="6323">
      <c r="A6323" s="1" t="s">
        <v>6343</v>
      </c>
      <c r="B6323" s="2">
        <v>2.0</v>
      </c>
      <c r="C6323" s="4"/>
      <c r="E6323" s="4" t="str">
        <f t="array" ref="E6323">XLOOKUP(A6323,'Fintech, Regulatory Arbitrage, '!A:A,'Fintech, Regulatory Arbitrage, '!C:C,"")</f>
        <v/>
      </c>
    </row>
    <row r="6324">
      <c r="A6324" s="1" t="s">
        <v>6344</v>
      </c>
      <c r="B6324" s="2">
        <v>2.0</v>
      </c>
      <c r="C6324" s="4"/>
      <c r="E6324" s="4" t="str">
        <f t="array" ref="E6324">XLOOKUP(A6324,'Fintech, Regulatory Arbitrage, '!A:A,'Fintech, Regulatory Arbitrage, '!C:C,"")</f>
        <v/>
      </c>
    </row>
    <row r="6325">
      <c r="A6325" s="1" t="s">
        <v>6345</v>
      </c>
      <c r="B6325" s="2">
        <v>2.0</v>
      </c>
      <c r="C6325" s="4"/>
      <c r="E6325" s="4" t="str">
        <f t="array" ref="E6325">XLOOKUP(A6325,'Fintech, Regulatory Arbitrage, '!A:A,'Fintech, Regulatory Arbitrage, '!C:C,"")</f>
        <v/>
      </c>
    </row>
    <row r="6326">
      <c r="A6326" s="1" t="s">
        <v>6346</v>
      </c>
      <c r="B6326" s="2">
        <v>2.0</v>
      </c>
      <c r="C6326" s="4"/>
      <c r="E6326" s="4" t="str">
        <f t="array" ref="E6326">XLOOKUP(A6326,'Fintech, Regulatory Arbitrage, '!A:A,'Fintech, Regulatory Arbitrage, '!C:C,"")</f>
        <v/>
      </c>
    </row>
    <row r="6327">
      <c r="A6327" s="1" t="s">
        <v>6347</v>
      </c>
      <c r="B6327" s="2">
        <v>2.0</v>
      </c>
      <c r="C6327" s="4"/>
      <c r="E6327" s="4" t="str">
        <f t="array" ref="E6327">XLOOKUP(A6327,'Fintech, Regulatory Arbitrage, '!A:A,'Fintech, Regulatory Arbitrage, '!C:C,"")</f>
        <v/>
      </c>
    </row>
    <row r="6328">
      <c r="A6328" s="1" t="s">
        <v>6348</v>
      </c>
      <c r="B6328" s="2">
        <v>2.0</v>
      </c>
      <c r="C6328" s="4"/>
      <c r="E6328" s="4" t="str">
        <f t="array" ref="E6328">XLOOKUP(A6328,'Fintech, Regulatory Arbitrage, '!A:A,'Fintech, Regulatory Arbitrage, '!C:C,"")</f>
        <v/>
      </c>
    </row>
    <row r="6329">
      <c r="A6329" s="1" t="s">
        <v>6349</v>
      </c>
      <c r="B6329" s="2">
        <v>2.0</v>
      </c>
      <c r="C6329" s="4"/>
      <c r="E6329" s="4" t="str">
        <f t="array" ref="E6329">XLOOKUP(A6329,'Fintech, Regulatory Arbitrage, '!A:A,'Fintech, Regulatory Arbitrage, '!C:C,"")</f>
        <v/>
      </c>
    </row>
    <row r="6330">
      <c r="A6330" s="1" t="s">
        <v>6350</v>
      </c>
      <c r="B6330" s="2">
        <v>2.0</v>
      </c>
      <c r="C6330" s="4"/>
      <c r="E6330" s="4" t="str">
        <f t="array" ref="E6330">XLOOKUP(A6330,'Fintech, Regulatory Arbitrage, '!A:A,'Fintech, Regulatory Arbitrage, '!C:C,"")</f>
        <v/>
      </c>
    </row>
    <row r="6331">
      <c r="A6331" s="1" t="s">
        <v>6351</v>
      </c>
      <c r="B6331" s="2">
        <v>2.0</v>
      </c>
      <c r="C6331" s="4"/>
      <c r="E6331" s="4" t="str">
        <f t="array" ref="E6331">XLOOKUP(A6331,'Fintech, Regulatory Arbitrage, '!A:A,'Fintech, Regulatory Arbitrage, '!C:C,"")</f>
        <v/>
      </c>
    </row>
    <row r="6332">
      <c r="A6332" s="1" t="s">
        <v>6352</v>
      </c>
      <c r="B6332" s="2">
        <v>2.0</v>
      </c>
      <c r="C6332" s="4"/>
      <c r="E6332" s="4" t="str">
        <f t="array" ref="E6332">XLOOKUP(A6332,'Fintech, Regulatory Arbitrage, '!A:A,'Fintech, Regulatory Arbitrage, '!C:C,"")</f>
        <v/>
      </c>
    </row>
    <row r="6333">
      <c r="A6333" s="1" t="s">
        <v>6353</v>
      </c>
      <c r="B6333" s="2">
        <v>2.0</v>
      </c>
      <c r="C6333" s="4"/>
      <c r="E6333" s="4" t="str">
        <f t="array" ref="E6333">XLOOKUP(A6333,'Fintech, Regulatory Arbitrage, '!A:A,'Fintech, Regulatory Arbitrage, '!C:C,"")</f>
        <v/>
      </c>
    </row>
    <row r="6334">
      <c r="A6334" s="1" t="s">
        <v>6354</v>
      </c>
      <c r="B6334" s="2">
        <v>2.0</v>
      </c>
      <c r="C6334" s="4"/>
      <c r="E6334" s="4" t="str">
        <f t="array" ref="E6334">XLOOKUP(A6334,'Fintech, Regulatory Arbitrage, '!A:A,'Fintech, Regulatory Arbitrage, '!C:C,"")</f>
        <v/>
      </c>
    </row>
    <row r="6335">
      <c r="A6335" s="1" t="s">
        <v>6355</v>
      </c>
      <c r="B6335" s="2">
        <v>2.0</v>
      </c>
      <c r="C6335" s="4"/>
      <c r="E6335" s="4" t="str">
        <f t="array" ref="E6335">XLOOKUP(A6335,'Fintech, Regulatory Arbitrage, '!A:A,'Fintech, Regulatory Arbitrage, '!C:C,"")</f>
        <v/>
      </c>
    </row>
    <row r="6336">
      <c r="A6336" s="1" t="s">
        <v>6356</v>
      </c>
      <c r="B6336" s="2">
        <v>2.0</v>
      </c>
      <c r="C6336" s="4"/>
      <c r="E6336" s="4" t="str">
        <f t="array" ref="E6336">XLOOKUP(A6336,'Fintech, Regulatory Arbitrage, '!A:A,'Fintech, Regulatory Arbitrage, '!C:C,"")</f>
        <v/>
      </c>
    </row>
    <row r="6337">
      <c r="A6337" s="1" t="s">
        <v>6357</v>
      </c>
      <c r="B6337" s="2">
        <v>2.0</v>
      </c>
      <c r="C6337" s="4"/>
      <c r="E6337" s="4" t="str">
        <f t="array" ref="E6337">XLOOKUP(A6337,'Fintech, Regulatory Arbitrage, '!A:A,'Fintech, Regulatory Arbitrage, '!C:C,"")</f>
        <v/>
      </c>
    </row>
    <row r="6338">
      <c r="A6338" s="1" t="s">
        <v>6358</v>
      </c>
      <c r="B6338" s="2">
        <v>2.0</v>
      </c>
      <c r="C6338" s="4"/>
      <c r="E6338" s="4" t="str">
        <f t="array" ref="E6338">XLOOKUP(A6338,'Fintech, Regulatory Arbitrage, '!A:A,'Fintech, Regulatory Arbitrage, '!C:C,"")</f>
        <v/>
      </c>
    </row>
    <row r="6339">
      <c r="A6339" s="1" t="s">
        <v>6359</v>
      </c>
      <c r="B6339" s="2">
        <v>2.0</v>
      </c>
      <c r="C6339" s="4"/>
      <c r="E6339" s="4" t="str">
        <f t="array" ref="E6339">XLOOKUP(A6339,'Fintech, Regulatory Arbitrage, '!A:A,'Fintech, Regulatory Arbitrage, '!C:C,"")</f>
        <v/>
      </c>
    </row>
    <row r="6340">
      <c r="A6340" s="1" t="s">
        <v>6360</v>
      </c>
      <c r="B6340" s="2">
        <v>2.0</v>
      </c>
      <c r="C6340" s="4"/>
      <c r="E6340" s="4" t="str">
        <f t="array" ref="E6340">XLOOKUP(A6340,'Fintech, Regulatory Arbitrage, '!A:A,'Fintech, Regulatory Arbitrage, '!C:C,"")</f>
        <v/>
      </c>
    </row>
    <row r="6341">
      <c r="A6341" s="1" t="s">
        <v>6361</v>
      </c>
      <c r="B6341" s="2">
        <v>2.0</v>
      </c>
      <c r="C6341" s="4"/>
      <c r="E6341" s="4" t="str">
        <f t="array" ref="E6341">XLOOKUP(A6341,'Fintech, Regulatory Arbitrage, '!A:A,'Fintech, Regulatory Arbitrage, '!C:C,"")</f>
        <v/>
      </c>
    </row>
    <row r="6342">
      <c r="A6342" s="1" t="s">
        <v>6362</v>
      </c>
      <c r="B6342" s="2">
        <v>2.0</v>
      </c>
      <c r="C6342" s="4"/>
      <c r="E6342" s="4" t="str">
        <f t="array" ref="E6342">XLOOKUP(A6342,'Fintech, Regulatory Arbitrage, '!A:A,'Fintech, Regulatory Arbitrage, '!C:C,"")</f>
        <v/>
      </c>
    </row>
    <row r="6343">
      <c r="A6343" s="1" t="s">
        <v>6363</v>
      </c>
      <c r="B6343" s="2">
        <v>2.0</v>
      </c>
      <c r="C6343" s="4"/>
      <c r="E6343" s="4" t="str">
        <f t="array" ref="E6343">XLOOKUP(A6343,'Fintech, Regulatory Arbitrage, '!A:A,'Fintech, Regulatory Arbitrage, '!C:C,"")</f>
        <v/>
      </c>
    </row>
    <row r="6344">
      <c r="A6344" s="1" t="s">
        <v>6364</v>
      </c>
      <c r="B6344" s="2">
        <v>2.0</v>
      </c>
      <c r="C6344" s="4"/>
      <c r="E6344" s="4" t="str">
        <f t="array" ref="E6344">XLOOKUP(A6344,'Fintech, Regulatory Arbitrage, '!A:A,'Fintech, Regulatory Arbitrage, '!C:C,"")</f>
        <v/>
      </c>
    </row>
    <row r="6345">
      <c r="A6345" s="1" t="s">
        <v>6365</v>
      </c>
      <c r="B6345" s="2">
        <v>2.0</v>
      </c>
      <c r="C6345" s="4"/>
      <c r="E6345" s="4" t="str">
        <f t="array" ref="E6345">XLOOKUP(A6345,'Fintech, Regulatory Arbitrage, '!A:A,'Fintech, Regulatory Arbitrage, '!C:C,"")</f>
        <v/>
      </c>
    </row>
    <row r="6346">
      <c r="A6346" s="1" t="s">
        <v>6366</v>
      </c>
      <c r="B6346" s="2">
        <v>2.0</v>
      </c>
      <c r="C6346" s="4"/>
      <c r="E6346" s="4" t="str">
        <f t="array" ref="E6346">XLOOKUP(A6346,'Fintech, Regulatory Arbitrage, '!A:A,'Fintech, Regulatory Arbitrage, '!C:C,"")</f>
        <v/>
      </c>
    </row>
    <row r="6347">
      <c r="A6347" s="1" t="s">
        <v>6367</v>
      </c>
      <c r="B6347" s="2">
        <v>2.0</v>
      </c>
      <c r="C6347" s="4"/>
      <c r="E6347" s="4" t="str">
        <f t="array" ref="E6347">XLOOKUP(A6347,'Fintech, Regulatory Arbitrage, '!A:A,'Fintech, Regulatory Arbitrage, '!C:C,"")</f>
        <v/>
      </c>
    </row>
    <row r="6348">
      <c r="A6348" s="1" t="s">
        <v>6368</v>
      </c>
      <c r="B6348" s="2">
        <v>2.0</v>
      </c>
      <c r="C6348" s="4"/>
      <c r="E6348" s="4" t="str">
        <f t="array" ref="E6348">XLOOKUP(A6348,'Fintech, Regulatory Arbitrage, '!A:A,'Fintech, Regulatory Arbitrage, '!C:C,"")</f>
        <v/>
      </c>
    </row>
    <row r="6349">
      <c r="A6349" s="1" t="s">
        <v>6369</v>
      </c>
      <c r="B6349" s="2">
        <v>2.0</v>
      </c>
      <c r="C6349" s="4"/>
      <c r="E6349" s="4" t="str">
        <f t="array" ref="E6349">XLOOKUP(A6349,'Fintech, Regulatory Arbitrage, '!A:A,'Fintech, Regulatory Arbitrage, '!C:C,"")</f>
        <v/>
      </c>
    </row>
    <row r="6350">
      <c r="A6350" s="1" t="s">
        <v>6370</v>
      </c>
      <c r="B6350" s="2">
        <v>2.0</v>
      </c>
      <c r="C6350" s="4"/>
      <c r="E6350" s="4" t="str">
        <f t="array" ref="E6350">XLOOKUP(A6350,'Fintech, Regulatory Arbitrage, '!A:A,'Fintech, Regulatory Arbitrage, '!C:C,"")</f>
        <v/>
      </c>
    </row>
    <row r="6351">
      <c r="A6351" s="1" t="s">
        <v>6371</v>
      </c>
      <c r="B6351" s="2">
        <v>2.0</v>
      </c>
      <c r="C6351" s="4"/>
      <c r="E6351" s="4" t="str">
        <f t="array" ref="E6351">XLOOKUP(A6351,'Fintech, Regulatory Arbitrage, '!A:A,'Fintech, Regulatory Arbitrage, '!C:C,"")</f>
        <v/>
      </c>
    </row>
    <row r="6352">
      <c r="A6352" s="1" t="s">
        <v>6372</v>
      </c>
      <c r="B6352" s="2">
        <v>2.0</v>
      </c>
      <c r="C6352" s="4"/>
      <c r="E6352" s="4" t="str">
        <f t="array" ref="E6352">XLOOKUP(A6352,'Fintech, Regulatory Arbitrage, '!A:A,'Fintech, Regulatory Arbitrage, '!C:C,"")</f>
        <v/>
      </c>
    </row>
    <row r="6353">
      <c r="A6353" s="1" t="s">
        <v>6373</v>
      </c>
      <c r="B6353" s="2">
        <v>2.0</v>
      </c>
      <c r="C6353" s="4"/>
      <c r="E6353" s="4" t="str">
        <f t="array" ref="E6353">XLOOKUP(A6353,'Fintech, Regulatory Arbitrage, '!A:A,'Fintech, Regulatory Arbitrage, '!C:C,"")</f>
        <v/>
      </c>
    </row>
    <row r="6354">
      <c r="A6354" s="1" t="s">
        <v>6374</v>
      </c>
      <c r="B6354" s="2">
        <v>2.0</v>
      </c>
      <c r="C6354" s="4"/>
      <c r="E6354" s="4" t="str">
        <f t="array" ref="E6354">XLOOKUP(A6354,'Fintech, Regulatory Arbitrage, '!A:A,'Fintech, Regulatory Arbitrage, '!C:C,"")</f>
        <v/>
      </c>
    </row>
    <row r="6355">
      <c r="A6355" s="1" t="s">
        <v>6375</v>
      </c>
      <c r="B6355" s="2">
        <v>2.0</v>
      </c>
      <c r="C6355" s="4"/>
      <c r="E6355" s="4" t="str">
        <f t="array" ref="E6355">XLOOKUP(A6355,'Fintech, Regulatory Arbitrage, '!A:A,'Fintech, Regulatory Arbitrage, '!C:C,"")</f>
        <v/>
      </c>
    </row>
    <row r="6356">
      <c r="A6356" s="1" t="s">
        <v>6376</v>
      </c>
      <c r="B6356" s="2">
        <v>2.0</v>
      </c>
      <c r="C6356" s="4"/>
      <c r="E6356" s="4" t="str">
        <f t="array" ref="E6356">XLOOKUP(A6356,'Fintech, Regulatory Arbitrage, '!A:A,'Fintech, Regulatory Arbitrage, '!C:C,"")</f>
        <v/>
      </c>
    </row>
    <row r="6357">
      <c r="A6357" s="1" t="s">
        <v>6377</v>
      </c>
      <c r="B6357" s="2">
        <v>2.0</v>
      </c>
      <c r="C6357" s="4"/>
      <c r="E6357" s="4" t="str">
        <f t="array" ref="E6357">XLOOKUP(A6357,'Fintech, Regulatory Arbitrage, '!A:A,'Fintech, Regulatory Arbitrage, '!C:C,"")</f>
        <v/>
      </c>
    </row>
    <row r="6358">
      <c r="A6358" s="1" t="s">
        <v>6378</v>
      </c>
      <c r="B6358" s="2">
        <v>2.0</v>
      </c>
      <c r="C6358" s="4"/>
      <c r="E6358" s="4" t="str">
        <f t="array" ref="E6358">XLOOKUP(A6358,'Fintech, Regulatory Arbitrage, '!A:A,'Fintech, Regulatory Arbitrage, '!C:C,"")</f>
        <v/>
      </c>
    </row>
    <row r="6359">
      <c r="A6359" s="1" t="s">
        <v>6379</v>
      </c>
      <c r="B6359" s="2">
        <v>2.0</v>
      </c>
      <c r="C6359" s="4"/>
      <c r="E6359" s="4" t="str">
        <f t="array" ref="E6359">XLOOKUP(A6359,'Fintech, Regulatory Arbitrage, '!A:A,'Fintech, Regulatory Arbitrage, '!C:C,"")</f>
        <v/>
      </c>
    </row>
    <row r="6360">
      <c r="A6360" s="1" t="s">
        <v>6380</v>
      </c>
      <c r="B6360" s="2">
        <v>2.0</v>
      </c>
      <c r="C6360" s="4"/>
      <c r="E6360" s="4" t="str">
        <f t="array" ref="E6360">XLOOKUP(A6360,'Fintech, Regulatory Arbitrage, '!A:A,'Fintech, Regulatory Arbitrage, '!C:C,"")</f>
        <v/>
      </c>
    </row>
    <row r="6361">
      <c r="A6361" s="1" t="s">
        <v>6381</v>
      </c>
      <c r="B6361" s="2">
        <v>2.0</v>
      </c>
      <c r="C6361" s="4"/>
      <c r="E6361" s="4" t="str">
        <f t="array" ref="E6361">XLOOKUP(A6361,'Fintech, Regulatory Arbitrage, '!A:A,'Fintech, Regulatory Arbitrage, '!C:C,"")</f>
        <v/>
      </c>
    </row>
    <row r="6362">
      <c r="A6362" s="1" t="s">
        <v>6382</v>
      </c>
      <c r="B6362" s="2">
        <v>2.0</v>
      </c>
      <c r="C6362" s="4"/>
      <c r="E6362" s="4" t="str">
        <f t="array" ref="E6362">XLOOKUP(A6362,'Fintech, Regulatory Arbitrage, '!A:A,'Fintech, Regulatory Arbitrage, '!C:C,"")</f>
        <v/>
      </c>
    </row>
    <row r="6363">
      <c r="A6363" s="1" t="s">
        <v>6383</v>
      </c>
      <c r="B6363" s="2">
        <v>2.0</v>
      </c>
      <c r="C6363" s="4"/>
      <c r="E6363" s="4" t="str">
        <f t="array" ref="E6363">XLOOKUP(A6363,'Fintech, Regulatory Arbitrage, '!A:A,'Fintech, Regulatory Arbitrage, '!C:C,"")</f>
        <v/>
      </c>
    </row>
    <row r="6364">
      <c r="A6364" s="1" t="s">
        <v>6384</v>
      </c>
      <c r="B6364" s="2">
        <v>2.0</v>
      </c>
      <c r="C6364" s="4"/>
      <c r="E6364" s="4" t="str">
        <f t="array" ref="E6364">XLOOKUP(A6364,'Fintech, Regulatory Arbitrage, '!A:A,'Fintech, Regulatory Arbitrage, '!C:C,"")</f>
        <v/>
      </c>
    </row>
    <row r="6365">
      <c r="A6365" s="1" t="s">
        <v>6385</v>
      </c>
      <c r="B6365" s="2">
        <v>2.0</v>
      </c>
      <c r="C6365" s="4"/>
      <c r="E6365" s="4" t="str">
        <f t="array" ref="E6365">XLOOKUP(A6365,'Fintech, Regulatory Arbitrage, '!A:A,'Fintech, Regulatory Arbitrage, '!C:C,"")</f>
        <v/>
      </c>
    </row>
    <row r="6366">
      <c r="A6366" s="1" t="s">
        <v>6386</v>
      </c>
      <c r="B6366" s="2">
        <v>2.0</v>
      </c>
      <c r="C6366" s="4"/>
      <c r="E6366" s="4" t="str">
        <f t="array" ref="E6366">XLOOKUP(A6366,'Fintech, Regulatory Arbitrage, '!A:A,'Fintech, Regulatory Arbitrage, '!C:C,"")</f>
        <v/>
      </c>
    </row>
    <row r="6367">
      <c r="A6367" s="1" t="s">
        <v>6387</v>
      </c>
      <c r="B6367" s="2">
        <v>2.0</v>
      </c>
      <c r="C6367" s="4"/>
      <c r="E6367" s="4" t="str">
        <f t="array" ref="E6367">XLOOKUP(A6367,'Fintech, Regulatory Arbitrage, '!A:A,'Fintech, Regulatory Arbitrage, '!C:C,"")</f>
        <v/>
      </c>
    </row>
    <row r="6368">
      <c r="A6368" s="1" t="s">
        <v>6388</v>
      </c>
      <c r="B6368" s="2">
        <v>2.0</v>
      </c>
      <c r="C6368" s="4"/>
      <c r="E6368" s="4" t="str">
        <f t="array" ref="E6368">XLOOKUP(A6368,'Fintech, Regulatory Arbitrage, '!A:A,'Fintech, Regulatory Arbitrage, '!C:C,"")</f>
        <v/>
      </c>
    </row>
    <row r="6369">
      <c r="A6369" s="1" t="s">
        <v>6389</v>
      </c>
      <c r="B6369" s="2">
        <v>2.0</v>
      </c>
      <c r="C6369" s="4"/>
      <c r="E6369" s="4" t="str">
        <f t="array" ref="E6369">XLOOKUP(A6369,'Fintech, Regulatory Arbitrage, '!A:A,'Fintech, Regulatory Arbitrage, '!C:C,"")</f>
        <v/>
      </c>
    </row>
    <row r="6370">
      <c r="A6370" s="1" t="s">
        <v>6390</v>
      </c>
      <c r="B6370" s="2">
        <v>2.0</v>
      </c>
      <c r="C6370" s="4"/>
      <c r="E6370" s="4" t="str">
        <f t="array" ref="E6370">XLOOKUP(A6370,'Fintech, Regulatory Arbitrage, '!A:A,'Fintech, Regulatory Arbitrage, '!C:C,"")</f>
        <v/>
      </c>
    </row>
    <row r="6371">
      <c r="A6371" s="1" t="s">
        <v>6391</v>
      </c>
      <c r="B6371" s="2">
        <v>2.0</v>
      </c>
      <c r="C6371" s="4"/>
      <c r="E6371" s="4" t="str">
        <f t="array" ref="E6371">XLOOKUP(A6371,'Fintech, Regulatory Arbitrage, '!A:A,'Fintech, Regulatory Arbitrage, '!C:C,"")</f>
        <v/>
      </c>
    </row>
    <row r="6372">
      <c r="A6372" s="1" t="s">
        <v>6392</v>
      </c>
      <c r="B6372" s="2">
        <v>2.0</v>
      </c>
      <c r="C6372" s="4"/>
      <c r="E6372" s="4" t="str">
        <f t="array" ref="E6372">XLOOKUP(A6372,'Fintech, Regulatory Arbitrage, '!A:A,'Fintech, Regulatory Arbitrage, '!C:C,"")</f>
        <v/>
      </c>
    </row>
    <row r="6373">
      <c r="A6373" s="1" t="s">
        <v>6393</v>
      </c>
      <c r="B6373" s="2">
        <v>2.0</v>
      </c>
      <c r="C6373" s="4"/>
      <c r="E6373" s="4" t="str">
        <f t="array" ref="E6373">XLOOKUP(A6373,'Fintech, Regulatory Arbitrage, '!A:A,'Fintech, Regulatory Arbitrage, '!C:C,"")</f>
        <v/>
      </c>
    </row>
    <row r="6374">
      <c r="A6374" s="1" t="s">
        <v>6394</v>
      </c>
      <c r="B6374" s="2">
        <v>2.0</v>
      </c>
      <c r="C6374" s="4"/>
      <c r="E6374" s="4" t="str">
        <f t="array" ref="E6374">XLOOKUP(A6374,'Fintech, Regulatory Arbitrage, '!A:A,'Fintech, Regulatory Arbitrage, '!C:C,"")</f>
        <v/>
      </c>
    </row>
    <row r="6375">
      <c r="A6375" s="1" t="s">
        <v>6395</v>
      </c>
      <c r="B6375" s="2">
        <v>2.0</v>
      </c>
      <c r="C6375" s="4"/>
      <c r="E6375" s="4" t="str">
        <f t="array" ref="E6375">XLOOKUP(A6375,'Fintech, Regulatory Arbitrage, '!A:A,'Fintech, Regulatory Arbitrage, '!C:C,"")</f>
        <v/>
      </c>
    </row>
    <row r="6376">
      <c r="A6376" s="1" t="s">
        <v>6396</v>
      </c>
      <c r="B6376" s="2">
        <v>2.0</v>
      </c>
      <c r="C6376" s="4"/>
      <c r="E6376" s="4" t="str">
        <f t="array" ref="E6376">XLOOKUP(A6376,'Fintech, Regulatory Arbitrage, '!A:A,'Fintech, Regulatory Arbitrage, '!C:C,"")</f>
        <v/>
      </c>
    </row>
    <row r="6377">
      <c r="A6377" s="1" t="s">
        <v>6397</v>
      </c>
      <c r="B6377" s="2">
        <v>2.0</v>
      </c>
      <c r="C6377" s="4"/>
      <c r="E6377" s="4" t="str">
        <f t="array" ref="E6377">XLOOKUP(A6377,'Fintech, Regulatory Arbitrage, '!A:A,'Fintech, Regulatory Arbitrage, '!C:C,"")</f>
        <v/>
      </c>
    </row>
    <row r="6378">
      <c r="A6378" s="1" t="s">
        <v>6398</v>
      </c>
      <c r="B6378" s="2">
        <v>2.0</v>
      </c>
      <c r="C6378" s="4"/>
      <c r="E6378" s="4" t="str">
        <f t="array" ref="E6378">XLOOKUP(A6378,'Fintech, Regulatory Arbitrage, '!A:A,'Fintech, Regulatory Arbitrage, '!C:C,"")</f>
        <v/>
      </c>
    </row>
    <row r="6379">
      <c r="A6379" s="1" t="s">
        <v>6399</v>
      </c>
      <c r="B6379" s="2">
        <v>2.0</v>
      </c>
      <c r="C6379" s="4"/>
      <c r="E6379" s="4" t="str">
        <f t="array" ref="E6379">XLOOKUP(A6379,'Fintech, Regulatory Arbitrage, '!A:A,'Fintech, Regulatory Arbitrage, '!C:C,"")</f>
        <v/>
      </c>
    </row>
    <row r="6380">
      <c r="A6380" s="1" t="s">
        <v>6400</v>
      </c>
      <c r="B6380" s="2">
        <v>2.0</v>
      </c>
      <c r="C6380" s="4"/>
      <c r="E6380" s="4" t="str">
        <f t="array" ref="E6380">XLOOKUP(A6380,'Fintech, Regulatory Arbitrage, '!A:A,'Fintech, Regulatory Arbitrage, '!C:C,"")</f>
        <v/>
      </c>
    </row>
    <row r="6381">
      <c r="A6381" s="1" t="s">
        <v>6401</v>
      </c>
      <c r="B6381" s="2">
        <v>2.0</v>
      </c>
      <c r="C6381" s="4"/>
      <c r="E6381" s="4" t="str">
        <f t="array" ref="E6381">XLOOKUP(A6381,'Fintech, Regulatory Arbitrage, '!A:A,'Fintech, Regulatory Arbitrage, '!C:C,"")</f>
        <v/>
      </c>
    </row>
    <row r="6382">
      <c r="A6382" s="1" t="s">
        <v>6402</v>
      </c>
      <c r="B6382" s="2">
        <v>2.0</v>
      </c>
      <c r="C6382" s="4"/>
      <c r="E6382" s="4" t="str">
        <f t="array" ref="E6382">XLOOKUP(A6382,'Fintech, Regulatory Arbitrage, '!A:A,'Fintech, Regulatory Arbitrage, '!C:C,"")</f>
        <v/>
      </c>
    </row>
    <row r="6383">
      <c r="A6383" s="1" t="s">
        <v>6403</v>
      </c>
      <c r="B6383" s="2">
        <v>2.0</v>
      </c>
      <c r="C6383" s="4"/>
      <c r="E6383" s="4" t="str">
        <f t="array" ref="E6383">XLOOKUP(A6383,'Fintech, Regulatory Arbitrage, '!A:A,'Fintech, Regulatory Arbitrage, '!C:C,"")</f>
        <v/>
      </c>
    </row>
    <row r="6384">
      <c r="A6384" s="1" t="s">
        <v>6404</v>
      </c>
      <c r="B6384" s="2">
        <v>1.0</v>
      </c>
      <c r="C6384" s="4"/>
      <c r="E6384" s="4" t="str">
        <f t="array" ref="E6384">XLOOKUP(A6384,'Fintech, Regulatory Arbitrage, '!A:A,'Fintech, Regulatory Arbitrage, '!C:C,"")</f>
        <v/>
      </c>
    </row>
    <row r="6385">
      <c r="A6385" s="1" t="s">
        <v>6405</v>
      </c>
      <c r="B6385" s="2">
        <v>1.0</v>
      </c>
      <c r="C6385" s="4"/>
      <c r="E6385" s="4" t="str">
        <f t="array" ref="E6385">XLOOKUP(A6385,'Fintech, Regulatory Arbitrage, '!A:A,'Fintech, Regulatory Arbitrage, '!C:C,"")</f>
        <v/>
      </c>
    </row>
    <row r="6386">
      <c r="A6386" s="1" t="s">
        <v>6406</v>
      </c>
      <c r="B6386" s="2">
        <v>1.0</v>
      </c>
      <c r="C6386" s="4"/>
      <c r="E6386" s="4" t="str">
        <f t="array" ref="E6386">XLOOKUP(A6386,'Fintech, Regulatory Arbitrage, '!A:A,'Fintech, Regulatory Arbitrage, '!C:C,"")</f>
        <v/>
      </c>
    </row>
    <row r="6387">
      <c r="A6387" s="1" t="s">
        <v>6407</v>
      </c>
      <c r="B6387" s="2">
        <v>1.0</v>
      </c>
      <c r="C6387" s="4"/>
      <c r="E6387" s="4" t="str">
        <f t="array" ref="E6387">XLOOKUP(A6387,'Fintech, Regulatory Arbitrage, '!A:A,'Fintech, Regulatory Arbitrage, '!C:C,"")</f>
        <v/>
      </c>
    </row>
    <row r="6388">
      <c r="A6388" s="1" t="s">
        <v>6408</v>
      </c>
      <c r="B6388" s="2">
        <v>1.0</v>
      </c>
      <c r="C6388" s="4"/>
      <c r="E6388" s="4" t="str">
        <f t="array" ref="E6388">XLOOKUP(A6388,'Fintech, Regulatory Arbitrage, '!A:A,'Fintech, Regulatory Arbitrage, '!C:C,"")</f>
        <v/>
      </c>
    </row>
    <row r="6389">
      <c r="A6389" s="1" t="s">
        <v>6409</v>
      </c>
      <c r="B6389" s="2">
        <v>1.0</v>
      </c>
      <c r="C6389" s="4"/>
      <c r="E6389" s="4" t="str">
        <f t="array" ref="E6389">XLOOKUP(A6389,'Fintech, Regulatory Arbitrage, '!A:A,'Fintech, Regulatory Arbitrage, '!C:C,"")</f>
        <v/>
      </c>
    </row>
    <row r="6390">
      <c r="A6390" s="1" t="s">
        <v>6410</v>
      </c>
      <c r="B6390" s="2">
        <v>1.0</v>
      </c>
      <c r="C6390" s="4"/>
      <c r="E6390" s="4" t="str">
        <f t="array" ref="E6390">XLOOKUP(A6390,'Fintech, Regulatory Arbitrage, '!A:A,'Fintech, Regulatory Arbitrage, '!C:C,"")</f>
        <v/>
      </c>
    </row>
    <row r="6391">
      <c r="A6391" s="1" t="s">
        <v>6411</v>
      </c>
      <c r="B6391" s="2">
        <v>1.0</v>
      </c>
      <c r="C6391" s="4"/>
      <c r="E6391" s="4" t="str">
        <f t="array" ref="E6391">XLOOKUP(A6391,'Fintech, Regulatory Arbitrage, '!A:A,'Fintech, Regulatory Arbitrage, '!C:C,"")</f>
        <v/>
      </c>
    </row>
    <row r="6392">
      <c r="A6392" s="1" t="s">
        <v>6412</v>
      </c>
      <c r="B6392" s="2">
        <v>1.0</v>
      </c>
      <c r="C6392" s="4"/>
      <c r="E6392" s="4" t="str">
        <f t="array" ref="E6392">XLOOKUP(A6392,'Fintech, Regulatory Arbitrage, '!A:A,'Fintech, Regulatory Arbitrage, '!C:C,"")</f>
        <v/>
      </c>
    </row>
    <row r="6393">
      <c r="A6393" s="1" t="s">
        <v>6413</v>
      </c>
      <c r="B6393" s="2">
        <v>1.0</v>
      </c>
      <c r="C6393" s="4"/>
      <c r="E6393" s="4" t="str">
        <f t="array" ref="E6393">XLOOKUP(A6393,'Fintech, Regulatory Arbitrage, '!A:A,'Fintech, Regulatory Arbitrage, '!C:C,"")</f>
        <v/>
      </c>
    </row>
    <row r="6394">
      <c r="A6394" s="1" t="s">
        <v>6414</v>
      </c>
      <c r="B6394" s="2">
        <v>1.0</v>
      </c>
      <c r="C6394" s="4"/>
      <c r="E6394" s="4" t="str">
        <f t="array" ref="E6394">XLOOKUP(A6394,'Fintech, Regulatory Arbitrage, '!A:A,'Fintech, Regulatory Arbitrage, '!C:C,"")</f>
        <v/>
      </c>
    </row>
    <row r="6395">
      <c r="A6395" s="1" t="s">
        <v>6415</v>
      </c>
      <c r="B6395" s="2">
        <v>1.0</v>
      </c>
      <c r="C6395" s="4"/>
      <c r="E6395" s="4" t="str">
        <f t="array" ref="E6395">XLOOKUP(A6395,'Fintech, Regulatory Arbitrage, '!A:A,'Fintech, Regulatory Arbitrage, '!C:C,"")</f>
        <v/>
      </c>
    </row>
    <row r="6396">
      <c r="A6396" s="1" t="s">
        <v>6416</v>
      </c>
      <c r="B6396" s="2">
        <v>1.0</v>
      </c>
      <c r="C6396" s="4"/>
      <c r="E6396" s="4" t="str">
        <f t="array" ref="E6396">XLOOKUP(A6396,'Fintech, Regulatory Arbitrage, '!A:A,'Fintech, Regulatory Arbitrage, '!C:C,"")</f>
        <v/>
      </c>
    </row>
    <row r="6397">
      <c r="A6397" s="1" t="s">
        <v>6417</v>
      </c>
      <c r="B6397" s="2">
        <v>1.0</v>
      </c>
      <c r="C6397" s="4"/>
      <c r="E6397" s="4" t="str">
        <f t="array" ref="E6397">XLOOKUP(A6397,'Fintech, Regulatory Arbitrage, '!A:A,'Fintech, Regulatory Arbitrage, '!C:C,"")</f>
        <v/>
      </c>
    </row>
    <row r="6398">
      <c r="A6398" s="1" t="s">
        <v>6418</v>
      </c>
      <c r="B6398" s="2">
        <v>1.0</v>
      </c>
      <c r="C6398" s="4"/>
      <c r="E6398" s="4" t="str">
        <f t="array" ref="E6398">XLOOKUP(A6398,'Fintech, Regulatory Arbitrage, '!A:A,'Fintech, Regulatory Arbitrage, '!C:C,"")</f>
        <v/>
      </c>
    </row>
    <row r="6399">
      <c r="A6399" s="1" t="s">
        <v>6419</v>
      </c>
      <c r="B6399" s="2">
        <v>1.0</v>
      </c>
      <c r="C6399" s="4"/>
      <c r="E6399" s="4" t="str">
        <f t="array" ref="E6399">XLOOKUP(A6399,'Fintech, Regulatory Arbitrage, '!A:A,'Fintech, Regulatory Arbitrage, '!C:C,"")</f>
        <v/>
      </c>
    </row>
    <row r="6400">
      <c r="A6400" s="1" t="s">
        <v>6420</v>
      </c>
      <c r="B6400" s="2">
        <v>1.0</v>
      </c>
      <c r="C6400" s="4"/>
      <c r="E6400" s="4" t="str">
        <f t="array" ref="E6400">XLOOKUP(A6400,'Fintech, Regulatory Arbitrage, '!A:A,'Fintech, Regulatory Arbitrage, '!C:C,"")</f>
        <v/>
      </c>
    </row>
    <row r="6401">
      <c r="A6401" s="1" t="s">
        <v>6421</v>
      </c>
      <c r="B6401" s="2">
        <v>1.0</v>
      </c>
      <c r="C6401" s="4"/>
      <c r="E6401" s="4" t="str">
        <f t="array" ref="E6401">XLOOKUP(A6401,'Fintech, Regulatory Arbitrage, '!A:A,'Fintech, Regulatory Arbitrage, '!C:C,"")</f>
        <v/>
      </c>
    </row>
    <row r="6402">
      <c r="A6402" s="1" t="s">
        <v>6422</v>
      </c>
      <c r="B6402" s="2">
        <v>1.0</v>
      </c>
      <c r="C6402" s="4"/>
      <c r="E6402" s="4" t="str">
        <f t="array" ref="E6402">XLOOKUP(A6402,'Fintech, Regulatory Arbitrage, '!A:A,'Fintech, Regulatory Arbitrage, '!C:C,"")</f>
        <v/>
      </c>
    </row>
    <row r="6403">
      <c r="A6403" s="1" t="s">
        <v>6423</v>
      </c>
      <c r="B6403" s="2">
        <v>1.0</v>
      </c>
      <c r="C6403" s="4"/>
      <c r="E6403" s="4" t="str">
        <f t="array" ref="E6403">XLOOKUP(A6403,'Fintech, Regulatory Arbitrage, '!A:A,'Fintech, Regulatory Arbitrage, '!C:C,"")</f>
        <v/>
      </c>
    </row>
    <row r="6404">
      <c r="A6404" s="1" t="s">
        <v>6424</v>
      </c>
      <c r="B6404" s="2">
        <v>1.0</v>
      </c>
      <c r="C6404" s="4"/>
      <c r="E6404" s="4" t="str">
        <f t="array" ref="E6404">XLOOKUP(A6404,'Fintech, Regulatory Arbitrage, '!A:A,'Fintech, Regulatory Arbitrage, '!C:C,"")</f>
        <v/>
      </c>
    </row>
    <row r="6405">
      <c r="A6405" s="1" t="s">
        <v>6425</v>
      </c>
      <c r="B6405" s="2">
        <v>1.0</v>
      </c>
      <c r="C6405" s="4"/>
      <c r="E6405" s="4" t="str">
        <f t="array" ref="E6405">XLOOKUP(A6405,'Fintech, Regulatory Arbitrage, '!A:A,'Fintech, Regulatory Arbitrage, '!C:C,"")</f>
        <v/>
      </c>
    </row>
    <row r="6406">
      <c r="A6406" s="1" t="s">
        <v>6426</v>
      </c>
      <c r="B6406" s="2">
        <v>1.0</v>
      </c>
      <c r="C6406" s="4"/>
      <c r="E6406" s="4" t="str">
        <f t="array" ref="E6406">XLOOKUP(A6406,'Fintech, Regulatory Arbitrage, '!A:A,'Fintech, Regulatory Arbitrage, '!C:C,"")</f>
        <v/>
      </c>
    </row>
    <row r="6407">
      <c r="A6407" s="1" t="s">
        <v>6427</v>
      </c>
      <c r="B6407" s="2">
        <v>1.0</v>
      </c>
      <c r="C6407" s="4"/>
      <c r="E6407" s="4" t="str">
        <f t="array" ref="E6407">XLOOKUP(A6407,'Fintech, Regulatory Arbitrage, '!A:A,'Fintech, Regulatory Arbitrage, '!C:C,"")</f>
        <v/>
      </c>
    </row>
    <row r="6408">
      <c r="A6408" s="1" t="s">
        <v>6428</v>
      </c>
      <c r="B6408" s="2">
        <v>1.0</v>
      </c>
      <c r="C6408" s="4"/>
      <c r="E6408" s="4" t="str">
        <f t="array" ref="E6408">XLOOKUP(A6408,'Fintech, Regulatory Arbitrage, '!A:A,'Fintech, Regulatory Arbitrage, '!C:C,"")</f>
        <v/>
      </c>
    </row>
    <row r="6409">
      <c r="A6409" s="1" t="s">
        <v>6429</v>
      </c>
      <c r="B6409" s="2">
        <v>1.0</v>
      </c>
      <c r="C6409" s="4"/>
      <c r="E6409" s="4" t="str">
        <f t="array" ref="E6409">XLOOKUP(A6409,'Fintech, Regulatory Arbitrage, '!A:A,'Fintech, Regulatory Arbitrage, '!C:C,"")</f>
        <v/>
      </c>
    </row>
    <row r="6410">
      <c r="A6410" s="1" t="s">
        <v>6430</v>
      </c>
      <c r="B6410" s="2">
        <v>1.0</v>
      </c>
      <c r="C6410" s="4"/>
      <c r="E6410" s="4" t="str">
        <f t="array" ref="E6410">XLOOKUP(A6410,'Fintech, Regulatory Arbitrage, '!A:A,'Fintech, Regulatory Arbitrage, '!C:C,"")</f>
        <v/>
      </c>
    </row>
    <row r="6411">
      <c r="A6411" s="1" t="s">
        <v>6431</v>
      </c>
      <c r="B6411" s="2">
        <v>1.0</v>
      </c>
      <c r="C6411" s="4"/>
      <c r="E6411" s="4" t="str">
        <f t="array" ref="E6411">XLOOKUP(A6411,'Fintech, Regulatory Arbitrage, '!A:A,'Fintech, Regulatory Arbitrage, '!C:C,"")</f>
        <v/>
      </c>
    </row>
    <row r="6412">
      <c r="A6412" s="1" t="s">
        <v>6432</v>
      </c>
      <c r="B6412" s="2">
        <v>1.0</v>
      </c>
      <c r="C6412" s="4"/>
      <c r="E6412" s="4" t="str">
        <f t="array" ref="E6412">XLOOKUP(A6412,'Fintech, Regulatory Arbitrage, '!A:A,'Fintech, Regulatory Arbitrage, '!C:C,"")</f>
        <v/>
      </c>
    </row>
    <row r="6413">
      <c r="A6413" s="1" t="s">
        <v>6433</v>
      </c>
      <c r="B6413" s="2">
        <v>1.0</v>
      </c>
      <c r="C6413" s="4"/>
      <c r="E6413" s="4" t="str">
        <f t="array" ref="E6413">XLOOKUP(A6413,'Fintech, Regulatory Arbitrage, '!A:A,'Fintech, Regulatory Arbitrage, '!C:C,"")</f>
        <v/>
      </c>
    </row>
    <row r="6414">
      <c r="A6414" s="1" t="s">
        <v>6434</v>
      </c>
      <c r="B6414" s="2">
        <v>1.0</v>
      </c>
      <c r="C6414" s="4"/>
      <c r="E6414" s="4" t="str">
        <f t="array" ref="E6414">XLOOKUP(A6414,'Fintech, Regulatory Arbitrage, '!A:A,'Fintech, Regulatory Arbitrage, '!C:C,"")</f>
        <v/>
      </c>
    </row>
    <row r="6415">
      <c r="A6415" s="1" t="s">
        <v>6435</v>
      </c>
      <c r="B6415" s="2">
        <v>1.0</v>
      </c>
      <c r="C6415" s="4"/>
      <c r="E6415" s="4" t="str">
        <f t="array" ref="E6415">XLOOKUP(A6415,'Fintech, Regulatory Arbitrage, '!A:A,'Fintech, Regulatory Arbitrage, '!C:C,"")</f>
        <v/>
      </c>
    </row>
    <row r="6416">
      <c r="A6416" s="1" t="s">
        <v>6436</v>
      </c>
      <c r="B6416" s="2">
        <v>1.0</v>
      </c>
      <c r="C6416" s="4"/>
      <c r="E6416" s="4" t="str">
        <f t="array" ref="E6416">XLOOKUP(A6416,'Fintech, Regulatory Arbitrage, '!A:A,'Fintech, Regulatory Arbitrage, '!C:C,"")</f>
        <v/>
      </c>
    </row>
    <row r="6417">
      <c r="A6417" s="1" t="s">
        <v>6437</v>
      </c>
      <c r="B6417" s="2">
        <v>1.0</v>
      </c>
      <c r="C6417" s="4"/>
      <c r="E6417" s="4" t="str">
        <f t="array" ref="E6417">XLOOKUP(A6417,'Fintech, Regulatory Arbitrage, '!A:A,'Fintech, Regulatory Arbitrage, '!C:C,"")</f>
        <v/>
      </c>
    </row>
    <row r="6418">
      <c r="A6418" s="1" t="s">
        <v>6438</v>
      </c>
      <c r="B6418" s="2">
        <v>1.0</v>
      </c>
      <c r="C6418" s="4"/>
      <c r="E6418" s="4" t="str">
        <f t="array" ref="E6418">XLOOKUP(A6418,'Fintech, Regulatory Arbitrage, '!A:A,'Fintech, Regulatory Arbitrage, '!C:C,"")</f>
        <v/>
      </c>
    </row>
    <row r="6419">
      <c r="A6419" s="1" t="s">
        <v>6439</v>
      </c>
      <c r="B6419" s="2">
        <v>1.0</v>
      </c>
      <c r="C6419" s="4"/>
      <c r="E6419" s="4" t="str">
        <f t="array" ref="E6419">XLOOKUP(A6419,'Fintech, Regulatory Arbitrage, '!A:A,'Fintech, Regulatory Arbitrage, '!C:C,"")</f>
        <v/>
      </c>
    </row>
    <row r="6420">
      <c r="A6420" s="1" t="s">
        <v>6440</v>
      </c>
      <c r="B6420" s="2">
        <v>1.0</v>
      </c>
      <c r="C6420" s="4"/>
      <c r="E6420" s="4" t="str">
        <f t="array" ref="E6420">XLOOKUP(A6420,'Fintech, Regulatory Arbitrage, '!A:A,'Fintech, Regulatory Arbitrage, '!C:C,"")</f>
        <v/>
      </c>
    </row>
    <row r="6421">
      <c r="A6421" s="1" t="s">
        <v>6441</v>
      </c>
      <c r="B6421" s="2">
        <v>1.0</v>
      </c>
      <c r="C6421" s="4"/>
      <c r="E6421" s="4" t="str">
        <f t="array" ref="E6421">XLOOKUP(A6421,'Fintech, Regulatory Arbitrage, '!A:A,'Fintech, Regulatory Arbitrage, '!C:C,"")</f>
        <v/>
      </c>
    </row>
    <row r="6422">
      <c r="A6422" s="1" t="s">
        <v>6442</v>
      </c>
      <c r="B6422" s="2">
        <v>1.0</v>
      </c>
      <c r="C6422" s="4"/>
      <c r="E6422" s="4" t="str">
        <f t="array" ref="E6422">XLOOKUP(A6422,'Fintech, Regulatory Arbitrage, '!A:A,'Fintech, Regulatory Arbitrage, '!C:C,"")</f>
        <v/>
      </c>
    </row>
    <row r="6423">
      <c r="A6423" s="1" t="s">
        <v>6443</v>
      </c>
      <c r="B6423" s="2">
        <v>1.0</v>
      </c>
      <c r="C6423" s="4"/>
      <c r="E6423" s="4" t="str">
        <f t="array" ref="E6423">XLOOKUP(A6423,'Fintech, Regulatory Arbitrage, '!A:A,'Fintech, Regulatory Arbitrage, '!C:C,"")</f>
        <v/>
      </c>
    </row>
    <row r="6424">
      <c r="A6424" s="1" t="s">
        <v>6444</v>
      </c>
      <c r="B6424" s="2">
        <v>1.0</v>
      </c>
      <c r="C6424" s="4"/>
      <c r="E6424" s="4" t="str">
        <f t="array" ref="E6424">XLOOKUP(A6424,'Fintech, Regulatory Arbitrage, '!A:A,'Fintech, Regulatory Arbitrage, '!C:C,"")</f>
        <v/>
      </c>
    </row>
    <row r="6425">
      <c r="A6425" s="1" t="s">
        <v>6445</v>
      </c>
      <c r="B6425" s="2">
        <v>1.0</v>
      </c>
      <c r="C6425" s="4"/>
      <c r="E6425" s="4" t="str">
        <f t="array" ref="E6425">XLOOKUP(A6425,'Fintech, Regulatory Arbitrage, '!A:A,'Fintech, Regulatory Arbitrage, '!C:C,"")</f>
        <v/>
      </c>
    </row>
    <row r="6426">
      <c r="A6426" s="1" t="s">
        <v>6446</v>
      </c>
      <c r="B6426" s="2">
        <v>1.0</v>
      </c>
      <c r="C6426" s="4"/>
      <c r="E6426" s="4" t="str">
        <f t="array" ref="E6426">XLOOKUP(A6426,'Fintech, Regulatory Arbitrage, '!A:A,'Fintech, Regulatory Arbitrage, '!C:C,"")</f>
        <v/>
      </c>
    </row>
    <row r="6427">
      <c r="A6427" s="1" t="s">
        <v>6447</v>
      </c>
      <c r="B6427" s="2">
        <v>1.0</v>
      </c>
      <c r="C6427" s="4"/>
      <c r="E6427" s="4" t="str">
        <f t="array" ref="E6427">XLOOKUP(A6427,'Fintech, Regulatory Arbitrage, '!A:A,'Fintech, Regulatory Arbitrage, '!C:C,"")</f>
        <v/>
      </c>
    </row>
    <row r="6428">
      <c r="A6428" s="1" t="s">
        <v>6448</v>
      </c>
      <c r="B6428" s="2">
        <v>1.0</v>
      </c>
      <c r="C6428" s="4"/>
      <c r="E6428" s="4" t="str">
        <f t="array" ref="E6428">XLOOKUP(A6428,'Fintech, Regulatory Arbitrage, '!A:A,'Fintech, Regulatory Arbitrage, '!C:C,"")</f>
        <v/>
      </c>
    </row>
    <row r="6429">
      <c r="A6429" s="1" t="s">
        <v>6449</v>
      </c>
      <c r="B6429" s="2">
        <v>1.0</v>
      </c>
      <c r="C6429" s="4"/>
      <c r="E6429" s="4" t="str">
        <f t="array" ref="E6429">XLOOKUP(A6429,'Fintech, Regulatory Arbitrage, '!A:A,'Fintech, Regulatory Arbitrage, '!C:C,"")</f>
        <v/>
      </c>
    </row>
    <row r="6430">
      <c r="A6430" s="1" t="s">
        <v>6450</v>
      </c>
      <c r="B6430" s="2">
        <v>1.0</v>
      </c>
      <c r="C6430" s="4"/>
      <c r="E6430" s="4" t="str">
        <f t="array" ref="E6430">XLOOKUP(A6430,'Fintech, Regulatory Arbitrage, '!A:A,'Fintech, Regulatory Arbitrage, '!C:C,"")</f>
        <v/>
      </c>
    </row>
    <row r="6431">
      <c r="A6431" s="1" t="s">
        <v>6451</v>
      </c>
      <c r="B6431" s="2">
        <v>1.0</v>
      </c>
      <c r="C6431" s="4"/>
      <c r="E6431" s="4" t="str">
        <f t="array" ref="E6431">XLOOKUP(A6431,'Fintech, Regulatory Arbitrage, '!A:A,'Fintech, Regulatory Arbitrage, '!C:C,"")</f>
        <v/>
      </c>
    </row>
    <row r="6432">
      <c r="A6432" s="1" t="s">
        <v>6452</v>
      </c>
      <c r="B6432" s="2">
        <v>1.0</v>
      </c>
      <c r="C6432" s="4"/>
      <c r="E6432" s="4" t="str">
        <f t="array" ref="E6432">XLOOKUP(A6432,'Fintech, Regulatory Arbitrage, '!A:A,'Fintech, Regulatory Arbitrage, '!C:C,"")</f>
        <v/>
      </c>
    </row>
    <row r="6433">
      <c r="A6433" s="1" t="s">
        <v>6453</v>
      </c>
      <c r="B6433" s="2">
        <v>1.0</v>
      </c>
      <c r="C6433" s="4"/>
      <c r="E6433" s="4" t="str">
        <f t="array" ref="E6433">XLOOKUP(A6433,'Fintech, Regulatory Arbitrage, '!A:A,'Fintech, Regulatory Arbitrage, '!C:C,"")</f>
        <v/>
      </c>
    </row>
    <row r="6434">
      <c r="A6434" s="1" t="s">
        <v>6454</v>
      </c>
      <c r="B6434" s="2">
        <v>1.0</v>
      </c>
      <c r="C6434" s="4"/>
      <c r="E6434" s="4" t="str">
        <f t="array" ref="E6434">XLOOKUP(A6434,'Fintech, Regulatory Arbitrage, '!A:A,'Fintech, Regulatory Arbitrage, '!C:C,"")</f>
        <v/>
      </c>
    </row>
    <row r="6435">
      <c r="A6435" s="1" t="s">
        <v>6455</v>
      </c>
      <c r="B6435" s="2">
        <v>1.0</v>
      </c>
      <c r="C6435" s="4"/>
      <c r="E6435" s="4" t="str">
        <f t="array" ref="E6435">XLOOKUP(A6435,'Fintech, Regulatory Arbitrage, '!A:A,'Fintech, Regulatory Arbitrage, '!C:C,"")</f>
        <v/>
      </c>
    </row>
    <row r="6436">
      <c r="A6436" s="1" t="s">
        <v>6456</v>
      </c>
      <c r="B6436" s="2">
        <v>1.0</v>
      </c>
      <c r="C6436" s="4"/>
      <c r="E6436" s="4" t="str">
        <f t="array" ref="E6436">XLOOKUP(A6436,'Fintech, Regulatory Arbitrage, '!A:A,'Fintech, Regulatory Arbitrage, '!C:C,"")</f>
        <v/>
      </c>
    </row>
    <row r="6437">
      <c r="A6437" s="1" t="s">
        <v>6457</v>
      </c>
      <c r="B6437" s="2">
        <v>1.0</v>
      </c>
      <c r="C6437" s="4"/>
      <c r="E6437" s="4" t="str">
        <f t="array" ref="E6437">XLOOKUP(A6437,'Fintech, Regulatory Arbitrage, '!A:A,'Fintech, Regulatory Arbitrage, '!C:C,"")</f>
        <v/>
      </c>
    </row>
    <row r="6438">
      <c r="A6438" s="1" t="s">
        <v>6458</v>
      </c>
      <c r="B6438" s="2">
        <v>1.0</v>
      </c>
      <c r="C6438" s="4"/>
      <c r="E6438" s="4" t="str">
        <f t="array" ref="E6438">XLOOKUP(A6438,'Fintech, Regulatory Arbitrage, '!A:A,'Fintech, Regulatory Arbitrage, '!C:C,"")</f>
        <v/>
      </c>
    </row>
    <row r="6439">
      <c r="A6439" s="1" t="s">
        <v>6459</v>
      </c>
      <c r="B6439" s="2">
        <v>1.0</v>
      </c>
      <c r="C6439" s="4"/>
      <c r="E6439" s="4" t="str">
        <f t="array" ref="E6439">XLOOKUP(A6439,'Fintech, Regulatory Arbitrage, '!A:A,'Fintech, Regulatory Arbitrage, '!C:C,"")</f>
        <v/>
      </c>
    </row>
    <row r="6440">
      <c r="A6440" s="1" t="s">
        <v>6460</v>
      </c>
      <c r="B6440" s="2">
        <v>1.0</v>
      </c>
      <c r="C6440" s="4"/>
      <c r="E6440" s="4" t="str">
        <f t="array" ref="E6440">XLOOKUP(A6440,'Fintech, Regulatory Arbitrage, '!A:A,'Fintech, Regulatory Arbitrage, '!C:C,"")</f>
        <v/>
      </c>
    </row>
    <row r="6441">
      <c r="A6441" s="1" t="s">
        <v>6461</v>
      </c>
      <c r="B6441" s="2">
        <v>1.0</v>
      </c>
      <c r="C6441" s="4"/>
      <c r="E6441" s="4" t="str">
        <f t="array" ref="E6441">XLOOKUP(A6441,'Fintech, Regulatory Arbitrage, '!A:A,'Fintech, Regulatory Arbitrage, '!C:C,"")</f>
        <v/>
      </c>
    </row>
    <row r="6442">
      <c r="A6442" s="1" t="s">
        <v>6462</v>
      </c>
      <c r="B6442" s="2">
        <v>1.0</v>
      </c>
      <c r="C6442" s="4"/>
      <c r="E6442" s="4" t="str">
        <f t="array" ref="E6442">XLOOKUP(A6442,'Fintech, Regulatory Arbitrage, '!A:A,'Fintech, Regulatory Arbitrage, '!C:C,"")</f>
        <v/>
      </c>
    </row>
    <row r="6443">
      <c r="A6443" s="1" t="s">
        <v>6463</v>
      </c>
      <c r="B6443" s="2">
        <v>1.0</v>
      </c>
      <c r="C6443" s="4"/>
      <c r="E6443" s="4" t="str">
        <f t="array" ref="E6443">XLOOKUP(A6443,'Fintech, Regulatory Arbitrage, '!A:A,'Fintech, Regulatory Arbitrage, '!C:C,"")</f>
        <v/>
      </c>
    </row>
    <row r="6444">
      <c r="A6444" s="1" t="s">
        <v>6464</v>
      </c>
      <c r="B6444" s="2">
        <v>1.0</v>
      </c>
      <c r="C6444" s="4"/>
      <c r="E6444" s="4" t="str">
        <f t="array" ref="E6444">XLOOKUP(A6444,'Fintech, Regulatory Arbitrage, '!A:A,'Fintech, Regulatory Arbitrage, '!C:C,"")</f>
        <v/>
      </c>
    </row>
    <row r="6445">
      <c r="A6445" s="1" t="s">
        <v>6465</v>
      </c>
      <c r="B6445" s="2">
        <v>1.0</v>
      </c>
      <c r="C6445" s="4"/>
      <c r="E6445" s="4" t="str">
        <f t="array" ref="E6445">XLOOKUP(A6445,'Fintech, Regulatory Arbitrage, '!A:A,'Fintech, Regulatory Arbitrage, '!C:C,"")</f>
        <v/>
      </c>
    </row>
    <row r="6446">
      <c r="A6446" s="1" t="s">
        <v>6466</v>
      </c>
      <c r="B6446" s="2">
        <v>1.0</v>
      </c>
      <c r="C6446" s="4"/>
      <c r="E6446" s="4" t="str">
        <f t="array" ref="E6446">XLOOKUP(A6446,'Fintech, Regulatory Arbitrage, '!A:A,'Fintech, Regulatory Arbitrage, '!C:C,"")</f>
        <v/>
      </c>
    </row>
    <row r="6447">
      <c r="A6447" s="1" t="s">
        <v>6467</v>
      </c>
      <c r="B6447" s="2">
        <v>1.0</v>
      </c>
      <c r="C6447" s="4"/>
      <c r="E6447" s="4" t="str">
        <f t="array" ref="E6447">XLOOKUP(A6447,'Fintech, Regulatory Arbitrage, '!A:A,'Fintech, Regulatory Arbitrage, '!C:C,"")</f>
        <v/>
      </c>
    </row>
    <row r="6448">
      <c r="A6448" s="1" t="s">
        <v>6468</v>
      </c>
      <c r="B6448" s="2">
        <v>1.0</v>
      </c>
      <c r="C6448" s="4"/>
      <c r="E6448" s="4" t="str">
        <f t="array" ref="E6448">XLOOKUP(A6448,'Fintech, Regulatory Arbitrage, '!A:A,'Fintech, Regulatory Arbitrage, '!C:C,"")</f>
        <v/>
      </c>
    </row>
    <row r="6449">
      <c r="A6449" s="1" t="s">
        <v>6469</v>
      </c>
      <c r="B6449" s="2">
        <v>1.0</v>
      </c>
      <c r="C6449" s="4"/>
      <c r="E6449" s="4" t="str">
        <f t="array" ref="E6449">XLOOKUP(A6449,'Fintech, Regulatory Arbitrage, '!A:A,'Fintech, Regulatory Arbitrage, '!C:C,"")</f>
        <v/>
      </c>
    </row>
    <row r="6450">
      <c r="A6450" s="1" t="s">
        <v>6470</v>
      </c>
      <c r="B6450" s="2">
        <v>1.0</v>
      </c>
      <c r="C6450" s="4"/>
      <c r="E6450" s="4" t="str">
        <f t="array" ref="E6450">XLOOKUP(A6450,'Fintech, Regulatory Arbitrage, '!A:A,'Fintech, Regulatory Arbitrage, '!C:C,"")</f>
        <v/>
      </c>
    </row>
    <row r="6451">
      <c r="A6451" s="1" t="s">
        <v>6471</v>
      </c>
      <c r="B6451" s="2">
        <v>1.0</v>
      </c>
      <c r="C6451" s="4"/>
      <c r="E6451" s="4" t="str">
        <f t="array" ref="E6451">XLOOKUP(A6451,'Fintech, Regulatory Arbitrage, '!A:A,'Fintech, Regulatory Arbitrage, '!C:C,"")</f>
        <v/>
      </c>
    </row>
    <row r="6452">
      <c r="A6452" s="1" t="s">
        <v>6472</v>
      </c>
      <c r="B6452" s="2">
        <v>1.0</v>
      </c>
      <c r="C6452" s="4"/>
      <c r="E6452" s="4" t="str">
        <f t="array" ref="E6452">XLOOKUP(A6452,'Fintech, Regulatory Arbitrage, '!A:A,'Fintech, Regulatory Arbitrage, '!C:C,"")</f>
        <v/>
      </c>
    </row>
    <row r="6453">
      <c r="A6453" s="1" t="s">
        <v>6473</v>
      </c>
      <c r="B6453" s="2">
        <v>1.0</v>
      </c>
      <c r="C6453" s="4"/>
      <c r="E6453" s="4" t="str">
        <f t="array" ref="E6453">XLOOKUP(A6453,'Fintech, Regulatory Arbitrage, '!A:A,'Fintech, Regulatory Arbitrage, '!C:C,"")</f>
        <v/>
      </c>
    </row>
    <row r="6454">
      <c r="A6454" s="1" t="s">
        <v>6474</v>
      </c>
      <c r="B6454" s="2">
        <v>1.0</v>
      </c>
      <c r="C6454" s="4"/>
      <c r="E6454" s="4" t="str">
        <f t="array" ref="E6454">XLOOKUP(A6454,'Fintech, Regulatory Arbitrage, '!A:A,'Fintech, Regulatory Arbitrage, '!C:C,"")</f>
        <v/>
      </c>
    </row>
    <row r="6455">
      <c r="A6455" s="1" t="s">
        <v>6475</v>
      </c>
      <c r="B6455" s="2">
        <v>1.0</v>
      </c>
      <c r="C6455" s="4"/>
      <c r="E6455" s="4" t="str">
        <f t="array" ref="E6455">XLOOKUP(A6455,'Fintech, Regulatory Arbitrage, '!A:A,'Fintech, Regulatory Arbitrage, '!C:C,"")</f>
        <v/>
      </c>
    </row>
    <row r="6456">
      <c r="A6456" s="1" t="s">
        <v>6476</v>
      </c>
      <c r="B6456" s="2">
        <v>1.0</v>
      </c>
      <c r="C6456" s="4"/>
      <c r="E6456" s="4" t="str">
        <f t="array" ref="E6456">XLOOKUP(A6456,'Fintech, Regulatory Arbitrage, '!A:A,'Fintech, Regulatory Arbitrage, '!C:C,"")</f>
        <v/>
      </c>
    </row>
    <row r="6457">
      <c r="A6457" s="1" t="s">
        <v>6477</v>
      </c>
      <c r="B6457" s="2">
        <v>1.0</v>
      </c>
      <c r="C6457" s="4"/>
      <c r="E6457" s="4" t="str">
        <f t="array" ref="E6457">XLOOKUP(A6457,'Fintech, Regulatory Arbitrage, '!A:A,'Fintech, Regulatory Arbitrage, '!C:C,"")</f>
        <v/>
      </c>
    </row>
    <row r="6458">
      <c r="A6458" s="1" t="s">
        <v>6478</v>
      </c>
      <c r="B6458" s="2">
        <v>1.0</v>
      </c>
      <c r="C6458" s="4"/>
      <c r="E6458" s="4" t="str">
        <f t="array" ref="E6458">XLOOKUP(A6458,'Fintech, Regulatory Arbitrage, '!A:A,'Fintech, Regulatory Arbitrage, '!C:C,"")</f>
        <v/>
      </c>
    </row>
    <row r="6459">
      <c r="A6459" s="1" t="s">
        <v>6479</v>
      </c>
      <c r="B6459" s="2">
        <v>1.0</v>
      </c>
      <c r="C6459" s="4"/>
      <c r="E6459" s="4" t="str">
        <f t="array" ref="E6459">XLOOKUP(A6459,'Fintech, Regulatory Arbitrage, '!A:A,'Fintech, Regulatory Arbitrage, '!C:C,"")</f>
        <v/>
      </c>
    </row>
    <row r="6460">
      <c r="A6460" s="1" t="s">
        <v>6480</v>
      </c>
      <c r="B6460" s="2">
        <v>1.0</v>
      </c>
      <c r="C6460" s="4"/>
      <c r="E6460" s="4" t="str">
        <f t="array" ref="E6460">XLOOKUP(A6460,'Fintech, Regulatory Arbitrage, '!A:A,'Fintech, Regulatory Arbitrage, '!C:C,"")</f>
        <v/>
      </c>
    </row>
    <row r="6461">
      <c r="A6461" s="1" t="s">
        <v>6481</v>
      </c>
      <c r="B6461" s="2">
        <v>1.0</v>
      </c>
      <c r="C6461" s="4"/>
      <c r="E6461" s="4" t="str">
        <f t="array" ref="E6461">XLOOKUP(A6461,'Fintech, Regulatory Arbitrage, '!A:A,'Fintech, Regulatory Arbitrage, '!C:C,"")</f>
        <v/>
      </c>
    </row>
    <row r="6462">
      <c r="A6462" s="1" t="s">
        <v>6482</v>
      </c>
      <c r="B6462" s="2">
        <v>1.0</v>
      </c>
      <c r="C6462" s="4"/>
      <c r="E6462" s="4" t="str">
        <f t="array" ref="E6462">XLOOKUP(A6462,'Fintech, Regulatory Arbitrage, '!A:A,'Fintech, Regulatory Arbitrage, '!C:C,"")</f>
        <v/>
      </c>
    </row>
    <row r="6463">
      <c r="A6463" s="1" t="s">
        <v>6483</v>
      </c>
      <c r="B6463" s="2">
        <v>1.0</v>
      </c>
      <c r="C6463" s="4"/>
      <c r="E6463" s="4" t="str">
        <f t="array" ref="E6463">XLOOKUP(A6463,'Fintech, Regulatory Arbitrage, '!A:A,'Fintech, Regulatory Arbitrage, '!C:C,"")</f>
        <v/>
      </c>
    </row>
    <row r="6464">
      <c r="A6464" s="1" t="s">
        <v>6484</v>
      </c>
      <c r="B6464" s="2">
        <v>1.0</v>
      </c>
      <c r="C6464" s="4"/>
      <c r="E6464" s="4" t="str">
        <f t="array" ref="E6464">XLOOKUP(A6464,'Fintech, Regulatory Arbitrage, '!A:A,'Fintech, Regulatory Arbitrage, '!C:C,"")</f>
        <v/>
      </c>
    </row>
    <row r="6465">
      <c r="A6465" s="1" t="s">
        <v>6485</v>
      </c>
      <c r="B6465" s="2">
        <v>1.0</v>
      </c>
      <c r="C6465" s="4"/>
      <c r="E6465" s="4" t="str">
        <f t="array" ref="E6465">XLOOKUP(A6465,'Fintech, Regulatory Arbitrage, '!A:A,'Fintech, Regulatory Arbitrage, '!C:C,"")</f>
        <v/>
      </c>
    </row>
    <row r="6466">
      <c r="A6466" s="1" t="s">
        <v>6486</v>
      </c>
      <c r="B6466" s="2">
        <v>1.0</v>
      </c>
      <c r="C6466" s="4"/>
      <c r="E6466" s="4" t="str">
        <f t="array" ref="E6466">XLOOKUP(A6466,'Fintech, Regulatory Arbitrage, '!A:A,'Fintech, Regulatory Arbitrage, '!C:C,"")</f>
        <v/>
      </c>
    </row>
    <row r="6467">
      <c r="A6467" s="1" t="s">
        <v>6487</v>
      </c>
      <c r="B6467" s="2">
        <v>1.0</v>
      </c>
      <c r="C6467" s="4"/>
      <c r="E6467" s="4" t="str">
        <f t="array" ref="E6467">XLOOKUP(A6467,'Fintech, Regulatory Arbitrage, '!A:A,'Fintech, Regulatory Arbitrage, '!C:C,"")</f>
        <v/>
      </c>
    </row>
    <row r="6468">
      <c r="A6468" s="1" t="s">
        <v>6488</v>
      </c>
      <c r="B6468" s="2">
        <v>1.0</v>
      </c>
      <c r="C6468" s="4"/>
      <c r="E6468" s="4" t="str">
        <f t="array" ref="E6468">XLOOKUP(A6468,'Fintech, Regulatory Arbitrage, '!A:A,'Fintech, Regulatory Arbitrage, '!C:C,"")</f>
        <v/>
      </c>
    </row>
    <row r="6469">
      <c r="A6469" s="1" t="s">
        <v>6489</v>
      </c>
      <c r="B6469" s="2">
        <v>1.0</v>
      </c>
      <c r="C6469" s="4"/>
      <c r="E6469" s="4" t="str">
        <f t="array" ref="E6469">XLOOKUP(A6469,'Fintech, Regulatory Arbitrage, '!A:A,'Fintech, Regulatory Arbitrage, '!C:C,"")</f>
        <v/>
      </c>
    </row>
    <row r="6470">
      <c r="A6470" s="1" t="s">
        <v>6490</v>
      </c>
      <c r="B6470" s="2">
        <v>1.0</v>
      </c>
      <c r="C6470" s="4"/>
      <c r="E6470" s="4" t="str">
        <f t="array" ref="E6470">XLOOKUP(A6470,'Fintech, Regulatory Arbitrage, '!A:A,'Fintech, Regulatory Arbitrage, '!C:C,"")</f>
        <v/>
      </c>
    </row>
    <row r="6471">
      <c r="A6471" s="1" t="s">
        <v>6491</v>
      </c>
      <c r="B6471" s="2">
        <v>1.0</v>
      </c>
      <c r="C6471" s="4"/>
      <c r="E6471" s="4" t="str">
        <f t="array" ref="E6471">XLOOKUP(A6471,'Fintech, Regulatory Arbitrage, '!A:A,'Fintech, Regulatory Arbitrage, '!C:C,"")</f>
        <v/>
      </c>
    </row>
    <row r="6472">
      <c r="A6472" s="1" t="s">
        <v>6492</v>
      </c>
      <c r="B6472" s="2">
        <v>1.0</v>
      </c>
      <c r="C6472" s="4"/>
      <c r="E6472" s="4" t="str">
        <f t="array" ref="E6472">XLOOKUP(A6472,'Fintech, Regulatory Arbitrage, '!A:A,'Fintech, Regulatory Arbitrage, '!C:C,"")</f>
        <v/>
      </c>
    </row>
    <row r="6473">
      <c r="A6473" s="1" t="s">
        <v>6493</v>
      </c>
      <c r="B6473" s="2">
        <v>1.0</v>
      </c>
      <c r="C6473" s="4"/>
      <c r="E6473" s="4" t="str">
        <f t="array" ref="E6473">XLOOKUP(A6473,'Fintech, Regulatory Arbitrage, '!A:A,'Fintech, Regulatory Arbitrage, '!C:C,"")</f>
        <v/>
      </c>
    </row>
    <row r="6474">
      <c r="A6474" s="1" t="s">
        <v>6494</v>
      </c>
      <c r="B6474" s="2">
        <v>1.0</v>
      </c>
      <c r="C6474" s="4"/>
      <c r="E6474" s="4" t="str">
        <f t="array" ref="E6474">XLOOKUP(A6474,'Fintech, Regulatory Arbitrage, '!A:A,'Fintech, Regulatory Arbitrage, '!C:C,"")</f>
        <v/>
      </c>
    </row>
    <row r="6475">
      <c r="A6475" s="1" t="s">
        <v>6495</v>
      </c>
      <c r="B6475" s="2">
        <v>1.0</v>
      </c>
      <c r="C6475" s="4"/>
      <c r="E6475" s="4" t="str">
        <f t="array" ref="E6475">XLOOKUP(A6475,'Fintech, Regulatory Arbitrage, '!A:A,'Fintech, Regulatory Arbitrage, '!C:C,"")</f>
        <v/>
      </c>
    </row>
    <row r="6476">
      <c r="A6476" s="1" t="s">
        <v>6496</v>
      </c>
      <c r="B6476" s="2">
        <v>1.0</v>
      </c>
      <c r="C6476" s="4"/>
      <c r="E6476" s="4" t="str">
        <f t="array" ref="E6476">XLOOKUP(A6476,'Fintech, Regulatory Arbitrage, '!A:A,'Fintech, Regulatory Arbitrage, '!C:C,"")</f>
        <v/>
      </c>
    </row>
    <row r="6477">
      <c r="A6477" s="1" t="s">
        <v>6497</v>
      </c>
      <c r="B6477" s="2">
        <v>1.0</v>
      </c>
      <c r="C6477" s="4"/>
      <c r="E6477" s="4" t="str">
        <f t="array" ref="E6477">XLOOKUP(A6477,'Fintech, Regulatory Arbitrage, '!A:A,'Fintech, Regulatory Arbitrage, '!C:C,"")</f>
        <v/>
      </c>
    </row>
    <row r="6478">
      <c r="A6478" s="1" t="s">
        <v>6498</v>
      </c>
      <c r="B6478" s="2">
        <v>1.0</v>
      </c>
      <c r="C6478" s="4"/>
      <c r="E6478" s="4" t="str">
        <f t="array" ref="E6478">XLOOKUP(A6478,'Fintech, Regulatory Arbitrage, '!A:A,'Fintech, Regulatory Arbitrage, '!C:C,"")</f>
        <v/>
      </c>
    </row>
    <row r="6479">
      <c r="A6479" s="1" t="s">
        <v>6499</v>
      </c>
      <c r="B6479" s="2">
        <v>1.0</v>
      </c>
      <c r="C6479" s="4"/>
      <c r="E6479" s="4" t="str">
        <f t="array" ref="E6479">XLOOKUP(A6479,'Fintech, Regulatory Arbitrage, '!A:A,'Fintech, Regulatory Arbitrage, '!C:C,"")</f>
        <v/>
      </c>
    </row>
    <row r="6480">
      <c r="A6480" s="1" t="s">
        <v>6500</v>
      </c>
      <c r="B6480" s="2">
        <v>1.0</v>
      </c>
      <c r="C6480" s="4"/>
      <c r="E6480" s="4" t="str">
        <f t="array" ref="E6480">XLOOKUP(A6480,'Fintech, Regulatory Arbitrage, '!A:A,'Fintech, Regulatory Arbitrage, '!C:C,"")</f>
        <v/>
      </c>
    </row>
    <row r="6481">
      <c r="A6481" s="1" t="s">
        <v>6501</v>
      </c>
      <c r="B6481" s="2">
        <v>1.0</v>
      </c>
      <c r="C6481" s="4"/>
      <c r="E6481" s="4" t="str">
        <f t="array" ref="E6481">XLOOKUP(A6481,'Fintech, Regulatory Arbitrage, '!A:A,'Fintech, Regulatory Arbitrage, '!C:C,"")</f>
        <v/>
      </c>
    </row>
    <row r="6482">
      <c r="A6482" s="1" t="s">
        <v>6502</v>
      </c>
      <c r="B6482" s="2">
        <v>1.0</v>
      </c>
      <c r="C6482" s="4"/>
      <c r="E6482" s="4" t="str">
        <f t="array" ref="E6482">XLOOKUP(A6482,'Fintech, Regulatory Arbitrage, '!A:A,'Fintech, Regulatory Arbitrage, '!C:C,"")</f>
        <v/>
      </c>
    </row>
    <row r="6483">
      <c r="A6483" s="1" t="s">
        <v>6503</v>
      </c>
      <c r="B6483" s="2">
        <v>1.0</v>
      </c>
      <c r="C6483" s="4"/>
      <c r="E6483" s="4" t="str">
        <f t="array" ref="E6483">XLOOKUP(A6483,'Fintech, Regulatory Arbitrage, '!A:A,'Fintech, Regulatory Arbitrage, '!C:C,"")</f>
        <v/>
      </c>
    </row>
    <row r="6484">
      <c r="A6484" s="1" t="s">
        <v>6504</v>
      </c>
      <c r="B6484" s="2">
        <v>1.0</v>
      </c>
      <c r="C6484" s="4"/>
      <c r="E6484" s="4" t="str">
        <f t="array" ref="E6484">XLOOKUP(A6484,'Fintech, Regulatory Arbitrage, '!A:A,'Fintech, Regulatory Arbitrage, '!C:C,"")</f>
        <v/>
      </c>
    </row>
    <row r="6485">
      <c r="A6485" s="1" t="s">
        <v>6505</v>
      </c>
      <c r="B6485" s="2">
        <v>1.0</v>
      </c>
      <c r="C6485" s="4"/>
      <c r="E6485" s="4" t="str">
        <f t="array" ref="E6485">XLOOKUP(A6485,'Fintech, Regulatory Arbitrage, '!A:A,'Fintech, Regulatory Arbitrage, '!C:C,"")</f>
        <v/>
      </c>
    </row>
    <row r="6486">
      <c r="A6486" s="1" t="s">
        <v>6506</v>
      </c>
      <c r="B6486" s="2">
        <v>1.0</v>
      </c>
      <c r="C6486" s="4"/>
      <c r="E6486" s="4" t="str">
        <f t="array" ref="E6486">XLOOKUP(A6486,'Fintech, Regulatory Arbitrage, '!A:A,'Fintech, Regulatory Arbitrage, '!C:C,"")</f>
        <v/>
      </c>
    </row>
    <row r="6487">
      <c r="A6487" s="1" t="s">
        <v>6507</v>
      </c>
      <c r="B6487" s="2">
        <v>1.0</v>
      </c>
      <c r="C6487" s="4"/>
      <c r="E6487" s="4" t="str">
        <f t="array" ref="E6487">XLOOKUP(A6487,'Fintech, Regulatory Arbitrage, '!A:A,'Fintech, Regulatory Arbitrage, '!C:C,"")</f>
        <v/>
      </c>
    </row>
    <row r="6488">
      <c r="A6488" s="1" t="s">
        <v>6508</v>
      </c>
      <c r="B6488" s="2">
        <v>1.0</v>
      </c>
      <c r="C6488" s="4"/>
      <c r="E6488" s="4" t="str">
        <f t="array" ref="E6488">XLOOKUP(A6488,'Fintech, Regulatory Arbitrage, '!A:A,'Fintech, Regulatory Arbitrage, '!C:C,"")</f>
        <v/>
      </c>
    </row>
    <row r="6489">
      <c r="A6489" s="1" t="s">
        <v>6509</v>
      </c>
      <c r="B6489" s="2">
        <v>1.0</v>
      </c>
      <c r="C6489" s="4"/>
      <c r="E6489" s="4" t="str">
        <f t="array" ref="E6489">XLOOKUP(A6489,'Fintech, Regulatory Arbitrage, '!A:A,'Fintech, Regulatory Arbitrage, '!C:C,"")</f>
        <v/>
      </c>
    </row>
    <row r="6490">
      <c r="A6490" s="1" t="s">
        <v>6510</v>
      </c>
      <c r="B6490" s="2">
        <v>1.0</v>
      </c>
      <c r="C6490" s="4"/>
      <c r="E6490" s="4" t="str">
        <f t="array" ref="E6490">XLOOKUP(A6490,'Fintech, Regulatory Arbitrage, '!A:A,'Fintech, Regulatory Arbitrage, '!C:C,"")</f>
        <v/>
      </c>
    </row>
    <row r="6491">
      <c r="A6491" s="1" t="s">
        <v>6511</v>
      </c>
      <c r="B6491" s="2">
        <v>1.0</v>
      </c>
      <c r="C6491" s="4"/>
      <c r="E6491" s="4" t="str">
        <f t="array" ref="E6491">XLOOKUP(A6491,'Fintech, Regulatory Arbitrage, '!A:A,'Fintech, Regulatory Arbitrage, '!C:C,"")</f>
        <v/>
      </c>
    </row>
    <row r="6492">
      <c r="A6492" s="1" t="s">
        <v>6512</v>
      </c>
      <c r="B6492" s="2">
        <v>1.0</v>
      </c>
      <c r="C6492" s="4"/>
      <c r="E6492" s="4" t="str">
        <f t="array" ref="E6492">XLOOKUP(A6492,'Fintech, Regulatory Arbitrage, '!A:A,'Fintech, Regulatory Arbitrage, '!C:C,"")</f>
        <v/>
      </c>
    </row>
    <row r="6493">
      <c r="A6493" s="1" t="s">
        <v>6513</v>
      </c>
      <c r="B6493" s="2">
        <v>1.0</v>
      </c>
      <c r="C6493" s="4"/>
      <c r="E6493" s="4" t="str">
        <f t="array" ref="E6493">XLOOKUP(A6493,'Fintech, Regulatory Arbitrage, '!A:A,'Fintech, Regulatory Arbitrage, '!C:C,"")</f>
        <v/>
      </c>
    </row>
    <row r="6494">
      <c r="A6494" s="1" t="s">
        <v>6514</v>
      </c>
      <c r="B6494" s="2">
        <v>1.0</v>
      </c>
      <c r="C6494" s="4"/>
      <c r="E6494" s="4" t="str">
        <f t="array" ref="E6494">XLOOKUP(A6494,'Fintech, Regulatory Arbitrage, '!A:A,'Fintech, Regulatory Arbitrage, '!C:C,"")</f>
        <v/>
      </c>
    </row>
    <row r="6495">
      <c r="A6495" s="1" t="s">
        <v>6515</v>
      </c>
      <c r="B6495" s="2">
        <v>1.0</v>
      </c>
      <c r="C6495" s="4"/>
      <c r="E6495" s="4" t="str">
        <f t="array" ref="E6495">XLOOKUP(A6495,'Fintech, Regulatory Arbitrage, '!A:A,'Fintech, Regulatory Arbitrage, '!C:C,"")</f>
        <v/>
      </c>
    </row>
    <row r="6496">
      <c r="A6496" s="1" t="s">
        <v>6516</v>
      </c>
      <c r="B6496" s="2">
        <v>1.0</v>
      </c>
      <c r="C6496" s="4"/>
      <c r="E6496" s="4" t="str">
        <f t="array" ref="E6496">XLOOKUP(A6496,'Fintech, Regulatory Arbitrage, '!A:A,'Fintech, Regulatory Arbitrage, '!C:C,"")</f>
        <v/>
      </c>
    </row>
    <row r="6497">
      <c r="A6497" s="1" t="s">
        <v>6517</v>
      </c>
      <c r="B6497" s="2">
        <v>1.0</v>
      </c>
      <c r="C6497" s="4"/>
      <c r="E6497" s="4" t="str">
        <f t="array" ref="E6497">XLOOKUP(A6497,'Fintech, Regulatory Arbitrage, '!A:A,'Fintech, Regulatory Arbitrage, '!C:C,"")</f>
        <v/>
      </c>
    </row>
    <row r="6498">
      <c r="A6498" s="1" t="s">
        <v>6518</v>
      </c>
      <c r="B6498" s="2">
        <v>1.0</v>
      </c>
      <c r="C6498" s="4"/>
      <c r="E6498" s="4" t="str">
        <f t="array" ref="E6498">XLOOKUP(A6498,'Fintech, Regulatory Arbitrage, '!A:A,'Fintech, Regulatory Arbitrage, '!C:C,"")</f>
        <v/>
      </c>
    </row>
    <row r="6499">
      <c r="A6499" s="1" t="s">
        <v>6519</v>
      </c>
      <c r="B6499" s="2">
        <v>1.0</v>
      </c>
      <c r="C6499" s="4"/>
      <c r="E6499" s="4" t="str">
        <f t="array" ref="E6499">XLOOKUP(A6499,'Fintech, Regulatory Arbitrage, '!A:A,'Fintech, Regulatory Arbitrage, '!C:C,"")</f>
        <v/>
      </c>
    </row>
    <row r="6500">
      <c r="A6500" s="1" t="s">
        <v>6520</v>
      </c>
      <c r="B6500" s="2">
        <v>1.0</v>
      </c>
      <c r="C6500" s="4"/>
      <c r="E6500" s="4" t="str">
        <f t="array" ref="E6500">XLOOKUP(A6500,'Fintech, Regulatory Arbitrage, '!A:A,'Fintech, Regulatory Arbitrage, '!C:C,"")</f>
        <v/>
      </c>
    </row>
    <row r="6501">
      <c r="A6501" s="1" t="s">
        <v>6521</v>
      </c>
      <c r="B6501" s="2">
        <v>1.0</v>
      </c>
      <c r="C6501" s="4"/>
      <c r="E6501" s="4" t="str">
        <f t="array" ref="E6501">XLOOKUP(A6501,'Fintech, Regulatory Arbitrage, '!A:A,'Fintech, Regulatory Arbitrage, '!C:C,"")</f>
        <v/>
      </c>
    </row>
    <row r="6502">
      <c r="A6502" s="1" t="s">
        <v>6522</v>
      </c>
      <c r="B6502" s="2">
        <v>1.0</v>
      </c>
      <c r="C6502" s="4"/>
      <c r="E6502" s="4" t="str">
        <f t="array" ref="E6502">XLOOKUP(A6502,'Fintech, Regulatory Arbitrage, '!A:A,'Fintech, Regulatory Arbitrage, '!C:C,"")</f>
        <v/>
      </c>
    </row>
    <row r="6503">
      <c r="A6503" s="1" t="s">
        <v>6523</v>
      </c>
      <c r="B6503" s="2">
        <v>1.0</v>
      </c>
      <c r="C6503" s="4"/>
      <c r="E6503" s="4" t="str">
        <f t="array" ref="E6503">XLOOKUP(A6503,'Fintech, Regulatory Arbitrage, '!A:A,'Fintech, Regulatory Arbitrage, '!C:C,"")</f>
        <v/>
      </c>
    </row>
    <row r="6504">
      <c r="A6504" s="1" t="s">
        <v>6524</v>
      </c>
      <c r="B6504" s="2">
        <v>1.0</v>
      </c>
      <c r="C6504" s="4"/>
      <c r="E6504" s="4" t="str">
        <f t="array" ref="E6504">XLOOKUP(A6504,'Fintech, Regulatory Arbitrage, '!A:A,'Fintech, Regulatory Arbitrage, '!C:C,"")</f>
        <v/>
      </c>
    </row>
    <row r="6505">
      <c r="A6505" s="1" t="s">
        <v>6525</v>
      </c>
      <c r="B6505" s="2">
        <v>1.0</v>
      </c>
      <c r="C6505" s="4"/>
      <c r="E6505" s="4" t="str">
        <f t="array" ref="E6505">XLOOKUP(A6505,'Fintech, Regulatory Arbitrage, '!A:A,'Fintech, Regulatory Arbitrage, '!C:C,"")</f>
        <v/>
      </c>
    </row>
    <row r="6506">
      <c r="A6506" s="1" t="s">
        <v>6526</v>
      </c>
      <c r="B6506" s="2">
        <v>1.0</v>
      </c>
      <c r="C6506" s="4"/>
      <c r="E6506" s="4" t="str">
        <f t="array" ref="E6506">XLOOKUP(A6506,'Fintech, Regulatory Arbitrage, '!A:A,'Fintech, Regulatory Arbitrage, '!C:C,"")</f>
        <v/>
      </c>
    </row>
    <row r="6507">
      <c r="A6507" s="1" t="s">
        <v>6527</v>
      </c>
      <c r="B6507" s="2">
        <v>1.0</v>
      </c>
      <c r="C6507" s="4"/>
      <c r="E6507" s="4" t="str">
        <f t="array" ref="E6507">XLOOKUP(A6507,'Fintech, Regulatory Arbitrage, '!A:A,'Fintech, Regulatory Arbitrage, '!C:C,"")</f>
        <v/>
      </c>
    </row>
    <row r="6508">
      <c r="A6508" s="1" t="s">
        <v>6528</v>
      </c>
      <c r="B6508" s="2">
        <v>1.0</v>
      </c>
      <c r="C6508" s="4"/>
      <c r="E6508" s="4" t="str">
        <f t="array" ref="E6508">XLOOKUP(A6508,'Fintech, Regulatory Arbitrage, '!A:A,'Fintech, Regulatory Arbitrage, '!C:C,"")</f>
        <v/>
      </c>
    </row>
    <row r="6509">
      <c r="A6509" s="1" t="s">
        <v>6529</v>
      </c>
      <c r="B6509" s="2">
        <v>1.0</v>
      </c>
      <c r="C6509" s="4"/>
      <c r="E6509" s="4" t="str">
        <f t="array" ref="E6509">XLOOKUP(A6509,'Fintech, Regulatory Arbitrage, '!A:A,'Fintech, Regulatory Arbitrage, '!C:C,"")</f>
        <v/>
      </c>
    </row>
    <row r="6510">
      <c r="A6510" s="1" t="s">
        <v>6530</v>
      </c>
      <c r="B6510" s="2">
        <v>1.0</v>
      </c>
      <c r="C6510" s="4"/>
      <c r="E6510" s="4" t="str">
        <f t="array" ref="E6510">XLOOKUP(A6510,'Fintech, Regulatory Arbitrage, '!A:A,'Fintech, Regulatory Arbitrage, '!C:C,"")</f>
        <v/>
      </c>
    </row>
    <row r="6511">
      <c r="A6511" s="1" t="s">
        <v>6531</v>
      </c>
      <c r="B6511" s="2">
        <v>1.0</v>
      </c>
      <c r="C6511" s="4"/>
      <c r="E6511" s="4" t="str">
        <f t="array" ref="E6511">XLOOKUP(A6511,'Fintech, Regulatory Arbitrage, '!A:A,'Fintech, Regulatory Arbitrage, '!C:C,"")</f>
        <v/>
      </c>
    </row>
    <row r="6512">
      <c r="A6512" s="1" t="s">
        <v>6532</v>
      </c>
      <c r="B6512" s="2">
        <v>1.0</v>
      </c>
      <c r="C6512" s="4"/>
      <c r="E6512" s="4" t="str">
        <f t="array" ref="E6512">XLOOKUP(A6512,'Fintech, Regulatory Arbitrage, '!A:A,'Fintech, Regulatory Arbitrage, '!C:C,"")</f>
        <v/>
      </c>
    </row>
    <row r="6513">
      <c r="A6513" s="1" t="s">
        <v>6533</v>
      </c>
      <c r="B6513" s="2">
        <v>1.0</v>
      </c>
      <c r="C6513" s="4"/>
      <c r="E6513" s="4" t="str">
        <f t="array" ref="E6513">XLOOKUP(A6513,'Fintech, Regulatory Arbitrage, '!A:A,'Fintech, Regulatory Arbitrage, '!C:C,"")</f>
        <v/>
      </c>
    </row>
    <row r="6514">
      <c r="A6514" s="1" t="s">
        <v>6534</v>
      </c>
      <c r="B6514" s="2">
        <v>1.0</v>
      </c>
      <c r="C6514" s="4"/>
      <c r="E6514" s="4" t="str">
        <f t="array" ref="E6514">XLOOKUP(A6514,'Fintech, Regulatory Arbitrage, '!A:A,'Fintech, Regulatory Arbitrage, '!C:C,"")</f>
        <v/>
      </c>
    </row>
    <row r="6515">
      <c r="A6515" s="1" t="s">
        <v>6535</v>
      </c>
      <c r="B6515" s="2">
        <v>1.0</v>
      </c>
      <c r="C6515" s="4"/>
      <c r="E6515" s="4" t="str">
        <f t="array" ref="E6515">XLOOKUP(A6515,'Fintech, Regulatory Arbitrage, '!A:A,'Fintech, Regulatory Arbitrage, '!C:C,"")</f>
        <v/>
      </c>
    </row>
    <row r="6516">
      <c r="A6516" s="1" t="s">
        <v>6536</v>
      </c>
      <c r="B6516" s="2">
        <v>1.0</v>
      </c>
      <c r="C6516" s="4"/>
      <c r="E6516" s="4" t="str">
        <f t="array" ref="E6516">XLOOKUP(A6516,'Fintech, Regulatory Arbitrage, '!A:A,'Fintech, Regulatory Arbitrage, '!C:C,"")</f>
        <v/>
      </c>
    </row>
    <row r="6517">
      <c r="A6517" s="1" t="s">
        <v>6537</v>
      </c>
      <c r="B6517" s="2">
        <v>1.0</v>
      </c>
      <c r="C6517" s="4"/>
      <c r="E6517" s="4" t="str">
        <f t="array" ref="E6517">XLOOKUP(A6517,'Fintech, Regulatory Arbitrage, '!A:A,'Fintech, Regulatory Arbitrage, '!C:C,"")</f>
        <v/>
      </c>
    </row>
    <row r="6518">
      <c r="A6518" s="1" t="s">
        <v>6538</v>
      </c>
      <c r="B6518" s="2">
        <v>1.0</v>
      </c>
      <c r="C6518" s="4"/>
      <c r="E6518" s="4" t="str">
        <f t="array" ref="E6518">XLOOKUP(A6518,'Fintech, Regulatory Arbitrage, '!A:A,'Fintech, Regulatory Arbitrage, '!C:C,"")</f>
        <v/>
      </c>
    </row>
    <row r="6519">
      <c r="A6519" s="1" t="s">
        <v>6539</v>
      </c>
      <c r="B6519" s="2">
        <v>1.0</v>
      </c>
      <c r="C6519" s="4"/>
      <c r="E6519" s="4" t="str">
        <f t="array" ref="E6519">XLOOKUP(A6519,'Fintech, Regulatory Arbitrage, '!A:A,'Fintech, Regulatory Arbitrage, '!C:C,"")</f>
        <v/>
      </c>
    </row>
    <row r="6520">
      <c r="A6520" s="1" t="s">
        <v>6540</v>
      </c>
      <c r="B6520" s="2">
        <v>1.0</v>
      </c>
      <c r="C6520" s="4"/>
      <c r="E6520" s="4" t="str">
        <f t="array" ref="E6520">XLOOKUP(A6520,'Fintech, Regulatory Arbitrage, '!A:A,'Fintech, Regulatory Arbitrage, '!C:C,"")</f>
        <v/>
      </c>
    </row>
    <row r="6521">
      <c r="A6521" s="1" t="s">
        <v>6541</v>
      </c>
      <c r="B6521" s="2">
        <v>1.0</v>
      </c>
      <c r="C6521" s="4"/>
      <c r="E6521" s="4" t="str">
        <f t="array" ref="E6521">XLOOKUP(A6521,'Fintech, Regulatory Arbitrage, '!A:A,'Fintech, Regulatory Arbitrage, '!C:C,"")</f>
        <v/>
      </c>
    </row>
    <row r="6522">
      <c r="A6522" s="1" t="s">
        <v>6542</v>
      </c>
      <c r="B6522" s="2">
        <v>1.0</v>
      </c>
      <c r="C6522" s="4"/>
      <c r="E6522" s="4" t="str">
        <f t="array" ref="E6522">XLOOKUP(A6522,'Fintech, Regulatory Arbitrage, '!A:A,'Fintech, Regulatory Arbitrage, '!C:C,"")</f>
        <v/>
      </c>
    </row>
    <row r="6523">
      <c r="A6523" s="1" t="s">
        <v>6543</v>
      </c>
      <c r="B6523" s="2">
        <v>1.0</v>
      </c>
      <c r="C6523" s="4"/>
      <c r="E6523" s="4" t="str">
        <f t="array" ref="E6523">XLOOKUP(A6523,'Fintech, Regulatory Arbitrage, '!A:A,'Fintech, Regulatory Arbitrage, '!C:C,"")</f>
        <v/>
      </c>
    </row>
    <row r="6524">
      <c r="A6524" s="1" t="s">
        <v>6544</v>
      </c>
      <c r="B6524" s="2">
        <v>1.0</v>
      </c>
      <c r="C6524" s="4"/>
      <c r="E6524" s="4" t="str">
        <f t="array" ref="E6524">XLOOKUP(A6524,'Fintech, Regulatory Arbitrage, '!A:A,'Fintech, Regulatory Arbitrage, '!C:C,"")</f>
        <v/>
      </c>
    </row>
    <row r="6525">
      <c r="A6525" s="1" t="s">
        <v>6545</v>
      </c>
      <c r="B6525" s="2">
        <v>1.0</v>
      </c>
      <c r="C6525" s="4"/>
      <c r="E6525" s="4" t="str">
        <f t="array" ref="E6525">XLOOKUP(A6525,'Fintech, Regulatory Arbitrage, '!A:A,'Fintech, Regulatory Arbitrage, '!C:C,"")</f>
        <v/>
      </c>
    </row>
    <row r="6526">
      <c r="A6526" s="1" t="s">
        <v>6546</v>
      </c>
      <c r="B6526" s="2">
        <v>1.0</v>
      </c>
      <c r="C6526" s="4"/>
      <c r="E6526" s="4" t="str">
        <f t="array" ref="E6526">XLOOKUP(A6526,'Fintech, Regulatory Arbitrage, '!A:A,'Fintech, Regulatory Arbitrage, '!C:C,"")</f>
        <v/>
      </c>
    </row>
    <row r="6527">
      <c r="A6527" s="1" t="s">
        <v>6547</v>
      </c>
      <c r="B6527" s="2">
        <v>1.0</v>
      </c>
      <c r="C6527" s="4"/>
      <c r="E6527" s="4" t="str">
        <f t="array" ref="E6527">XLOOKUP(A6527,'Fintech, Regulatory Arbitrage, '!A:A,'Fintech, Regulatory Arbitrage, '!C:C,"")</f>
        <v/>
      </c>
    </row>
    <row r="6528">
      <c r="A6528" s="1" t="s">
        <v>6548</v>
      </c>
      <c r="B6528" s="2">
        <v>1.0</v>
      </c>
      <c r="C6528" s="4"/>
      <c r="E6528" s="4" t="str">
        <f t="array" ref="E6528">XLOOKUP(A6528,'Fintech, Regulatory Arbitrage, '!A:A,'Fintech, Regulatory Arbitrage, '!C:C,"")</f>
        <v/>
      </c>
    </row>
    <row r="6529">
      <c r="A6529" s="1" t="s">
        <v>6549</v>
      </c>
      <c r="B6529" s="2">
        <v>1.0</v>
      </c>
      <c r="C6529" s="4"/>
      <c r="E6529" s="4" t="str">
        <f t="array" ref="E6529">XLOOKUP(A6529,'Fintech, Regulatory Arbitrage, '!A:A,'Fintech, Regulatory Arbitrage, '!C:C,"")</f>
        <v/>
      </c>
    </row>
    <row r="6530">
      <c r="A6530" s="1" t="s">
        <v>6550</v>
      </c>
      <c r="B6530" s="2">
        <v>1.0</v>
      </c>
      <c r="C6530" s="4"/>
      <c r="E6530" s="4" t="str">
        <f t="array" ref="E6530">XLOOKUP(A6530,'Fintech, Regulatory Arbitrage, '!A:A,'Fintech, Regulatory Arbitrage, '!C:C,"")</f>
        <v/>
      </c>
    </row>
    <row r="6531">
      <c r="A6531" s="1" t="s">
        <v>6551</v>
      </c>
      <c r="B6531" s="2">
        <v>1.0</v>
      </c>
      <c r="C6531" s="4"/>
      <c r="E6531" s="4" t="str">
        <f t="array" ref="E6531">XLOOKUP(A6531,'Fintech, Regulatory Arbitrage, '!A:A,'Fintech, Regulatory Arbitrage, '!C:C,"")</f>
        <v/>
      </c>
    </row>
    <row r="6532">
      <c r="A6532" s="1" t="s">
        <v>6552</v>
      </c>
      <c r="B6532" s="2">
        <v>1.0</v>
      </c>
      <c r="C6532" s="4"/>
      <c r="E6532" s="4" t="str">
        <f t="array" ref="E6532">XLOOKUP(A6532,'Fintech, Regulatory Arbitrage, '!A:A,'Fintech, Regulatory Arbitrage, '!C:C,"")</f>
        <v/>
      </c>
    </row>
    <row r="6533">
      <c r="A6533" s="1" t="s">
        <v>6553</v>
      </c>
      <c r="B6533" s="2">
        <v>1.0</v>
      </c>
      <c r="C6533" s="4"/>
      <c r="E6533" s="4" t="str">
        <f t="array" ref="E6533">XLOOKUP(A6533,'Fintech, Regulatory Arbitrage, '!A:A,'Fintech, Regulatory Arbitrage, '!C:C,"")</f>
        <v/>
      </c>
    </row>
    <row r="6534">
      <c r="A6534" s="1" t="s">
        <v>6554</v>
      </c>
      <c r="B6534" s="2">
        <v>1.0</v>
      </c>
      <c r="C6534" s="4"/>
      <c r="E6534" s="4" t="str">
        <f t="array" ref="E6534">XLOOKUP(A6534,'Fintech, Regulatory Arbitrage, '!A:A,'Fintech, Regulatory Arbitrage, '!C:C,"")</f>
        <v/>
      </c>
    </row>
    <row r="6535">
      <c r="A6535" s="1" t="s">
        <v>6555</v>
      </c>
      <c r="B6535" s="2">
        <v>1.0</v>
      </c>
      <c r="C6535" s="4"/>
      <c r="E6535" s="4" t="str">
        <f t="array" ref="E6535">XLOOKUP(A6535,'Fintech, Regulatory Arbitrage, '!A:A,'Fintech, Regulatory Arbitrage, '!C:C,"")</f>
        <v/>
      </c>
    </row>
    <row r="6536">
      <c r="A6536" s="1" t="s">
        <v>6556</v>
      </c>
      <c r="B6536" s="2">
        <v>1.0</v>
      </c>
      <c r="C6536" s="4"/>
      <c r="E6536" s="4" t="str">
        <f t="array" ref="E6536">XLOOKUP(A6536,'Fintech, Regulatory Arbitrage, '!A:A,'Fintech, Regulatory Arbitrage, '!C:C,"")</f>
        <v/>
      </c>
    </row>
    <row r="6537">
      <c r="A6537" s="1" t="s">
        <v>6557</v>
      </c>
      <c r="B6537" s="2">
        <v>1.0</v>
      </c>
      <c r="C6537" s="4"/>
      <c r="E6537" s="4" t="str">
        <f t="array" ref="E6537">XLOOKUP(A6537,'Fintech, Regulatory Arbitrage, '!A:A,'Fintech, Regulatory Arbitrage, '!C:C,"")</f>
        <v/>
      </c>
    </row>
    <row r="6538">
      <c r="A6538" s="1" t="s">
        <v>6558</v>
      </c>
      <c r="B6538" s="2">
        <v>1.0</v>
      </c>
      <c r="C6538" s="4"/>
      <c r="E6538" s="4" t="str">
        <f t="array" ref="E6538">XLOOKUP(A6538,'Fintech, Regulatory Arbitrage, '!A:A,'Fintech, Regulatory Arbitrage, '!C:C,"")</f>
        <v/>
      </c>
    </row>
    <row r="6539">
      <c r="A6539" s="1" t="s">
        <v>6559</v>
      </c>
      <c r="B6539" s="2">
        <v>1.0</v>
      </c>
      <c r="C6539" s="4"/>
      <c r="E6539" s="4" t="str">
        <f t="array" ref="E6539">XLOOKUP(A6539,'Fintech, Regulatory Arbitrage, '!A:A,'Fintech, Regulatory Arbitrage, '!C:C,"")</f>
        <v/>
      </c>
    </row>
    <row r="6540">
      <c r="A6540" s="1" t="s">
        <v>6560</v>
      </c>
      <c r="B6540" s="2">
        <v>1.0</v>
      </c>
      <c r="C6540" s="4"/>
      <c r="E6540" s="4" t="str">
        <f t="array" ref="E6540">XLOOKUP(A6540,'Fintech, Regulatory Arbitrage, '!A:A,'Fintech, Regulatory Arbitrage, '!C:C,"")</f>
        <v/>
      </c>
    </row>
    <row r="6541">
      <c r="A6541" s="1" t="s">
        <v>6561</v>
      </c>
      <c r="B6541" s="2">
        <v>1.0</v>
      </c>
      <c r="C6541" s="4"/>
      <c r="E6541" s="4" t="str">
        <f t="array" ref="E6541">XLOOKUP(A6541,'Fintech, Regulatory Arbitrage, '!A:A,'Fintech, Regulatory Arbitrage, '!C:C,"")</f>
        <v/>
      </c>
    </row>
    <row r="6542">
      <c r="A6542" s="1" t="s">
        <v>6562</v>
      </c>
      <c r="B6542" s="2">
        <v>1.0</v>
      </c>
      <c r="C6542" s="4"/>
      <c r="E6542" s="4" t="str">
        <f t="array" ref="E6542">XLOOKUP(A6542,'Fintech, Regulatory Arbitrage, '!A:A,'Fintech, Regulatory Arbitrage, '!C:C,"")</f>
        <v/>
      </c>
    </row>
    <row r="6543">
      <c r="A6543" s="1" t="s">
        <v>6563</v>
      </c>
      <c r="B6543" s="2">
        <v>1.0</v>
      </c>
      <c r="C6543" s="4"/>
      <c r="E6543" s="4" t="str">
        <f t="array" ref="E6543">XLOOKUP(A6543,'Fintech, Regulatory Arbitrage, '!A:A,'Fintech, Regulatory Arbitrage, '!C:C,"")</f>
        <v/>
      </c>
    </row>
    <row r="6544">
      <c r="A6544" s="1" t="s">
        <v>6564</v>
      </c>
      <c r="B6544" s="2">
        <v>1.0</v>
      </c>
      <c r="C6544" s="4"/>
      <c r="E6544" s="4" t="str">
        <f t="array" ref="E6544">XLOOKUP(A6544,'Fintech, Regulatory Arbitrage, '!A:A,'Fintech, Regulatory Arbitrage, '!C:C,"")</f>
        <v/>
      </c>
    </row>
    <row r="6545">
      <c r="A6545" s="1" t="s">
        <v>6565</v>
      </c>
      <c r="B6545" s="2">
        <v>1.0</v>
      </c>
      <c r="C6545" s="4"/>
      <c r="E6545" s="4" t="str">
        <f t="array" ref="E6545">XLOOKUP(A6545,'Fintech, Regulatory Arbitrage, '!A:A,'Fintech, Regulatory Arbitrage, '!C:C,"")</f>
        <v/>
      </c>
    </row>
    <row r="6546">
      <c r="A6546" s="1" t="s">
        <v>6566</v>
      </c>
      <c r="B6546" s="2">
        <v>1.0</v>
      </c>
      <c r="C6546" s="4"/>
      <c r="E6546" s="4" t="str">
        <f t="array" ref="E6546">XLOOKUP(A6546,'Fintech, Regulatory Arbitrage, '!A:A,'Fintech, Regulatory Arbitrage, '!C:C,"")</f>
        <v/>
      </c>
    </row>
    <row r="6547">
      <c r="A6547" s="1" t="s">
        <v>6567</v>
      </c>
      <c r="B6547" s="2">
        <v>1.0</v>
      </c>
      <c r="C6547" s="4"/>
      <c r="E6547" s="4" t="str">
        <f t="array" ref="E6547">XLOOKUP(A6547,'Fintech, Regulatory Arbitrage, '!A:A,'Fintech, Regulatory Arbitrage, '!C:C,"")</f>
        <v/>
      </c>
    </row>
    <row r="6548">
      <c r="A6548" s="1" t="s">
        <v>6568</v>
      </c>
      <c r="B6548" s="2">
        <v>1.0</v>
      </c>
      <c r="C6548" s="4"/>
      <c r="E6548" s="4" t="str">
        <f t="array" ref="E6548">XLOOKUP(A6548,'Fintech, Regulatory Arbitrage, '!A:A,'Fintech, Regulatory Arbitrage, '!C:C,"")</f>
        <v/>
      </c>
    </row>
    <row r="6549">
      <c r="A6549" s="1" t="s">
        <v>6569</v>
      </c>
      <c r="B6549" s="2">
        <v>1.0</v>
      </c>
      <c r="C6549" s="4"/>
      <c r="E6549" s="4" t="str">
        <f t="array" ref="E6549">XLOOKUP(A6549,'Fintech, Regulatory Arbitrage, '!A:A,'Fintech, Regulatory Arbitrage, '!C:C,"")</f>
        <v/>
      </c>
    </row>
    <row r="6550">
      <c r="A6550" s="1" t="s">
        <v>6570</v>
      </c>
      <c r="B6550" s="2">
        <v>1.0</v>
      </c>
      <c r="C6550" s="4"/>
      <c r="E6550" s="4" t="str">
        <f t="array" ref="E6550">XLOOKUP(A6550,'Fintech, Regulatory Arbitrage, '!A:A,'Fintech, Regulatory Arbitrage, '!C:C,"")</f>
        <v/>
      </c>
    </row>
    <row r="6551">
      <c r="A6551" s="1" t="s">
        <v>6571</v>
      </c>
      <c r="B6551" s="2">
        <v>1.0</v>
      </c>
      <c r="C6551" s="4"/>
      <c r="E6551" s="4" t="str">
        <f t="array" ref="E6551">XLOOKUP(A6551,'Fintech, Regulatory Arbitrage, '!A:A,'Fintech, Regulatory Arbitrage, '!C:C,"")</f>
        <v/>
      </c>
    </row>
    <row r="6552">
      <c r="A6552" s="1" t="s">
        <v>6572</v>
      </c>
      <c r="B6552" s="2">
        <v>1.0</v>
      </c>
      <c r="C6552" s="4"/>
      <c r="E6552" s="4" t="str">
        <f t="array" ref="E6552">XLOOKUP(A6552,'Fintech, Regulatory Arbitrage, '!A:A,'Fintech, Regulatory Arbitrage, '!C:C,"")</f>
        <v/>
      </c>
    </row>
    <row r="6553">
      <c r="A6553" s="1" t="s">
        <v>6573</v>
      </c>
      <c r="B6553" s="2">
        <v>1.0</v>
      </c>
      <c r="C6553" s="4"/>
      <c r="E6553" s="4" t="str">
        <f t="array" ref="E6553">XLOOKUP(A6553,'Fintech, Regulatory Arbitrage, '!A:A,'Fintech, Regulatory Arbitrage, '!C:C,"")</f>
        <v/>
      </c>
    </row>
    <row r="6554">
      <c r="A6554" s="1" t="s">
        <v>6574</v>
      </c>
      <c r="B6554" s="2">
        <v>1.0</v>
      </c>
      <c r="C6554" s="4"/>
      <c r="E6554" s="4" t="str">
        <f t="array" ref="E6554">XLOOKUP(A6554,'Fintech, Regulatory Arbitrage, '!A:A,'Fintech, Regulatory Arbitrage, '!C:C,"")</f>
        <v/>
      </c>
    </row>
    <row r="6555">
      <c r="A6555" s="1" t="s">
        <v>6575</v>
      </c>
      <c r="B6555" s="2">
        <v>1.0</v>
      </c>
      <c r="C6555" s="4"/>
      <c r="E6555" s="4" t="str">
        <f t="array" ref="E6555">XLOOKUP(A6555,'Fintech, Regulatory Arbitrage, '!A:A,'Fintech, Regulatory Arbitrage, '!C:C,"")</f>
        <v/>
      </c>
    </row>
    <row r="6556">
      <c r="A6556" s="1" t="s">
        <v>6576</v>
      </c>
      <c r="B6556" s="2">
        <v>1.0</v>
      </c>
      <c r="C6556" s="4"/>
      <c r="E6556" s="4" t="str">
        <f t="array" ref="E6556">XLOOKUP(A6556,'Fintech, Regulatory Arbitrage, '!A:A,'Fintech, Regulatory Arbitrage, '!C:C,"")</f>
        <v/>
      </c>
    </row>
    <row r="6557">
      <c r="A6557" s="1" t="s">
        <v>6577</v>
      </c>
      <c r="B6557" s="2">
        <v>1.0</v>
      </c>
      <c r="C6557" s="4"/>
      <c r="E6557" s="4" t="str">
        <f t="array" ref="E6557">XLOOKUP(A6557,'Fintech, Regulatory Arbitrage, '!A:A,'Fintech, Regulatory Arbitrage, '!C:C,"")</f>
        <v/>
      </c>
    </row>
    <row r="6558">
      <c r="A6558" s="1" t="s">
        <v>6578</v>
      </c>
      <c r="B6558" s="2">
        <v>1.0</v>
      </c>
      <c r="C6558" s="4"/>
      <c r="E6558" s="4" t="str">
        <f t="array" ref="E6558">XLOOKUP(A6558,'Fintech, Regulatory Arbitrage, '!A:A,'Fintech, Regulatory Arbitrage, '!C:C,"")</f>
        <v/>
      </c>
    </row>
    <row r="6559">
      <c r="A6559" s="1" t="s">
        <v>6579</v>
      </c>
      <c r="B6559" s="2">
        <v>1.0</v>
      </c>
      <c r="C6559" s="4"/>
      <c r="E6559" s="4" t="str">
        <f t="array" ref="E6559">XLOOKUP(A6559,'Fintech, Regulatory Arbitrage, '!A:A,'Fintech, Regulatory Arbitrage, '!C:C,"")</f>
        <v/>
      </c>
    </row>
    <row r="6560">
      <c r="A6560" s="1" t="s">
        <v>6580</v>
      </c>
      <c r="B6560" s="2">
        <v>1.0</v>
      </c>
      <c r="C6560" s="4"/>
      <c r="E6560" s="4" t="str">
        <f t="array" ref="E6560">XLOOKUP(A6560,'Fintech, Regulatory Arbitrage, '!A:A,'Fintech, Regulatory Arbitrage, '!C:C,"")</f>
        <v/>
      </c>
    </row>
    <row r="6561">
      <c r="A6561" s="1" t="s">
        <v>6581</v>
      </c>
      <c r="B6561" s="2">
        <v>1.0</v>
      </c>
      <c r="C6561" s="4"/>
      <c r="E6561" s="4" t="str">
        <f t="array" ref="E6561">XLOOKUP(A6561,'Fintech, Regulatory Arbitrage, '!A:A,'Fintech, Regulatory Arbitrage, '!C:C,"")</f>
        <v/>
      </c>
    </row>
    <row r="6562">
      <c r="A6562" s="1" t="s">
        <v>6582</v>
      </c>
      <c r="B6562" s="2">
        <v>1.0</v>
      </c>
      <c r="C6562" s="4"/>
      <c r="E6562" s="4" t="str">
        <f t="array" ref="E6562">XLOOKUP(A6562,'Fintech, Regulatory Arbitrage, '!A:A,'Fintech, Regulatory Arbitrage, '!C:C,"")</f>
        <v/>
      </c>
    </row>
    <row r="6563">
      <c r="A6563" s="1" t="s">
        <v>6583</v>
      </c>
      <c r="B6563" s="2">
        <v>1.0</v>
      </c>
      <c r="C6563" s="4"/>
      <c r="E6563" s="4" t="str">
        <f t="array" ref="E6563">XLOOKUP(A6563,'Fintech, Regulatory Arbitrage, '!A:A,'Fintech, Regulatory Arbitrage, '!C:C,"")</f>
        <v/>
      </c>
    </row>
    <row r="6564">
      <c r="A6564" s="1" t="s">
        <v>6584</v>
      </c>
      <c r="B6564" s="2">
        <v>1.0</v>
      </c>
      <c r="C6564" s="4"/>
      <c r="E6564" s="4" t="str">
        <f t="array" ref="E6564">XLOOKUP(A6564,'Fintech, Regulatory Arbitrage, '!A:A,'Fintech, Regulatory Arbitrage, '!C:C,"")</f>
        <v/>
      </c>
    </row>
    <row r="6565">
      <c r="A6565" s="1" t="s">
        <v>6585</v>
      </c>
      <c r="B6565" s="2">
        <v>1.0</v>
      </c>
      <c r="C6565" s="4"/>
      <c r="E6565" s="4" t="str">
        <f t="array" ref="E6565">XLOOKUP(A6565,'Fintech, Regulatory Arbitrage, '!A:A,'Fintech, Regulatory Arbitrage, '!C:C,"")</f>
        <v/>
      </c>
    </row>
    <row r="6566">
      <c r="A6566" s="1" t="s">
        <v>6586</v>
      </c>
      <c r="B6566" s="2">
        <v>1.0</v>
      </c>
      <c r="C6566" s="4"/>
      <c r="E6566" s="4" t="str">
        <f t="array" ref="E6566">XLOOKUP(A6566,'Fintech, Regulatory Arbitrage, '!A:A,'Fintech, Regulatory Arbitrage, '!C:C,"")</f>
        <v/>
      </c>
    </row>
    <row r="6567">
      <c r="A6567" s="1" t="s">
        <v>6587</v>
      </c>
      <c r="B6567" s="2">
        <v>1.0</v>
      </c>
      <c r="C6567" s="4"/>
      <c r="E6567" s="4" t="str">
        <f t="array" ref="E6567">XLOOKUP(A6567,'Fintech, Regulatory Arbitrage, '!A:A,'Fintech, Regulatory Arbitrage, '!C:C,"")</f>
        <v/>
      </c>
    </row>
    <row r="6568">
      <c r="A6568" s="1" t="s">
        <v>6588</v>
      </c>
      <c r="B6568" s="2">
        <v>1.0</v>
      </c>
      <c r="C6568" s="4"/>
      <c r="E6568" s="4" t="str">
        <f t="array" ref="E6568">XLOOKUP(A6568,'Fintech, Regulatory Arbitrage, '!A:A,'Fintech, Regulatory Arbitrage, '!C:C,"")</f>
        <v/>
      </c>
    </row>
    <row r="6569">
      <c r="A6569" s="1" t="s">
        <v>6589</v>
      </c>
      <c r="B6569" s="2">
        <v>1.0</v>
      </c>
      <c r="C6569" s="4"/>
      <c r="E6569" s="4" t="str">
        <f t="array" ref="E6569">XLOOKUP(A6569,'Fintech, Regulatory Arbitrage, '!A:A,'Fintech, Regulatory Arbitrage, '!C:C,"")</f>
        <v/>
      </c>
    </row>
    <row r="6570">
      <c r="A6570" s="1" t="s">
        <v>6590</v>
      </c>
      <c r="B6570" s="2">
        <v>1.0</v>
      </c>
      <c r="C6570" s="4"/>
      <c r="E6570" s="4" t="str">
        <f t="array" ref="E6570">XLOOKUP(A6570,'Fintech, Regulatory Arbitrage, '!A:A,'Fintech, Regulatory Arbitrage, '!C:C,"")</f>
        <v/>
      </c>
    </row>
    <row r="6571">
      <c r="A6571" s="1" t="s">
        <v>6591</v>
      </c>
      <c r="B6571" s="2">
        <v>1.0</v>
      </c>
      <c r="C6571" s="4"/>
      <c r="E6571" s="4" t="str">
        <f t="array" ref="E6571">XLOOKUP(A6571,'Fintech, Regulatory Arbitrage, '!A:A,'Fintech, Regulatory Arbitrage, '!C:C,"")</f>
        <v/>
      </c>
    </row>
    <row r="6572">
      <c r="A6572" s="1" t="s">
        <v>6592</v>
      </c>
      <c r="B6572" s="2">
        <v>1.0</v>
      </c>
      <c r="C6572" s="4"/>
      <c r="E6572" s="4" t="str">
        <f t="array" ref="E6572">XLOOKUP(A6572,'Fintech, Regulatory Arbitrage, '!A:A,'Fintech, Regulatory Arbitrage, '!C:C,"")</f>
        <v/>
      </c>
    </row>
    <row r="6573">
      <c r="A6573" s="1" t="s">
        <v>6593</v>
      </c>
      <c r="B6573" s="2">
        <v>1.0</v>
      </c>
      <c r="C6573" s="4"/>
      <c r="E6573" s="4" t="str">
        <f t="array" ref="E6573">XLOOKUP(A6573,'Fintech, Regulatory Arbitrage, '!A:A,'Fintech, Regulatory Arbitrage, '!C:C,"")</f>
        <v/>
      </c>
    </row>
    <row r="6574">
      <c r="A6574" s="1" t="s">
        <v>6594</v>
      </c>
      <c r="B6574" s="2">
        <v>1.0</v>
      </c>
      <c r="C6574" s="4"/>
      <c r="E6574" s="4" t="str">
        <f t="array" ref="E6574">XLOOKUP(A6574,'Fintech, Regulatory Arbitrage, '!A:A,'Fintech, Regulatory Arbitrage, '!C:C,"")</f>
        <v/>
      </c>
    </row>
    <row r="6575">
      <c r="A6575" s="1" t="s">
        <v>6595</v>
      </c>
      <c r="B6575" s="2">
        <v>1.0</v>
      </c>
      <c r="C6575" s="4"/>
      <c r="E6575" s="4" t="str">
        <f t="array" ref="E6575">XLOOKUP(A6575,'Fintech, Regulatory Arbitrage, '!A:A,'Fintech, Regulatory Arbitrage, '!C:C,"")</f>
        <v/>
      </c>
    </row>
    <row r="6576">
      <c r="A6576" s="1" t="s">
        <v>6596</v>
      </c>
      <c r="B6576" s="2">
        <v>1.0</v>
      </c>
      <c r="C6576" s="4"/>
      <c r="E6576" s="4" t="str">
        <f t="array" ref="E6576">XLOOKUP(A6576,'Fintech, Regulatory Arbitrage, '!A:A,'Fintech, Regulatory Arbitrage, '!C:C,"")</f>
        <v/>
      </c>
    </row>
    <row r="6577">
      <c r="A6577" s="1" t="s">
        <v>6597</v>
      </c>
      <c r="B6577" s="2">
        <v>1.0</v>
      </c>
      <c r="C6577" s="4"/>
      <c r="E6577" s="4" t="str">
        <f t="array" ref="E6577">XLOOKUP(A6577,'Fintech, Regulatory Arbitrage, '!A:A,'Fintech, Regulatory Arbitrage, '!C:C,"")</f>
        <v/>
      </c>
    </row>
    <row r="6578">
      <c r="A6578" s="1" t="s">
        <v>6598</v>
      </c>
      <c r="B6578" s="2">
        <v>1.0</v>
      </c>
      <c r="C6578" s="4"/>
      <c r="E6578" s="4" t="str">
        <f t="array" ref="E6578">XLOOKUP(A6578,'Fintech, Regulatory Arbitrage, '!A:A,'Fintech, Regulatory Arbitrage, '!C:C,"")</f>
        <v/>
      </c>
    </row>
    <row r="6579">
      <c r="A6579" s="1" t="s">
        <v>6599</v>
      </c>
      <c r="B6579" s="2">
        <v>1.0</v>
      </c>
      <c r="C6579" s="4"/>
      <c r="E6579" s="4" t="str">
        <f t="array" ref="E6579">XLOOKUP(A6579,'Fintech, Regulatory Arbitrage, '!A:A,'Fintech, Regulatory Arbitrage, '!C:C,"")</f>
        <v/>
      </c>
    </row>
    <row r="6580">
      <c r="A6580" s="1" t="s">
        <v>6600</v>
      </c>
      <c r="B6580" s="2">
        <v>1.0</v>
      </c>
      <c r="C6580" s="4"/>
      <c r="E6580" s="4" t="str">
        <f t="array" ref="E6580">XLOOKUP(A6580,'Fintech, Regulatory Arbitrage, '!A:A,'Fintech, Regulatory Arbitrage, '!C:C,"")</f>
        <v/>
      </c>
    </row>
    <row r="6581">
      <c r="A6581" s="1" t="s">
        <v>6601</v>
      </c>
      <c r="B6581" s="2">
        <v>1.0</v>
      </c>
      <c r="C6581" s="4"/>
      <c r="E6581" s="4" t="str">
        <f t="array" ref="E6581">XLOOKUP(A6581,'Fintech, Regulatory Arbitrage, '!A:A,'Fintech, Regulatory Arbitrage, '!C:C,"")</f>
        <v/>
      </c>
    </row>
    <row r="6582">
      <c r="A6582" s="1" t="s">
        <v>6602</v>
      </c>
      <c r="B6582" s="2">
        <v>1.0</v>
      </c>
      <c r="C6582" s="4"/>
      <c r="E6582" s="4" t="str">
        <f t="array" ref="E6582">XLOOKUP(A6582,'Fintech, Regulatory Arbitrage, '!A:A,'Fintech, Regulatory Arbitrage, '!C:C,"")</f>
        <v/>
      </c>
    </row>
    <row r="6583">
      <c r="A6583" s="1" t="s">
        <v>6603</v>
      </c>
      <c r="B6583" s="2">
        <v>1.0</v>
      </c>
      <c r="C6583" s="4"/>
      <c r="E6583" s="4" t="str">
        <f t="array" ref="E6583">XLOOKUP(A6583,'Fintech, Regulatory Arbitrage, '!A:A,'Fintech, Regulatory Arbitrage, '!C:C,"")</f>
        <v/>
      </c>
    </row>
    <row r="6584">
      <c r="A6584" s="1" t="s">
        <v>6604</v>
      </c>
      <c r="B6584" s="2">
        <v>1.0</v>
      </c>
      <c r="C6584" s="4"/>
      <c r="E6584" s="4" t="str">
        <f t="array" ref="E6584">XLOOKUP(A6584,'Fintech, Regulatory Arbitrage, '!A:A,'Fintech, Regulatory Arbitrage, '!C:C,"")</f>
        <v/>
      </c>
    </row>
    <row r="6585">
      <c r="A6585" s="1" t="s">
        <v>6605</v>
      </c>
      <c r="B6585" s="2">
        <v>1.0</v>
      </c>
      <c r="C6585" s="4"/>
      <c r="E6585" s="4" t="str">
        <f t="array" ref="E6585">XLOOKUP(A6585,'Fintech, Regulatory Arbitrage, '!A:A,'Fintech, Regulatory Arbitrage, '!C:C,"")</f>
        <v/>
      </c>
    </row>
    <row r="6586">
      <c r="A6586" s="1" t="s">
        <v>6606</v>
      </c>
      <c r="B6586" s="2">
        <v>1.0</v>
      </c>
      <c r="C6586" s="4"/>
      <c r="E6586" s="4" t="str">
        <f t="array" ref="E6586">XLOOKUP(A6586,'Fintech, Regulatory Arbitrage, '!A:A,'Fintech, Regulatory Arbitrage, '!C:C,"")</f>
        <v/>
      </c>
    </row>
    <row r="6587">
      <c r="A6587" s="1" t="s">
        <v>6607</v>
      </c>
      <c r="B6587" s="2">
        <v>1.0</v>
      </c>
      <c r="C6587" s="4"/>
      <c r="E6587" s="4" t="str">
        <f t="array" ref="E6587">XLOOKUP(A6587,'Fintech, Regulatory Arbitrage, '!A:A,'Fintech, Regulatory Arbitrage, '!C:C,"")</f>
        <v/>
      </c>
    </row>
    <row r="6588">
      <c r="A6588" s="1" t="s">
        <v>6608</v>
      </c>
      <c r="B6588" s="2">
        <v>1.0</v>
      </c>
      <c r="C6588" s="4"/>
      <c r="E6588" s="4" t="str">
        <f t="array" ref="E6588">XLOOKUP(A6588,'Fintech, Regulatory Arbitrage, '!A:A,'Fintech, Regulatory Arbitrage, '!C:C,"")</f>
        <v/>
      </c>
    </row>
    <row r="6589">
      <c r="A6589" s="1" t="s">
        <v>6609</v>
      </c>
      <c r="B6589" s="2">
        <v>1.0</v>
      </c>
      <c r="C6589" s="4"/>
      <c r="E6589" s="4" t="str">
        <f t="array" ref="E6589">XLOOKUP(A6589,'Fintech, Regulatory Arbitrage, '!A:A,'Fintech, Regulatory Arbitrage, '!C:C,"")</f>
        <v/>
      </c>
    </row>
    <row r="6590">
      <c r="A6590" s="1" t="s">
        <v>6610</v>
      </c>
      <c r="B6590" s="2">
        <v>1.0</v>
      </c>
      <c r="C6590" s="4"/>
      <c r="E6590" s="4" t="str">
        <f t="array" ref="E6590">XLOOKUP(A6590,'Fintech, Regulatory Arbitrage, '!A:A,'Fintech, Regulatory Arbitrage, '!C:C,"")</f>
        <v/>
      </c>
    </row>
    <row r="6591">
      <c r="A6591" s="1" t="s">
        <v>6611</v>
      </c>
      <c r="B6591" s="2">
        <v>1.0</v>
      </c>
      <c r="C6591" s="4"/>
      <c r="E6591" s="4" t="str">
        <f t="array" ref="E6591">XLOOKUP(A6591,'Fintech, Regulatory Arbitrage, '!A:A,'Fintech, Regulatory Arbitrage, '!C:C,"")</f>
        <v/>
      </c>
    </row>
    <row r="6592">
      <c r="A6592" s="1" t="s">
        <v>6612</v>
      </c>
      <c r="B6592" s="2">
        <v>1.0</v>
      </c>
      <c r="C6592" s="4"/>
      <c r="E6592" s="4" t="str">
        <f t="array" ref="E6592">XLOOKUP(A6592,'Fintech, Regulatory Arbitrage, '!A:A,'Fintech, Regulatory Arbitrage, '!C:C,"")</f>
        <v/>
      </c>
    </row>
    <row r="6593">
      <c r="A6593" s="1" t="s">
        <v>6613</v>
      </c>
      <c r="B6593" s="2">
        <v>1.0</v>
      </c>
      <c r="C6593" s="4"/>
      <c r="E6593" s="4" t="str">
        <f t="array" ref="E6593">XLOOKUP(A6593,'Fintech, Regulatory Arbitrage, '!A:A,'Fintech, Regulatory Arbitrage, '!C:C,"")</f>
        <v/>
      </c>
    </row>
    <row r="6594">
      <c r="A6594" s="1" t="s">
        <v>6614</v>
      </c>
      <c r="B6594" s="2">
        <v>1.0</v>
      </c>
      <c r="C6594" s="4"/>
      <c r="E6594" s="4" t="str">
        <f t="array" ref="E6594">XLOOKUP(A6594,'Fintech, Regulatory Arbitrage, '!A:A,'Fintech, Regulatory Arbitrage, '!C:C,"")</f>
        <v/>
      </c>
    </row>
    <row r="6595">
      <c r="A6595" s="1" t="s">
        <v>6615</v>
      </c>
      <c r="B6595" s="2">
        <v>1.0</v>
      </c>
      <c r="C6595" s="4"/>
      <c r="E6595" s="4" t="str">
        <f t="array" ref="E6595">XLOOKUP(A6595,'Fintech, Regulatory Arbitrage, '!A:A,'Fintech, Regulatory Arbitrage, '!C:C,"")</f>
        <v/>
      </c>
    </row>
    <row r="6596">
      <c r="A6596" s="1" t="s">
        <v>6616</v>
      </c>
      <c r="B6596" s="2">
        <v>1.0</v>
      </c>
      <c r="C6596" s="4"/>
      <c r="E6596" s="4" t="str">
        <f t="array" ref="E6596">XLOOKUP(A6596,'Fintech, Regulatory Arbitrage, '!A:A,'Fintech, Regulatory Arbitrage, '!C:C,"")</f>
        <v/>
      </c>
    </row>
    <row r="6597">
      <c r="A6597" s="1" t="s">
        <v>6617</v>
      </c>
      <c r="B6597" s="2">
        <v>1.0</v>
      </c>
      <c r="C6597" s="4"/>
      <c r="E6597" s="4" t="str">
        <f t="array" ref="E6597">XLOOKUP(A6597,'Fintech, Regulatory Arbitrage, '!A:A,'Fintech, Regulatory Arbitrage, '!C:C,"")</f>
        <v/>
      </c>
    </row>
    <row r="6598">
      <c r="A6598" s="1" t="s">
        <v>6618</v>
      </c>
      <c r="B6598" s="2">
        <v>1.0</v>
      </c>
      <c r="C6598" s="4"/>
      <c r="E6598" s="4" t="str">
        <f t="array" ref="E6598">XLOOKUP(A6598,'Fintech, Regulatory Arbitrage, '!A:A,'Fintech, Regulatory Arbitrage, '!C:C,"")</f>
        <v/>
      </c>
    </row>
    <row r="6599">
      <c r="A6599" s="1" t="s">
        <v>6619</v>
      </c>
      <c r="B6599" s="2">
        <v>1.0</v>
      </c>
      <c r="C6599" s="4"/>
      <c r="E6599" s="4" t="str">
        <f t="array" ref="E6599">XLOOKUP(A6599,'Fintech, Regulatory Arbitrage, '!A:A,'Fintech, Regulatory Arbitrage, '!C:C,"")</f>
        <v/>
      </c>
    </row>
    <row r="6600">
      <c r="A6600" s="1" t="s">
        <v>6620</v>
      </c>
      <c r="B6600" s="2">
        <v>1.0</v>
      </c>
      <c r="C6600" s="4"/>
      <c r="E6600" s="4" t="str">
        <f t="array" ref="E6600">XLOOKUP(A6600,'Fintech, Regulatory Arbitrage, '!A:A,'Fintech, Regulatory Arbitrage, '!C:C,"")</f>
        <v/>
      </c>
    </row>
    <row r="6601">
      <c r="A6601" s="1" t="s">
        <v>6621</v>
      </c>
      <c r="B6601" s="2">
        <v>1.0</v>
      </c>
      <c r="C6601" s="4"/>
      <c r="E6601" s="4" t="str">
        <f t="array" ref="E6601">XLOOKUP(A6601,'Fintech, Regulatory Arbitrage, '!A:A,'Fintech, Regulatory Arbitrage, '!C:C,"")</f>
        <v/>
      </c>
    </row>
    <row r="6602">
      <c r="A6602" s="1" t="s">
        <v>6622</v>
      </c>
      <c r="B6602" s="2">
        <v>1.0</v>
      </c>
      <c r="C6602" s="4"/>
      <c r="E6602" s="4" t="str">
        <f t="array" ref="E6602">XLOOKUP(A6602,'Fintech, Regulatory Arbitrage, '!A:A,'Fintech, Regulatory Arbitrage, '!C:C,"")</f>
        <v/>
      </c>
    </row>
    <row r="6603">
      <c r="A6603" s="1" t="s">
        <v>6623</v>
      </c>
      <c r="B6603" s="2">
        <v>1.0</v>
      </c>
      <c r="C6603" s="4"/>
      <c r="E6603" s="4" t="str">
        <f t="array" ref="E6603">XLOOKUP(A6603,'Fintech, Regulatory Arbitrage, '!A:A,'Fintech, Regulatory Arbitrage, '!C:C,"")</f>
        <v/>
      </c>
    </row>
    <row r="6604">
      <c r="A6604" s="1" t="s">
        <v>6624</v>
      </c>
      <c r="B6604" s="2">
        <v>1.0</v>
      </c>
      <c r="C6604" s="4"/>
      <c r="E6604" s="4" t="str">
        <f t="array" ref="E6604">XLOOKUP(A6604,'Fintech, Regulatory Arbitrage, '!A:A,'Fintech, Regulatory Arbitrage, '!C:C,"")</f>
        <v/>
      </c>
    </row>
    <row r="6605">
      <c r="A6605" s="1" t="s">
        <v>6625</v>
      </c>
      <c r="B6605" s="2">
        <v>1.0</v>
      </c>
      <c r="C6605" s="4"/>
      <c r="E6605" s="4" t="str">
        <f t="array" ref="E6605">XLOOKUP(A6605,'Fintech, Regulatory Arbitrage, '!A:A,'Fintech, Regulatory Arbitrage, '!C:C,"")</f>
        <v/>
      </c>
    </row>
    <row r="6606">
      <c r="A6606" s="1" t="s">
        <v>6626</v>
      </c>
      <c r="B6606" s="2">
        <v>1.0</v>
      </c>
      <c r="C6606" s="4"/>
      <c r="E6606" s="4" t="str">
        <f t="array" ref="E6606">XLOOKUP(A6606,'Fintech, Regulatory Arbitrage, '!A:A,'Fintech, Regulatory Arbitrage, '!C:C,"")</f>
        <v/>
      </c>
    </row>
    <row r="6607">
      <c r="A6607" s="1" t="s">
        <v>6627</v>
      </c>
      <c r="B6607" s="2">
        <v>1.0</v>
      </c>
      <c r="C6607" s="4"/>
      <c r="E6607" s="4" t="str">
        <f t="array" ref="E6607">XLOOKUP(A6607,'Fintech, Regulatory Arbitrage, '!A:A,'Fintech, Regulatory Arbitrage, '!C:C,"")</f>
        <v/>
      </c>
    </row>
    <row r="6608">
      <c r="A6608" s="1" t="s">
        <v>6628</v>
      </c>
      <c r="B6608" s="2">
        <v>1.0</v>
      </c>
      <c r="C6608" s="4"/>
      <c r="E6608" s="4" t="str">
        <f t="array" ref="E6608">XLOOKUP(A6608,'Fintech, Regulatory Arbitrage, '!A:A,'Fintech, Regulatory Arbitrage, '!C:C,"")</f>
        <v/>
      </c>
    </row>
    <row r="6609">
      <c r="A6609" s="1" t="s">
        <v>6629</v>
      </c>
      <c r="B6609" s="2">
        <v>1.0</v>
      </c>
      <c r="C6609" s="4"/>
      <c r="E6609" s="4" t="str">
        <f t="array" ref="E6609">XLOOKUP(A6609,'Fintech, Regulatory Arbitrage, '!A:A,'Fintech, Regulatory Arbitrage, '!C:C,"")</f>
        <v/>
      </c>
    </row>
    <row r="6610">
      <c r="A6610" s="1" t="s">
        <v>6630</v>
      </c>
      <c r="B6610" s="2">
        <v>1.0</v>
      </c>
      <c r="C6610" s="4"/>
      <c r="E6610" s="4" t="str">
        <f t="array" ref="E6610">XLOOKUP(A6610,'Fintech, Regulatory Arbitrage, '!A:A,'Fintech, Regulatory Arbitrage, '!C:C,"")</f>
        <v/>
      </c>
    </row>
    <row r="6611">
      <c r="A6611" s="1" t="s">
        <v>6631</v>
      </c>
      <c r="B6611" s="2">
        <v>1.0</v>
      </c>
      <c r="C6611" s="4"/>
      <c r="E6611" s="4" t="str">
        <f t="array" ref="E6611">XLOOKUP(A6611,'Fintech, Regulatory Arbitrage, '!A:A,'Fintech, Regulatory Arbitrage, '!C:C,"")</f>
        <v/>
      </c>
    </row>
    <row r="6612">
      <c r="A6612" s="1" t="s">
        <v>6632</v>
      </c>
      <c r="B6612" s="2">
        <v>1.0</v>
      </c>
      <c r="C6612" s="4"/>
      <c r="E6612" s="4" t="str">
        <f t="array" ref="E6612">XLOOKUP(A6612,'Fintech, Regulatory Arbitrage, '!A:A,'Fintech, Regulatory Arbitrage, '!C:C,"")</f>
        <v/>
      </c>
    </row>
    <row r="6613">
      <c r="A6613" s="1" t="s">
        <v>6633</v>
      </c>
      <c r="B6613" s="2">
        <v>1.0</v>
      </c>
      <c r="C6613" s="4"/>
      <c r="E6613" s="4" t="str">
        <f t="array" ref="E6613">XLOOKUP(A6613,'Fintech, Regulatory Arbitrage, '!A:A,'Fintech, Regulatory Arbitrage, '!C:C,"")</f>
        <v/>
      </c>
    </row>
    <row r="6614">
      <c r="A6614" s="1" t="s">
        <v>6634</v>
      </c>
      <c r="B6614" s="2">
        <v>1.0</v>
      </c>
      <c r="C6614" s="4"/>
      <c r="E6614" s="4" t="str">
        <f t="array" ref="E6614">XLOOKUP(A6614,'Fintech, Regulatory Arbitrage, '!A:A,'Fintech, Regulatory Arbitrage, '!C:C,"")</f>
        <v/>
      </c>
    </row>
    <row r="6615">
      <c r="A6615" s="1" t="s">
        <v>6635</v>
      </c>
      <c r="B6615" s="2">
        <v>1.0</v>
      </c>
      <c r="C6615" s="4"/>
      <c r="E6615" s="4" t="str">
        <f t="array" ref="E6615">XLOOKUP(A6615,'Fintech, Regulatory Arbitrage, '!A:A,'Fintech, Regulatory Arbitrage, '!C:C,"")</f>
        <v/>
      </c>
    </row>
    <row r="6616">
      <c r="A6616" s="1" t="s">
        <v>6636</v>
      </c>
      <c r="B6616" s="2">
        <v>1.0</v>
      </c>
      <c r="C6616" s="4"/>
      <c r="E6616" s="4" t="str">
        <f t="array" ref="E6616">XLOOKUP(A6616,'Fintech, Regulatory Arbitrage, '!A:A,'Fintech, Regulatory Arbitrage, '!C:C,"")</f>
        <v/>
      </c>
    </row>
    <row r="6617">
      <c r="A6617" s="1" t="s">
        <v>6637</v>
      </c>
      <c r="B6617" s="2">
        <v>1.0</v>
      </c>
      <c r="C6617" s="4"/>
      <c r="E6617" s="4" t="str">
        <f t="array" ref="E6617">XLOOKUP(A6617,'Fintech, Regulatory Arbitrage, '!A:A,'Fintech, Regulatory Arbitrage, '!C:C,"")</f>
        <v/>
      </c>
    </row>
    <row r="6618">
      <c r="A6618" s="1" t="s">
        <v>6638</v>
      </c>
      <c r="B6618" s="2">
        <v>1.0</v>
      </c>
      <c r="C6618" s="4"/>
      <c r="E6618" s="4" t="str">
        <f t="array" ref="E6618">XLOOKUP(A6618,'Fintech, Regulatory Arbitrage, '!A:A,'Fintech, Regulatory Arbitrage, '!C:C,"")</f>
        <v/>
      </c>
    </row>
    <row r="6619">
      <c r="A6619" s="1" t="s">
        <v>6639</v>
      </c>
      <c r="B6619" s="2">
        <v>1.0</v>
      </c>
      <c r="C6619" s="4"/>
      <c r="E6619" s="4" t="str">
        <f t="array" ref="E6619">XLOOKUP(A6619,'Fintech, Regulatory Arbitrage, '!A:A,'Fintech, Regulatory Arbitrage, '!C:C,"")</f>
        <v/>
      </c>
    </row>
    <row r="6620">
      <c r="A6620" s="1" t="s">
        <v>6640</v>
      </c>
      <c r="B6620" s="2">
        <v>1.0</v>
      </c>
      <c r="C6620" s="4"/>
      <c r="E6620" s="4" t="str">
        <f t="array" ref="E6620">XLOOKUP(A6620,'Fintech, Regulatory Arbitrage, '!A:A,'Fintech, Regulatory Arbitrage, '!C:C,"")</f>
        <v/>
      </c>
    </row>
    <row r="6621">
      <c r="A6621" s="1" t="s">
        <v>6641</v>
      </c>
      <c r="B6621" s="2">
        <v>1.0</v>
      </c>
      <c r="C6621" s="4"/>
      <c r="E6621" s="4" t="str">
        <f t="array" ref="E6621">XLOOKUP(A6621,'Fintech, Regulatory Arbitrage, '!A:A,'Fintech, Regulatory Arbitrage, '!C:C,"")</f>
        <v/>
      </c>
    </row>
    <row r="6622">
      <c r="A6622" s="1" t="s">
        <v>6642</v>
      </c>
      <c r="B6622" s="2">
        <v>1.0</v>
      </c>
      <c r="C6622" s="4"/>
      <c r="E6622" s="4" t="str">
        <f t="array" ref="E6622">XLOOKUP(A6622,'Fintech, Regulatory Arbitrage, '!A:A,'Fintech, Regulatory Arbitrage, '!C:C,"")</f>
        <v/>
      </c>
    </row>
    <row r="6623">
      <c r="A6623" s="1" t="s">
        <v>6643</v>
      </c>
      <c r="B6623" s="2">
        <v>1.0</v>
      </c>
      <c r="C6623" s="4"/>
      <c r="E6623" s="4" t="str">
        <f t="array" ref="E6623">XLOOKUP(A6623,'Fintech, Regulatory Arbitrage, '!A:A,'Fintech, Regulatory Arbitrage, '!C:C,"")</f>
        <v/>
      </c>
    </row>
    <row r="6624">
      <c r="A6624" s="1" t="s">
        <v>6644</v>
      </c>
      <c r="B6624" s="2">
        <v>1.0</v>
      </c>
      <c r="C6624" s="4"/>
      <c r="E6624" s="4" t="str">
        <f t="array" ref="E6624">XLOOKUP(A6624,'Fintech, Regulatory Arbitrage, '!A:A,'Fintech, Regulatory Arbitrage, '!C:C,"")</f>
        <v/>
      </c>
    </row>
    <row r="6625">
      <c r="A6625" s="1" t="s">
        <v>6645</v>
      </c>
      <c r="B6625" s="2">
        <v>1.0</v>
      </c>
      <c r="C6625" s="4"/>
      <c r="E6625" s="4" t="str">
        <f t="array" ref="E6625">XLOOKUP(A6625,'Fintech, Regulatory Arbitrage, '!A:A,'Fintech, Regulatory Arbitrage, '!C:C,"")</f>
        <v/>
      </c>
    </row>
    <row r="6626">
      <c r="A6626" s="1" t="s">
        <v>6646</v>
      </c>
      <c r="B6626" s="2">
        <v>1.0</v>
      </c>
      <c r="C6626" s="4"/>
      <c r="E6626" s="4" t="str">
        <f t="array" ref="E6626">XLOOKUP(A6626,'Fintech, Regulatory Arbitrage, '!A:A,'Fintech, Regulatory Arbitrage, '!C:C,"")</f>
        <v/>
      </c>
    </row>
    <row r="6627">
      <c r="A6627" s="1" t="s">
        <v>6647</v>
      </c>
      <c r="B6627" s="2">
        <v>1.0</v>
      </c>
      <c r="C6627" s="4"/>
      <c r="E6627" s="4" t="str">
        <f t="array" ref="E6627">XLOOKUP(A6627,'Fintech, Regulatory Arbitrage, '!A:A,'Fintech, Regulatory Arbitrage, '!C:C,"")</f>
        <v/>
      </c>
    </row>
    <row r="6628">
      <c r="A6628" s="1" t="s">
        <v>6648</v>
      </c>
      <c r="B6628" s="2">
        <v>1.0</v>
      </c>
      <c r="C6628" s="4"/>
      <c r="E6628" s="4" t="str">
        <f t="array" ref="E6628">XLOOKUP(A6628,'Fintech, Regulatory Arbitrage, '!A:A,'Fintech, Regulatory Arbitrage, '!C:C,"")</f>
        <v/>
      </c>
    </row>
    <row r="6629">
      <c r="A6629" s="1" t="s">
        <v>6649</v>
      </c>
      <c r="B6629" s="2">
        <v>1.0</v>
      </c>
      <c r="C6629" s="4"/>
      <c r="E6629" s="4" t="str">
        <f t="array" ref="E6629">XLOOKUP(A6629,'Fintech, Regulatory Arbitrage, '!A:A,'Fintech, Regulatory Arbitrage, '!C:C,"")</f>
        <v/>
      </c>
    </row>
    <row r="6630">
      <c r="A6630" s="1" t="s">
        <v>6650</v>
      </c>
      <c r="B6630" s="2">
        <v>1.0</v>
      </c>
      <c r="C6630" s="4"/>
      <c r="E6630" s="4" t="str">
        <f t="array" ref="E6630">XLOOKUP(A6630,'Fintech, Regulatory Arbitrage, '!A:A,'Fintech, Regulatory Arbitrage, '!C:C,"")</f>
        <v/>
      </c>
    </row>
    <row r="6631">
      <c r="A6631" s="1" t="s">
        <v>6651</v>
      </c>
      <c r="B6631" s="2">
        <v>1.0</v>
      </c>
      <c r="C6631" s="4"/>
      <c r="E6631" s="4" t="str">
        <f t="array" ref="E6631">XLOOKUP(A6631,'Fintech, Regulatory Arbitrage, '!A:A,'Fintech, Regulatory Arbitrage, '!C:C,"")</f>
        <v/>
      </c>
    </row>
    <row r="6632">
      <c r="A6632" s="1" t="s">
        <v>6652</v>
      </c>
      <c r="B6632" s="2">
        <v>1.0</v>
      </c>
      <c r="C6632" s="4"/>
      <c r="E6632" s="4" t="str">
        <f t="array" ref="E6632">XLOOKUP(A6632,'Fintech, Regulatory Arbitrage, '!A:A,'Fintech, Regulatory Arbitrage, '!C:C,"")</f>
        <v/>
      </c>
    </row>
    <row r="6633">
      <c r="A6633" s="1" t="s">
        <v>6653</v>
      </c>
      <c r="B6633" s="2">
        <v>1.0</v>
      </c>
      <c r="C6633" s="4"/>
      <c r="E6633" s="4" t="str">
        <f t="array" ref="E6633">XLOOKUP(A6633,'Fintech, Regulatory Arbitrage, '!A:A,'Fintech, Regulatory Arbitrage, '!C:C,"")</f>
        <v/>
      </c>
    </row>
    <row r="6634">
      <c r="A6634" s="1" t="s">
        <v>6654</v>
      </c>
      <c r="B6634" s="2">
        <v>1.0</v>
      </c>
      <c r="C6634" s="4"/>
      <c r="E6634" s="4" t="str">
        <f t="array" ref="E6634">XLOOKUP(A6634,'Fintech, Regulatory Arbitrage, '!A:A,'Fintech, Regulatory Arbitrage, '!C:C,"")</f>
        <v/>
      </c>
    </row>
    <row r="6635">
      <c r="A6635" s="1" t="s">
        <v>6655</v>
      </c>
      <c r="B6635" s="2">
        <v>1.0</v>
      </c>
      <c r="C6635" s="4"/>
      <c r="E6635" s="4" t="str">
        <f t="array" ref="E6635">XLOOKUP(A6635,'Fintech, Regulatory Arbitrage, '!A:A,'Fintech, Regulatory Arbitrage, '!C:C,"")</f>
        <v/>
      </c>
    </row>
    <row r="6636">
      <c r="A6636" s="1" t="s">
        <v>6656</v>
      </c>
      <c r="B6636" s="2">
        <v>1.0</v>
      </c>
      <c r="C6636" s="4"/>
      <c r="E6636" s="4" t="str">
        <f t="array" ref="E6636">XLOOKUP(A6636,'Fintech, Regulatory Arbitrage, '!A:A,'Fintech, Regulatory Arbitrage, '!C:C,"")</f>
        <v/>
      </c>
    </row>
    <row r="6637">
      <c r="A6637" s="1" t="s">
        <v>6657</v>
      </c>
      <c r="B6637" s="2">
        <v>1.0</v>
      </c>
      <c r="C6637" s="4"/>
      <c r="E6637" s="4" t="str">
        <f t="array" ref="E6637">XLOOKUP(A6637,'Fintech, Regulatory Arbitrage, '!A:A,'Fintech, Regulatory Arbitrage, '!C:C,"")</f>
        <v/>
      </c>
    </row>
    <row r="6638">
      <c r="A6638" s="1" t="s">
        <v>6658</v>
      </c>
      <c r="B6638" s="2">
        <v>1.0</v>
      </c>
      <c r="C6638" s="4"/>
      <c r="E6638" s="4" t="str">
        <f t="array" ref="E6638">XLOOKUP(A6638,'Fintech, Regulatory Arbitrage, '!A:A,'Fintech, Regulatory Arbitrage, '!C:C,"")</f>
        <v/>
      </c>
    </row>
    <row r="6639">
      <c r="A6639" s="1" t="s">
        <v>6659</v>
      </c>
      <c r="B6639" s="2">
        <v>1.0</v>
      </c>
      <c r="C6639" s="4"/>
      <c r="E6639" s="4" t="str">
        <f t="array" ref="E6639">XLOOKUP(A6639,'Fintech, Regulatory Arbitrage, '!A:A,'Fintech, Regulatory Arbitrage, '!C:C,"")</f>
        <v/>
      </c>
    </row>
    <row r="6640">
      <c r="A6640" s="1" t="s">
        <v>6660</v>
      </c>
      <c r="B6640" s="2">
        <v>1.0</v>
      </c>
      <c r="C6640" s="4"/>
      <c r="E6640" s="4" t="str">
        <f t="array" ref="E6640">XLOOKUP(A6640,'Fintech, Regulatory Arbitrage, '!A:A,'Fintech, Regulatory Arbitrage, '!C:C,"")</f>
        <v/>
      </c>
    </row>
    <row r="6641">
      <c r="A6641" s="1" t="s">
        <v>6661</v>
      </c>
      <c r="B6641" s="2">
        <v>1.0</v>
      </c>
      <c r="C6641" s="4"/>
      <c r="E6641" s="4" t="str">
        <f t="array" ref="E6641">XLOOKUP(A6641,'Fintech, Regulatory Arbitrage, '!A:A,'Fintech, Regulatory Arbitrage, '!C:C,"")</f>
        <v/>
      </c>
    </row>
    <row r="6642">
      <c r="A6642" s="1" t="s">
        <v>6662</v>
      </c>
      <c r="B6642" s="2">
        <v>1.0</v>
      </c>
      <c r="C6642" s="4"/>
      <c r="E6642" s="4" t="str">
        <f t="array" ref="E6642">XLOOKUP(A6642,'Fintech, Regulatory Arbitrage, '!A:A,'Fintech, Regulatory Arbitrage, '!C:C,"")</f>
        <v/>
      </c>
    </row>
    <row r="6643">
      <c r="A6643" s="1" t="s">
        <v>6663</v>
      </c>
      <c r="B6643" s="2">
        <v>1.0</v>
      </c>
      <c r="C6643" s="4"/>
      <c r="E6643" s="4" t="str">
        <f t="array" ref="E6643">XLOOKUP(A6643,'Fintech, Regulatory Arbitrage, '!A:A,'Fintech, Regulatory Arbitrage, '!C:C,"")</f>
        <v/>
      </c>
    </row>
    <row r="6644">
      <c r="A6644" s="1" t="s">
        <v>6664</v>
      </c>
      <c r="B6644" s="2">
        <v>1.0</v>
      </c>
      <c r="C6644" s="4"/>
      <c r="E6644" s="4" t="str">
        <f t="array" ref="E6644">XLOOKUP(A6644,'Fintech, Regulatory Arbitrage, '!A:A,'Fintech, Regulatory Arbitrage, '!C:C,"")</f>
        <v/>
      </c>
    </row>
    <row r="6645">
      <c r="A6645" s="1" t="s">
        <v>6665</v>
      </c>
      <c r="B6645" s="2">
        <v>1.0</v>
      </c>
      <c r="C6645" s="4"/>
      <c r="E6645" s="4" t="str">
        <f t="array" ref="E6645">XLOOKUP(A6645,'Fintech, Regulatory Arbitrage, '!A:A,'Fintech, Regulatory Arbitrage, '!C:C,"")</f>
        <v/>
      </c>
    </row>
    <row r="6646">
      <c r="A6646" s="1" t="s">
        <v>6666</v>
      </c>
      <c r="B6646" s="2">
        <v>1.0</v>
      </c>
      <c r="C6646" s="4"/>
      <c r="E6646" s="4" t="str">
        <f t="array" ref="E6646">XLOOKUP(A6646,'Fintech, Regulatory Arbitrage, '!A:A,'Fintech, Regulatory Arbitrage, '!C:C,"")</f>
        <v/>
      </c>
    </row>
    <row r="6647">
      <c r="A6647" s="1" t="s">
        <v>6667</v>
      </c>
      <c r="B6647" s="2">
        <v>1.0</v>
      </c>
      <c r="C6647" s="4"/>
      <c r="E6647" s="4" t="str">
        <f t="array" ref="E6647">XLOOKUP(A6647,'Fintech, Regulatory Arbitrage, '!A:A,'Fintech, Regulatory Arbitrage, '!C:C,"")</f>
        <v/>
      </c>
    </row>
    <row r="6648">
      <c r="A6648" s="1" t="s">
        <v>6668</v>
      </c>
      <c r="B6648" s="2">
        <v>1.0</v>
      </c>
      <c r="C6648" s="4"/>
      <c r="E6648" s="4" t="str">
        <f t="array" ref="E6648">XLOOKUP(A6648,'Fintech, Regulatory Arbitrage, '!A:A,'Fintech, Regulatory Arbitrage, '!C:C,"")</f>
        <v/>
      </c>
    </row>
    <row r="6649">
      <c r="A6649" s="1" t="s">
        <v>6669</v>
      </c>
      <c r="B6649" s="2">
        <v>1.0</v>
      </c>
      <c r="C6649" s="4"/>
      <c r="E6649" s="4" t="str">
        <f t="array" ref="E6649">XLOOKUP(A6649,'Fintech, Regulatory Arbitrage, '!A:A,'Fintech, Regulatory Arbitrage, '!C:C,"")</f>
        <v/>
      </c>
    </row>
    <row r="6650">
      <c r="A6650" s="1" t="s">
        <v>6670</v>
      </c>
      <c r="B6650" s="2">
        <v>1.0</v>
      </c>
      <c r="C6650" s="4"/>
      <c r="E6650" s="4" t="str">
        <f t="array" ref="E6650">XLOOKUP(A6650,'Fintech, Regulatory Arbitrage, '!A:A,'Fintech, Regulatory Arbitrage, '!C:C,"")</f>
        <v/>
      </c>
    </row>
    <row r="6651">
      <c r="A6651" s="1" t="s">
        <v>6671</v>
      </c>
      <c r="B6651" s="2">
        <v>1.0</v>
      </c>
      <c r="C6651" s="4"/>
      <c r="E6651" s="4" t="str">
        <f t="array" ref="E6651">XLOOKUP(A6651,'Fintech, Regulatory Arbitrage, '!A:A,'Fintech, Regulatory Arbitrage, '!C:C,"")</f>
        <v/>
      </c>
    </row>
    <row r="6652">
      <c r="A6652" s="1" t="s">
        <v>6672</v>
      </c>
      <c r="B6652" s="2">
        <v>1.0</v>
      </c>
      <c r="C6652" s="4"/>
      <c r="E6652" s="4" t="str">
        <f t="array" ref="E6652">XLOOKUP(A6652,'Fintech, Regulatory Arbitrage, '!A:A,'Fintech, Regulatory Arbitrage, '!C:C,"")</f>
        <v/>
      </c>
    </row>
    <row r="6653">
      <c r="A6653" s="1" t="s">
        <v>6673</v>
      </c>
      <c r="B6653" s="2">
        <v>1.0</v>
      </c>
      <c r="C6653" s="4"/>
      <c r="E6653" s="4" t="str">
        <f t="array" ref="E6653">XLOOKUP(A6653,'Fintech, Regulatory Arbitrage, '!A:A,'Fintech, Regulatory Arbitrage, '!C:C,"")</f>
        <v/>
      </c>
    </row>
    <row r="6654">
      <c r="A6654" s="1" t="s">
        <v>6674</v>
      </c>
      <c r="B6654" s="2">
        <v>1.0</v>
      </c>
      <c r="C6654" s="4"/>
      <c r="E6654" s="4" t="str">
        <f t="array" ref="E6654">XLOOKUP(A6654,'Fintech, Regulatory Arbitrage, '!A:A,'Fintech, Regulatory Arbitrage, '!C:C,"")</f>
        <v/>
      </c>
    </row>
    <row r="6655">
      <c r="A6655" s="1" t="s">
        <v>6675</v>
      </c>
      <c r="B6655" s="2">
        <v>1.0</v>
      </c>
      <c r="C6655" s="4"/>
      <c r="E6655" s="4" t="str">
        <f t="array" ref="E6655">XLOOKUP(A6655,'Fintech, Regulatory Arbitrage, '!A:A,'Fintech, Regulatory Arbitrage, '!C:C,"")</f>
        <v/>
      </c>
    </row>
    <row r="6656">
      <c r="A6656" s="1" t="s">
        <v>6676</v>
      </c>
      <c r="B6656" s="2">
        <v>1.0</v>
      </c>
      <c r="C6656" s="4"/>
      <c r="E6656" s="4" t="str">
        <f t="array" ref="E6656">XLOOKUP(A6656,'Fintech, Regulatory Arbitrage, '!A:A,'Fintech, Regulatory Arbitrage, '!C:C,"")</f>
        <v/>
      </c>
    </row>
    <row r="6657">
      <c r="A6657" s="1" t="s">
        <v>6677</v>
      </c>
      <c r="B6657" s="2">
        <v>1.0</v>
      </c>
      <c r="C6657" s="4"/>
      <c r="E6657" s="4" t="str">
        <f t="array" ref="E6657">XLOOKUP(A6657,'Fintech, Regulatory Arbitrage, '!A:A,'Fintech, Regulatory Arbitrage, '!C:C,"")</f>
        <v/>
      </c>
    </row>
    <row r="6658">
      <c r="A6658" s="1" t="s">
        <v>6678</v>
      </c>
      <c r="B6658" s="2">
        <v>1.0</v>
      </c>
      <c r="C6658" s="4"/>
      <c r="E6658" s="4" t="str">
        <f t="array" ref="E6658">XLOOKUP(A6658,'Fintech, Regulatory Arbitrage, '!A:A,'Fintech, Regulatory Arbitrage, '!C:C,"")</f>
        <v/>
      </c>
    </row>
    <row r="6659">
      <c r="A6659" s="1" t="s">
        <v>6679</v>
      </c>
      <c r="B6659" s="2">
        <v>1.0</v>
      </c>
      <c r="C6659" s="4"/>
      <c r="E6659" s="4" t="str">
        <f t="array" ref="E6659">XLOOKUP(A6659,'Fintech, Regulatory Arbitrage, '!A:A,'Fintech, Regulatory Arbitrage, '!C:C,"")</f>
        <v/>
      </c>
    </row>
    <row r="6660">
      <c r="A6660" s="1" t="s">
        <v>6680</v>
      </c>
      <c r="B6660" s="2">
        <v>1.0</v>
      </c>
      <c r="C6660" s="4"/>
      <c r="E6660" s="4" t="str">
        <f t="array" ref="E6660">XLOOKUP(A6660,'Fintech, Regulatory Arbitrage, '!A:A,'Fintech, Regulatory Arbitrage, '!C:C,"")</f>
        <v/>
      </c>
    </row>
    <row r="6661">
      <c r="A6661" s="1" t="s">
        <v>6681</v>
      </c>
      <c r="B6661" s="2">
        <v>1.0</v>
      </c>
      <c r="C6661" s="4"/>
      <c r="E6661" s="4" t="str">
        <f t="array" ref="E6661">XLOOKUP(A6661,'Fintech, Regulatory Arbitrage, '!A:A,'Fintech, Regulatory Arbitrage, '!C:C,"")</f>
        <v/>
      </c>
    </row>
    <row r="6662">
      <c r="A6662" s="1" t="s">
        <v>6682</v>
      </c>
      <c r="B6662" s="2">
        <v>1.0</v>
      </c>
      <c r="C6662" s="4"/>
      <c r="E6662" s="4" t="str">
        <f t="array" ref="E6662">XLOOKUP(A6662,'Fintech, Regulatory Arbitrage, '!A:A,'Fintech, Regulatory Arbitrage, '!C:C,"")</f>
        <v/>
      </c>
    </row>
    <row r="6663">
      <c r="A6663" s="1" t="s">
        <v>6683</v>
      </c>
      <c r="B6663" s="2">
        <v>1.0</v>
      </c>
      <c r="C6663" s="4"/>
      <c r="E6663" s="4" t="str">
        <f t="array" ref="E6663">XLOOKUP(A6663,'Fintech, Regulatory Arbitrage, '!A:A,'Fintech, Regulatory Arbitrage, '!C:C,"")</f>
        <v/>
      </c>
    </row>
    <row r="6664">
      <c r="A6664" s="1" t="s">
        <v>6684</v>
      </c>
      <c r="B6664" s="2">
        <v>1.0</v>
      </c>
      <c r="C6664" s="4"/>
      <c r="E6664" s="4" t="str">
        <f t="array" ref="E6664">XLOOKUP(A6664,'Fintech, Regulatory Arbitrage, '!A:A,'Fintech, Regulatory Arbitrage, '!C:C,"")</f>
        <v/>
      </c>
    </row>
    <row r="6665">
      <c r="A6665" s="1" t="s">
        <v>6685</v>
      </c>
      <c r="B6665" s="2">
        <v>1.0</v>
      </c>
      <c r="C6665" s="4"/>
      <c r="E6665" s="4" t="str">
        <f t="array" ref="E6665">XLOOKUP(A6665,'Fintech, Regulatory Arbitrage, '!A:A,'Fintech, Regulatory Arbitrage, '!C:C,"")</f>
        <v/>
      </c>
    </row>
    <row r="6666">
      <c r="A6666" s="1" t="s">
        <v>6686</v>
      </c>
      <c r="B6666" s="2">
        <v>1.0</v>
      </c>
      <c r="C6666" s="4"/>
      <c r="E6666" s="4" t="str">
        <f t="array" ref="E6666">XLOOKUP(A6666,'Fintech, Regulatory Arbitrage, '!A:A,'Fintech, Regulatory Arbitrage, '!C:C,"")</f>
        <v/>
      </c>
    </row>
    <row r="6667">
      <c r="A6667" s="1" t="s">
        <v>6687</v>
      </c>
      <c r="B6667" s="2">
        <v>1.0</v>
      </c>
      <c r="C6667" s="4"/>
      <c r="E6667" s="4" t="str">
        <f t="array" ref="E6667">XLOOKUP(A6667,'Fintech, Regulatory Arbitrage, '!A:A,'Fintech, Regulatory Arbitrage, '!C:C,"")</f>
        <v/>
      </c>
    </row>
    <row r="6668">
      <c r="A6668" s="1" t="s">
        <v>6688</v>
      </c>
      <c r="B6668" s="2">
        <v>1.0</v>
      </c>
      <c r="C6668" s="4"/>
      <c r="E6668" s="4" t="str">
        <f t="array" ref="E6668">XLOOKUP(A6668,'Fintech, Regulatory Arbitrage, '!A:A,'Fintech, Regulatory Arbitrage, '!C:C,"")</f>
        <v/>
      </c>
    </row>
    <row r="6669">
      <c r="A6669" s="1" t="s">
        <v>6689</v>
      </c>
      <c r="B6669" s="2">
        <v>1.0</v>
      </c>
      <c r="C6669" s="4"/>
      <c r="E6669" s="4" t="str">
        <f t="array" ref="E6669">XLOOKUP(A6669,'Fintech, Regulatory Arbitrage, '!A:A,'Fintech, Regulatory Arbitrage, '!C:C,"")</f>
        <v/>
      </c>
    </row>
    <row r="6670">
      <c r="A6670" s="1" t="s">
        <v>6690</v>
      </c>
      <c r="B6670" s="2">
        <v>1.0</v>
      </c>
      <c r="C6670" s="4"/>
      <c r="E6670" s="4" t="str">
        <f t="array" ref="E6670">XLOOKUP(A6670,'Fintech, Regulatory Arbitrage, '!A:A,'Fintech, Regulatory Arbitrage, '!C:C,"")</f>
        <v/>
      </c>
    </row>
    <row r="6671">
      <c r="A6671" s="1" t="s">
        <v>6691</v>
      </c>
      <c r="B6671" s="2">
        <v>1.0</v>
      </c>
      <c r="C6671" s="4"/>
      <c r="E6671" s="4" t="str">
        <f t="array" ref="E6671">XLOOKUP(A6671,'Fintech, Regulatory Arbitrage, '!A:A,'Fintech, Regulatory Arbitrage, '!C:C,"")</f>
        <v/>
      </c>
    </row>
    <row r="6672">
      <c r="A6672" s="1" t="s">
        <v>6692</v>
      </c>
      <c r="B6672" s="2">
        <v>1.0</v>
      </c>
      <c r="C6672" s="4"/>
      <c r="E6672" s="4" t="str">
        <f t="array" ref="E6672">XLOOKUP(A6672,'Fintech, Regulatory Arbitrage, '!A:A,'Fintech, Regulatory Arbitrage, '!C:C,"")</f>
        <v/>
      </c>
    </row>
    <row r="6673">
      <c r="A6673" s="1" t="s">
        <v>6693</v>
      </c>
      <c r="B6673" s="2">
        <v>1.0</v>
      </c>
      <c r="C6673" s="4"/>
      <c r="E6673" s="4" t="str">
        <f t="array" ref="E6673">XLOOKUP(A6673,'Fintech, Regulatory Arbitrage, '!A:A,'Fintech, Regulatory Arbitrage, '!C:C,"")</f>
        <v/>
      </c>
    </row>
    <row r="6674">
      <c r="A6674" s="1" t="s">
        <v>6694</v>
      </c>
      <c r="B6674" s="2">
        <v>1.0</v>
      </c>
      <c r="C6674" s="4"/>
      <c r="E6674" s="4" t="str">
        <f t="array" ref="E6674">XLOOKUP(A6674,'Fintech, Regulatory Arbitrage, '!A:A,'Fintech, Regulatory Arbitrage, '!C:C,"")</f>
        <v/>
      </c>
    </row>
    <row r="6675">
      <c r="A6675" s="1" t="s">
        <v>6695</v>
      </c>
      <c r="B6675" s="2">
        <v>1.0</v>
      </c>
      <c r="C6675" s="4"/>
      <c r="E6675" s="4" t="str">
        <f t="array" ref="E6675">XLOOKUP(A6675,'Fintech, Regulatory Arbitrage, '!A:A,'Fintech, Regulatory Arbitrage, '!C:C,"")</f>
        <v/>
      </c>
    </row>
    <row r="6676">
      <c r="A6676" s="1" t="s">
        <v>6696</v>
      </c>
      <c r="B6676" s="2">
        <v>1.0</v>
      </c>
      <c r="C6676" s="4"/>
      <c r="E6676" s="4" t="str">
        <f t="array" ref="E6676">XLOOKUP(A6676,'Fintech, Regulatory Arbitrage, '!A:A,'Fintech, Regulatory Arbitrage, '!C:C,"")</f>
        <v/>
      </c>
    </row>
    <row r="6677">
      <c r="A6677" s="1" t="s">
        <v>6697</v>
      </c>
      <c r="B6677" s="2">
        <v>1.0</v>
      </c>
      <c r="C6677" s="4"/>
      <c r="E6677" s="4" t="str">
        <f t="array" ref="E6677">XLOOKUP(A6677,'Fintech, Regulatory Arbitrage, '!A:A,'Fintech, Regulatory Arbitrage, '!C:C,"")</f>
        <v/>
      </c>
    </row>
    <row r="6678">
      <c r="A6678" s="1" t="s">
        <v>6698</v>
      </c>
      <c r="B6678" s="2">
        <v>1.0</v>
      </c>
      <c r="C6678" s="4"/>
      <c r="E6678" s="4" t="str">
        <f t="array" ref="E6678">XLOOKUP(A6678,'Fintech, Regulatory Arbitrage, '!A:A,'Fintech, Regulatory Arbitrage, '!C:C,"")</f>
        <v/>
      </c>
    </row>
    <row r="6679">
      <c r="A6679" s="1" t="s">
        <v>6699</v>
      </c>
      <c r="B6679" s="2">
        <v>1.0</v>
      </c>
      <c r="C6679" s="4"/>
      <c r="E6679" s="4" t="str">
        <f t="array" ref="E6679">XLOOKUP(A6679,'Fintech, Regulatory Arbitrage, '!A:A,'Fintech, Regulatory Arbitrage, '!C:C,"")</f>
        <v/>
      </c>
    </row>
    <row r="6680">
      <c r="A6680" s="1" t="s">
        <v>6700</v>
      </c>
      <c r="B6680" s="2">
        <v>1.0</v>
      </c>
      <c r="C6680" s="4"/>
      <c r="E6680" s="4" t="str">
        <f t="array" ref="E6680">XLOOKUP(A6680,'Fintech, Regulatory Arbitrage, '!A:A,'Fintech, Regulatory Arbitrage, '!C:C,"")</f>
        <v/>
      </c>
    </row>
    <row r="6681">
      <c r="A6681" s="1" t="s">
        <v>6701</v>
      </c>
      <c r="B6681" s="2">
        <v>1.0</v>
      </c>
      <c r="C6681" s="4"/>
      <c r="E6681" s="4" t="str">
        <f t="array" ref="E6681">XLOOKUP(A6681,'Fintech, Regulatory Arbitrage, '!A:A,'Fintech, Regulatory Arbitrage, '!C:C,"")</f>
        <v/>
      </c>
    </row>
    <row r="6682">
      <c r="A6682" s="1" t="s">
        <v>6702</v>
      </c>
      <c r="B6682" s="2">
        <v>1.0</v>
      </c>
      <c r="C6682" s="4"/>
      <c r="E6682" s="4" t="str">
        <f t="array" ref="E6682">XLOOKUP(A6682,'Fintech, Regulatory Arbitrage, '!A:A,'Fintech, Regulatory Arbitrage, '!C:C,"")</f>
        <v/>
      </c>
    </row>
    <row r="6683">
      <c r="A6683" s="1" t="s">
        <v>6703</v>
      </c>
      <c r="B6683" s="2">
        <v>1.0</v>
      </c>
      <c r="C6683" s="4"/>
      <c r="E6683" s="4" t="str">
        <f t="array" ref="E6683">XLOOKUP(A6683,'Fintech, Regulatory Arbitrage, '!A:A,'Fintech, Regulatory Arbitrage, '!C:C,"")</f>
        <v/>
      </c>
    </row>
    <row r="6684">
      <c r="A6684" s="1" t="s">
        <v>6704</v>
      </c>
      <c r="B6684" s="2">
        <v>1.0</v>
      </c>
      <c r="C6684" s="4"/>
      <c r="E6684" s="4" t="str">
        <f t="array" ref="E6684">XLOOKUP(A6684,'Fintech, Regulatory Arbitrage, '!A:A,'Fintech, Regulatory Arbitrage, '!C:C,"")</f>
        <v/>
      </c>
    </row>
    <row r="6685">
      <c r="A6685" s="1" t="s">
        <v>6705</v>
      </c>
      <c r="B6685" s="2">
        <v>1.0</v>
      </c>
      <c r="C6685" s="4"/>
      <c r="E6685" s="4" t="str">
        <f t="array" ref="E6685">XLOOKUP(A6685,'Fintech, Regulatory Arbitrage, '!A:A,'Fintech, Regulatory Arbitrage, '!C:C,"")</f>
        <v/>
      </c>
    </row>
    <row r="6686">
      <c r="A6686" s="1" t="s">
        <v>6706</v>
      </c>
      <c r="B6686" s="2">
        <v>1.0</v>
      </c>
      <c r="C6686" s="4"/>
      <c r="E6686" s="4" t="str">
        <f t="array" ref="E6686">XLOOKUP(A6686,'Fintech, Regulatory Arbitrage, '!A:A,'Fintech, Regulatory Arbitrage, '!C:C,"")</f>
        <v/>
      </c>
    </row>
    <row r="6687">
      <c r="A6687" s="1" t="s">
        <v>6707</v>
      </c>
      <c r="B6687" s="2">
        <v>1.0</v>
      </c>
      <c r="C6687" s="4"/>
      <c r="E6687" s="4" t="str">
        <f t="array" ref="E6687">XLOOKUP(A6687,'Fintech, Regulatory Arbitrage, '!A:A,'Fintech, Regulatory Arbitrage, '!C:C,"")</f>
        <v/>
      </c>
    </row>
    <row r="6688">
      <c r="A6688" s="1" t="s">
        <v>6708</v>
      </c>
      <c r="B6688" s="2">
        <v>1.0</v>
      </c>
      <c r="C6688" s="4"/>
      <c r="E6688" s="4" t="str">
        <f t="array" ref="E6688">XLOOKUP(A6688,'Fintech, Regulatory Arbitrage, '!A:A,'Fintech, Regulatory Arbitrage, '!C:C,"")</f>
        <v/>
      </c>
    </row>
    <row r="6689">
      <c r="A6689" s="1" t="s">
        <v>6709</v>
      </c>
      <c r="B6689" s="2">
        <v>1.0</v>
      </c>
      <c r="C6689" s="4"/>
      <c r="E6689" s="4" t="str">
        <f t="array" ref="E6689">XLOOKUP(A6689,'Fintech, Regulatory Arbitrage, '!A:A,'Fintech, Regulatory Arbitrage, '!C:C,"")</f>
        <v/>
      </c>
    </row>
    <row r="6690">
      <c r="A6690" s="1" t="s">
        <v>6710</v>
      </c>
      <c r="B6690" s="2">
        <v>1.0</v>
      </c>
      <c r="C6690" s="4"/>
      <c r="E6690" s="4" t="str">
        <f t="array" ref="E6690">XLOOKUP(A6690,'Fintech, Regulatory Arbitrage, '!A:A,'Fintech, Regulatory Arbitrage, '!C:C,"")</f>
        <v/>
      </c>
    </row>
    <row r="6691">
      <c r="A6691" s="1" t="s">
        <v>6711</v>
      </c>
      <c r="B6691" s="2">
        <v>1.0</v>
      </c>
      <c r="C6691" s="4"/>
      <c r="E6691" s="4" t="str">
        <f t="array" ref="E6691">XLOOKUP(A6691,'Fintech, Regulatory Arbitrage, '!A:A,'Fintech, Regulatory Arbitrage, '!C:C,"")</f>
        <v/>
      </c>
    </row>
    <row r="6692">
      <c r="A6692" s="1" t="s">
        <v>6712</v>
      </c>
      <c r="B6692" s="2">
        <v>1.0</v>
      </c>
      <c r="C6692" s="4"/>
      <c r="E6692" s="4" t="str">
        <f t="array" ref="E6692">XLOOKUP(A6692,'Fintech, Regulatory Arbitrage, '!A:A,'Fintech, Regulatory Arbitrage, '!C:C,"")</f>
        <v/>
      </c>
    </row>
    <row r="6693">
      <c r="A6693" s="1" t="s">
        <v>6713</v>
      </c>
      <c r="B6693" s="2">
        <v>1.0</v>
      </c>
      <c r="C6693" s="4"/>
      <c r="E6693" s="4" t="str">
        <f t="array" ref="E6693">XLOOKUP(A6693,'Fintech, Regulatory Arbitrage, '!A:A,'Fintech, Regulatory Arbitrage, '!C:C,"")</f>
        <v/>
      </c>
    </row>
    <row r="6694">
      <c r="A6694" s="1" t="s">
        <v>6714</v>
      </c>
      <c r="B6694" s="2">
        <v>1.0</v>
      </c>
      <c r="C6694" s="4"/>
      <c r="E6694" s="4" t="str">
        <f t="array" ref="E6694">XLOOKUP(A6694,'Fintech, Regulatory Arbitrage, '!A:A,'Fintech, Regulatory Arbitrage, '!C:C,"")</f>
        <v/>
      </c>
    </row>
    <row r="6695">
      <c r="A6695" s="1" t="s">
        <v>6715</v>
      </c>
      <c r="B6695" s="2">
        <v>1.0</v>
      </c>
      <c r="C6695" s="4"/>
      <c r="E6695" s="4" t="str">
        <f t="array" ref="E6695">XLOOKUP(A6695,'Fintech, Regulatory Arbitrage, '!A:A,'Fintech, Regulatory Arbitrage, '!C:C,"")</f>
        <v/>
      </c>
    </row>
    <row r="6696">
      <c r="A6696" s="1" t="s">
        <v>6716</v>
      </c>
      <c r="B6696" s="2">
        <v>1.0</v>
      </c>
      <c r="C6696" s="4"/>
      <c r="E6696" s="4" t="str">
        <f t="array" ref="E6696">XLOOKUP(A6696,'Fintech, Regulatory Arbitrage, '!A:A,'Fintech, Regulatory Arbitrage, '!C:C,"")</f>
        <v/>
      </c>
    </row>
    <row r="6697">
      <c r="A6697" s="1" t="s">
        <v>6717</v>
      </c>
      <c r="B6697" s="2">
        <v>1.0</v>
      </c>
      <c r="C6697" s="4"/>
      <c r="E6697" s="4" t="str">
        <f t="array" ref="E6697">XLOOKUP(A6697,'Fintech, Regulatory Arbitrage, '!A:A,'Fintech, Regulatory Arbitrage, '!C:C,"")</f>
        <v/>
      </c>
    </row>
    <row r="6698">
      <c r="A6698" s="1" t="s">
        <v>6718</v>
      </c>
      <c r="B6698" s="2">
        <v>1.0</v>
      </c>
      <c r="C6698" s="4"/>
      <c r="E6698" s="4" t="str">
        <f t="array" ref="E6698">XLOOKUP(A6698,'Fintech, Regulatory Arbitrage, '!A:A,'Fintech, Regulatory Arbitrage, '!C:C,"")</f>
        <v/>
      </c>
    </row>
    <row r="6699">
      <c r="A6699" s="1" t="s">
        <v>6719</v>
      </c>
      <c r="B6699" s="2">
        <v>1.0</v>
      </c>
      <c r="C6699" s="4"/>
      <c r="E6699" s="4" t="str">
        <f t="array" ref="E6699">XLOOKUP(A6699,'Fintech, Regulatory Arbitrage, '!A:A,'Fintech, Regulatory Arbitrage, '!C:C,"")</f>
        <v/>
      </c>
    </row>
    <row r="6700">
      <c r="A6700" s="1" t="s">
        <v>6720</v>
      </c>
      <c r="B6700" s="2">
        <v>1.0</v>
      </c>
      <c r="C6700" s="4"/>
      <c r="E6700" s="4" t="str">
        <f t="array" ref="E6700">XLOOKUP(A6700,'Fintech, Regulatory Arbitrage, '!A:A,'Fintech, Regulatory Arbitrage, '!C:C,"")</f>
        <v/>
      </c>
    </row>
    <row r="6701">
      <c r="A6701" s="1" t="s">
        <v>6721</v>
      </c>
      <c r="B6701" s="2">
        <v>1.0</v>
      </c>
      <c r="C6701" s="4"/>
      <c r="E6701" s="4" t="str">
        <f t="array" ref="E6701">XLOOKUP(A6701,'Fintech, Regulatory Arbitrage, '!A:A,'Fintech, Regulatory Arbitrage, '!C:C,"")</f>
        <v/>
      </c>
    </row>
    <row r="6702">
      <c r="A6702" s="1" t="s">
        <v>6722</v>
      </c>
      <c r="B6702" s="2">
        <v>1.0</v>
      </c>
      <c r="C6702" s="4"/>
      <c r="E6702" s="4" t="str">
        <f t="array" ref="E6702">XLOOKUP(A6702,'Fintech, Regulatory Arbitrage, '!A:A,'Fintech, Regulatory Arbitrage, '!C:C,"")</f>
        <v/>
      </c>
    </row>
    <row r="6703">
      <c r="A6703" s="1" t="s">
        <v>6723</v>
      </c>
      <c r="B6703" s="2">
        <v>1.0</v>
      </c>
      <c r="C6703" s="4"/>
      <c r="E6703" s="4" t="str">
        <f t="array" ref="E6703">XLOOKUP(A6703,'Fintech, Regulatory Arbitrage, '!A:A,'Fintech, Regulatory Arbitrage, '!C:C,"")</f>
        <v/>
      </c>
    </row>
    <row r="6704">
      <c r="A6704" s="1" t="s">
        <v>6724</v>
      </c>
      <c r="B6704" s="2">
        <v>1.0</v>
      </c>
      <c r="C6704" s="4"/>
      <c r="E6704" s="4" t="str">
        <f t="array" ref="E6704">XLOOKUP(A6704,'Fintech, Regulatory Arbitrage, '!A:A,'Fintech, Regulatory Arbitrage, '!C:C,"")</f>
        <v/>
      </c>
    </row>
    <row r="6705">
      <c r="A6705" s="1" t="s">
        <v>6725</v>
      </c>
      <c r="B6705" s="2">
        <v>1.0</v>
      </c>
      <c r="C6705" s="4"/>
      <c r="E6705" s="4" t="str">
        <f t="array" ref="E6705">XLOOKUP(A6705,'Fintech, Regulatory Arbitrage, '!A:A,'Fintech, Regulatory Arbitrage, '!C:C,"")</f>
        <v/>
      </c>
    </row>
    <row r="6706">
      <c r="A6706" s="1" t="s">
        <v>6726</v>
      </c>
      <c r="B6706" s="2">
        <v>1.0</v>
      </c>
      <c r="C6706" s="4"/>
      <c r="E6706" s="4" t="str">
        <f t="array" ref="E6706">XLOOKUP(A6706,'Fintech, Regulatory Arbitrage, '!A:A,'Fintech, Regulatory Arbitrage, '!C:C,"")</f>
        <v/>
      </c>
    </row>
    <row r="6707">
      <c r="A6707" s="1" t="s">
        <v>6727</v>
      </c>
      <c r="B6707" s="2">
        <v>1.0</v>
      </c>
      <c r="C6707" s="4"/>
      <c r="E6707" s="4" t="str">
        <f t="array" ref="E6707">XLOOKUP(A6707,'Fintech, Regulatory Arbitrage, '!A:A,'Fintech, Regulatory Arbitrage, '!C:C,"")</f>
        <v/>
      </c>
    </row>
    <row r="6708">
      <c r="A6708" s="1" t="s">
        <v>6728</v>
      </c>
      <c r="B6708" s="2">
        <v>1.0</v>
      </c>
      <c r="C6708" s="4"/>
      <c r="E6708" s="4" t="str">
        <f t="array" ref="E6708">XLOOKUP(A6708,'Fintech, Regulatory Arbitrage, '!A:A,'Fintech, Regulatory Arbitrage, '!C:C,"")</f>
        <v/>
      </c>
    </row>
    <row r="6709">
      <c r="A6709" s="1" t="s">
        <v>6729</v>
      </c>
      <c r="B6709" s="2">
        <v>1.0</v>
      </c>
      <c r="C6709" s="4"/>
      <c r="E6709" s="4" t="str">
        <f t="array" ref="E6709">XLOOKUP(A6709,'Fintech, Regulatory Arbitrage, '!A:A,'Fintech, Regulatory Arbitrage, '!C:C,"")</f>
        <v/>
      </c>
    </row>
    <row r="6710">
      <c r="A6710" s="1" t="s">
        <v>6730</v>
      </c>
      <c r="B6710" s="2">
        <v>1.0</v>
      </c>
      <c r="C6710" s="4"/>
      <c r="E6710" s="4" t="str">
        <f t="array" ref="E6710">XLOOKUP(A6710,'Fintech, Regulatory Arbitrage, '!A:A,'Fintech, Regulatory Arbitrage, '!C:C,"")</f>
        <v/>
      </c>
    </row>
    <row r="6711">
      <c r="A6711" s="1" t="s">
        <v>6731</v>
      </c>
      <c r="B6711" s="2">
        <v>1.0</v>
      </c>
      <c r="C6711" s="4"/>
      <c r="E6711" s="4" t="str">
        <f t="array" ref="E6711">XLOOKUP(A6711,'Fintech, Regulatory Arbitrage, '!A:A,'Fintech, Regulatory Arbitrage, '!C:C,"")</f>
        <v/>
      </c>
    </row>
    <row r="6712">
      <c r="A6712" s="1" t="s">
        <v>6732</v>
      </c>
      <c r="B6712" s="2">
        <v>1.0</v>
      </c>
      <c r="C6712" s="4"/>
      <c r="E6712" s="4" t="str">
        <f t="array" ref="E6712">XLOOKUP(A6712,'Fintech, Regulatory Arbitrage, '!A:A,'Fintech, Regulatory Arbitrage, '!C:C,"")</f>
        <v/>
      </c>
    </row>
    <row r="6713">
      <c r="A6713" s="1" t="s">
        <v>6733</v>
      </c>
      <c r="B6713" s="2">
        <v>1.0</v>
      </c>
      <c r="C6713" s="4"/>
      <c r="E6713" s="4" t="str">
        <f t="array" ref="E6713">XLOOKUP(A6713,'Fintech, Regulatory Arbitrage, '!A:A,'Fintech, Regulatory Arbitrage, '!C:C,"")</f>
        <v/>
      </c>
    </row>
    <row r="6714">
      <c r="A6714" s="1" t="s">
        <v>6734</v>
      </c>
      <c r="B6714" s="2">
        <v>1.0</v>
      </c>
      <c r="C6714" s="4"/>
      <c r="E6714" s="4" t="str">
        <f t="array" ref="E6714">XLOOKUP(A6714,'Fintech, Regulatory Arbitrage, '!A:A,'Fintech, Regulatory Arbitrage, '!C:C,"")</f>
        <v/>
      </c>
    </row>
    <row r="6715">
      <c r="A6715" s="1" t="s">
        <v>6735</v>
      </c>
      <c r="B6715" s="2">
        <v>1.0</v>
      </c>
      <c r="C6715" s="4"/>
      <c r="E6715" s="4" t="str">
        <f t="array" ref="E6715">XLOOKUP(A6715,'Fintech, Regulatory Arbitrage, '!A:A,'Fintech, Regulatory Arbitrage, '!C:C,"")</f>
        <v/>
      </c>
    </row>
    <row r="6716">
      <c r="A6716" s="1" t="s">
        <v>6736</v>
      </c>
      <c r="B6716" s="2">
        <v>1.0</v>
      </c>
      <c r="C6716" s="4"/>
      <c r="E6716" s="4" t="str">
        <f t="array" ref="E6716">XLOOKUP(A6716,'Fintech, Regulatory Arbitrage, '!A:A,'Fintech, Regulatory Arbitrage, '!C:C,"")</f>
        <v/>
      </c>
    </row>
    <row r="6717">
      <c r="A6717" s="1" t="s">
        <v>6737</v>
      </c>
      <c r="B6717" s="2">
        <v>1.0</v>
      </c>
      <c r="C6717" s="4"/>
      <c r="E6717" s="4" t="str">
        <f t="array" ref="E6717">XLOOKUP(A6717,'Fintech, Regulatory Arbitrage, '!A:A,'Fintech, Regulatory Arbitrage, '!C:C,"")</f>
        <v/>
      </c>
    </row>
    <row r="6718">
      <c r="A6718" s="1" t="s">
        <v>6738</v>
      </c>
      <c r="B6718" s="2">
        <v>1.0</v>
      </c>
      <c r="C6718" s="4"/>
      <c r="E6718" s="4" t="str">
        <f t="array" ref="E6718">XLOOKUP(A6718,'Fintech, Regulatory Arbitrage, '!A:A,'Fintech, Regulatory Arbitrage, '!C:C,"")</f>
        <v/>
      </c>
    </row>
    <row r="6719">
      <c r="A6719" s="1" t="s">
        <v>6739</v>
      </c>
      <c r="B6719" s="2">
        <v>1.0</v>
      </c>
      <c r="C6719" s="4"/>
      <c r="E6719" s="4" t="str">
        <f t="array" ref="E6719">XLOOKUP(A6719,'Fintech, Regulatory Arbitrage, '!A:A,'Fintech, Regulatory Arbitrage, '!C:C,"")</f>
        <v/>
      </c>
    </row>
    <row r="6720">
      <c r="A6720" s="1" t="s">
        <v>6740</v>
      </c>
      <c r="B6720" s="2">
        <v>1.0</v>
      </c>
      <c r="C6720" s="4"/>
      <c r="E6720" s="4" t="str">
        <f t="array" ref="E6720">XLOOKUP(A6720,'Fintech, Regulatory Arbitrage, '!A:A,'Fintech, Regulatory Arbitrage, '!C:C,"")</f>
        <v/>
      </c>
    </row>
    <row r="6721">
      <c r="A6721" s="1" t="s">
        <v>6741</v>
      </c>
      <c r="B6721" s="2">
        <v>1.0</v>
      </c>
      <c r="C6721" s="4"/>
      <c r="E6721" s="4" t="str">
        <f t="array" ref="E6721">XLOOKUP(A6721,'Fintech, Regulatory Arbitrage, '!A:A,'Fintech, Regulatory Arbitrage, '!C:C,"")</f>
        <v/>
      </c>
    </row>
    <row r="6722">
      <c r="A6722" s="1" t="s">
        <v>6742</v>
      </c>
      <c r="B6722" s="2">
        <v>1.0</v>
      </c>
      <c r="C6722" s="4"/>
      <c r="E6722" s="4" t="str">
        <f t="array" ref="E6722">XLOOKUP(A6722,'Fintech, Regulatory Arbitrage, '!A:A,'Fintech, Regulatory Arbitrage, '!C:C,"")</f>
        <v/>
      </c>
    </row>
    <row r="6723">
      <c r="A6723" s="1" t="s">
        <v>6743</v>
      </c>
      <c r="B6723" s="2">
        <v>1.0</v>
      </c>
      <c r="C6723" s="4"/>
      <c r="E6723" s="4" t="str">
        <f t="array" ref="E6723">XLOOKUP(A6723,'Fintech, Regulatory Arbitrage, '!A:A,'Fintech, Regulatory Arbitrage, '!C:C,"")</f>
        <v/>
      </c>
    </row>
    <row r="6724">
      <c r="A6724" s="1" t="s">
        <v>6744</v>
      </c>
      <c r="B6724" s="2">
        <v>1.0</v>
      </c>
      <c r="C6724" s="4"/>
      <c r="E6724" s="4" t="str">
        <f t="array" ref="E6724">XLOOKUP(A6724,'Fintech, Regulatory Arbitrage, '!A:A,'Fintech, Regulatory Arbitrage, '!C:C,"")</f>
        <v/>
      </c>
    </row>
    <row r="6725">
      <c r="A6725" s="1" t="s">
        <v>6745</v>
      </c>
      <c r="B6725" s="2">
        <v>1.0</v>
      </c>
      <c r="C6725" s="4"/>
      <c r="E6725" s="4" t="str">
        <f t="array" ref="E6725">XLOOKUP(A6725,'Fintech, Regulatory Arbitrage, '!A:A,'Fintech, Regulatory Arbitrage, '!C:C,"")</f>
        <v/>
      </c>
    </row>
    <row r="6726">
      <c r="A6726" s="1" t="s">
        <v>6746</v>
      </c>
      <c r="B6726" s="2">
        <v>1.0</v>
      </c>
      <c r="C6726" s="4"/>
      <c r="E6726" s="4" t="str">
        <f t="array" ref="E6726">XLOOKUP(A6726,'Fintech, Regulatory Arbitrage, '!A:A,'Fintech, Regulatory Arbitrage, '!C:C,"")</f>
        <v/>
      </c>
    </row>
    <row r="6727">
      <c r="A6727" s="1" t="s">
        <v>6747</v>
      </c>
      <c r="B6727" s="2">
        <v>1.0</v>
      </c>
      <c r="C6727" s="4"/>
      <c r="E6727" s="4" t="str">
        <f t="array" ref="E6727">XLOOKUP(A6727,'Fintech, Regulatory Arbitrage, '!A:A,'Fintech, Regulatory Arbitrage, '!C:C,"")</f>
        <v/>
      </c>
    </row>
    <row r="6728">
      <c r="A6728" s="1" t="s">
        <v>6748</v>
      </c>
      <c r="B6728" s="2">
        <v>1.0</v>
      </c>
      <c r="C6728" s="4"/>
      <c r="E6728" s="4" t="str">
        <f t="array" ref="E6728">XLOOKUP(A6728,'Fintech, Regulatory Arbitrage, '!A:A,'Fintech, Regulatory Arbitrage, '!C:C,"")</f>
        <v/>
      </c>
    </row>
    <row r="6729">
      <c r="A6729" s="1" t="s">
        <v>6749</v>
      </c>
      <c r="B6729" s="2">
        <v>1.0</v>
      </c>
      <c r="C6729" s="4"/>
      <c r="E6729" s="4" t="str">
        <f t="array" ref="E6729">XLOOKUP(A6729,'Fintech, Regulatory Arbitrage, '!A:A,'Fintech, Regulatory Arbitrage, '!C:C,"")</f>
        <v/>
      </c>
    </row>
    <row r="6730">
      <c r="A6730" s="1" t="s">
        <v>6750</v>
      </c>
      <c r="B6730" s="2">
        <v>1.0</v>
      </c>
      <c r="C6730" s="4"/>
      <c r="E6730" s="4" t="str">
        <f t="array" ref="E6730">XLOOKUP(A6730,'Fintech, Regulatory Arbitrage, '!A:A,'Fintech, Regulatory Arbitrage, '!C:C,"")</f>
        <v/>
      </c>
    </row>
    <row r="6731">
      <c r="A6731" s="1" t="s">
        <v>6751</v>
      </c>
      <c r="B6731" s="2">
        <v>1.0</v>
      </c>
      <c r="C6731" s="4"/>
      <c r="E6731" s="4" t="str">
        <f t="array" ref="E6731">XLOOKUP(A6731,'Fintech, Regulatory Arbitrage, '!A:A,'Fintech, Regulatory Arbitrage, '!C:C,"")</f>
        <v/>
      </c>
    </row>
    <row r="6732">
      <c r="A6732" s="1" t="s">
        <v>6752</v>
      </c>
      <c r="B6732" s="2">
        <v>1.0</v>
      </c>
      <c r="C6732" s="4"/>
      <c r="E6732" s="4" t="str">
        <f t="array" ref="E6732">XLOOKUP(A6732,'Fintech, Regulatory Arbitrage, '!A:A,'Fintech, Regulatory Arbitrage, '!C:C,"")</f>
        <v/>
      </c>
    </row>
    <row r="6733">
      <c r="A6733" s="1" t="s">
        <v>6753</v>
      </c>
      <c r="B6733" s="2">
        <v>1.0</v>
      </c>
      <c r="C6733" s="4"/>
      <c r="E6733" s="4" t="str">
        <f t="array" ref="E6733">XLOOKUP(A6733,'Fintech, Regulatory Arbitrage, '!A:A,'Fintech, Regulatory Arbitrage, '!C:C,"")</f>
        <v/>
      </c>
    </row>
    <row r="6734">
      <c r="A6734" s="1" t="s">
        <v>6754</v>
      </c>
      <c r="B6734" s="2">
        <v>1.0</v>
      </c>
      <c r="C6734" s="4"/>
      <c r="E6734" s="4" t="str">
        <f t="array" ref="E6734">XLOOKUP(A6734,'Fintech, Regulatory Arbitrage, '!A:A,'Fintech, Regulatory Arbitrage, '!C:C,"")</f>
        <v/>
      </c>
    </row>
    <row r="6735">
      <c r="A6735" s="1" t="s">
        <v>6755</v>
      </c>
      <c r="B6735" s="2">
        <v>1.0</v>
      </c>
      <c r="C6735" s="4"/>
      <c r="E6735" s="4" t="str">
        <f t="array" ref="E6735">XLOOKUP(A6735,'Fintech, Regulatory Arbitrage, '!A:A,'Fintech, Regulatory Arbitrage, '!C:C,"")</f>
        <v/>
      </c>
    </row>
    <row r="6736">
      <c r="A6736" s="1" t="s">
        <v>6756</v>
      </c>
      <c r="B6736" s="2">
        <v>1.0</v>
      </c>
      <c r="C6736" s="4"/>
      <c r="E6736" s="4" t="str">
        <f t="array" ref="E6736">XLOOKUP(A6736,'Fintech, Regulatory Arbitrage, '!A:A,'Fintech, Regulatory Arbitrage, '!C:C,"")</f>
        <v/>
      </c>
    </row>
    <row r="6737">
      <c r="A6737" s="1" t="s">
        <v>6757</v>
      </c>
      <c r="B6737" s="2">
        <v>1.0</v>
      </c>
      <c r="C6737" s="4"/>
      <c r="E6737" s="4" t="str">
        <f t="array" ref="E6737">XLOOKUP(A6737,'Fintech, Regulatory Arbitrage, '!A:A,'Fintech, Regulatory Arbitrage, '!C:C,"")</f>
        <v/>
      </c>
    </row>
    <row r="6738">
      <c r="A6738" s="1" t="s">
        <v>6758</v>
      </c>
      <c r="B6738" s="2">
        <v>1.0</v>
      </c>
      <c r="C6738" s="4"/>
      <c r="E6738" s="4" t="str">
        <f t="array" ref="E6738">XLOOKUP(A6738,'Fintech, Regulatory Arbitrage, '!A:A,'Fintech, Regulatory Arbitrage, '!C:C,"")</f>
        <v/>
      </c>
    </row>
    <row r="6739">
      <c r="A6739" s="1" t="s">
        <v>6759</v>
      </c>
      <c r="B6739" s="2">
        <v>1.0</v>
      </c>
      <c r="C6739" s="4"/>
      <c r="E6739" s="4" t="str">
        <f t="array" ref="E6739">XLOOKUP(A6739,'Fintech, Regulatory Arbitrage, '!A:A,'Fintech, Regulatory Arbitrage, '!C:C,"")</f>
        <v/>
      </c>
    </row>
    <row r="6740">
      <c r="A6740" s="1" t="s">
        <v>6760</v>
      </c>
      <c r="B6740" s="2">
        <v>1.0</v>
      </c>
      <c r="C6740" s="4"/>
      <c r="E6740" s="4" t="str">
        <f t="array" ref="E6740">XLOOKUP(A6740,'Fintech, Regulatory Arbitrage, '!A:A,'Fintech, Regulatory Arbitrage, '!C:C,"")</f>
        <v/>
      </c>
    </row>
    <row r="6741">
      <c r="A6741" s="1" t="s">
        <v>6761</v>
      </c>
      <c r="B6741" s="2">
        <v>1.0</v>
      </c>
      <c r="C6741" s="4"/>
      <c r="E6741" s="4" t="str">
        <f t="array" ref="E6741">XLOOKUP(A6741,'Fintech, Regulatory Arbitrage, '!A:A,'Fintech, Regulatory Arbitrage, '!C:C,"")</f>
        <v/>
      </c>
    </row>
    <row r="6742">
      <c r="A6742" s="1" t="s">
        <v>6762</v>
      </c>
      <c r="B6742" s="2">
        <v>1.0</v>
      </c>
      <c r="C6742" s="4"/>
      <c r="E6742" s="4" t="str">
        <f t="array" ref="E6742">XLOOKUP(A6742,'Fintech, Regulatory Arbitrage, '!A:A,'Fintech, Regulatory Arbitrage, '!C:C,"")</f>
        <v/>
      </c>
    </row>
    <row r="6743">
      <c r="A6743" s="1" t="s">
        <v>6763</v>
      </c>
      <c r="B6743" s="2">
        <v>1.0</v>
      </c>
      <c r="C6743" s="4"/>
      <c r="E6743" s="4" t="str">
        <f t="array" ref="E6743">XLOOKUP(A6743,'Fintech, Regulatory Arbitrage, '!A:A,'Fintech, Regulatory Arbitrage, '!C:C,"")</f>
        <v/>
      </c>
    </row>
    <row r="6744">
      <c r="A6744" s="1" t="s">
        <v>6764</v>
      </c>
      <c r="B6744" s="2">
        <v>1.0</v>
      </c>
      <c r="C6744" s="4"/>
      <c r="E6744" s="4" t="str">
        <f t="array" ref="E6744">XLOOKUP(A6744,'Fintech, Regulatory Arbitrage, '!A:A,'Fintech, Regulatory Arbitrage, '!C:C,"")</f>
        <v/>
      </c>
    </row>
    <row r="6745">
      <c r="A6745" s="1" t="s">
        <v>6765</v>
      </c>
      <c r="B6745" s="2">
        <v>1.0</v>
      </c>
      <c r="C6745" s="4"/>
      <c r="E6745" s="4" t="str">
        <f t="array" ref="E6745">XLOOKUP(A6745,'Fintech, Regulatory Arbitrage, '!A:A,'Fintech, Regulatory Arbitrage, '!C:C,"")</f>
        <v/>
      </c>
    </row>
    <row r="6746">
      <c r="A6746" s="1" t="s">
        <v>6766</v>
      </c>
      <c r="B6746" s="2">
        <v>1.0</v>
      </c>
      <c r="C6746" s="4"/>
      <c r="E6746" s="4" t="str">
        <f t="array" ref="E6746">XLOOKUP(A6746,'Fintech, Regulatory Arbitrage, '!A:A,'Fintech, Regulatory Arbitrage, '!C:C,"")</f>
        <v/>
      </c>
    </row>
    <row r="6747">
      <c r="A6747" s="1" t="s">
        <v>6767</v>
      </c>
      <c r="B6747" s="2">
        <v>1.0</v>
      </c>
      <c r="C6747" s="4"/>
      <c r="E6747" s="4" t="str">
        <f t="array" ref="E6747">XLOOKUP(A6747,'Fintech, Regulatory Arbitrage, '!A:A,'Fintech, Regulatory Arbitrage, '!C:C,"")</f>
        <v/>
      </c>
    </row>
    <row r="6748">
      <c r="A6748" s="1" t="s">
        <v>6768</v>
      </c>
      <c r="B6748" s="2">
        <v>1.0</v>
      </c>
      <c r="C6748" s="4"/>
      <c r="E6748" s="4" t="str">
        <f t="array" ref="E6748">XLOOKUP(A6748,'Fintech, Regulatory Arbitrage, '!A:A,'Fintech, Regulatory Arbitrage, '!C:C,"")</f>
        <v/>
      </c>
    </row>
    <row r="6749">
      <c r="A6749" s="1" t="s">
        <v>6769</v>
      </c>
      <c r="B6749" s="2">
        <v>1.0</v>
      </c>
      <c r="C6749" s="4"/>
      <c r="E6749" s="4" t="str">
        <f t="array" ref="E6749">XLOOKUP(A6749,'Fintech, Regulatory Arbitrage, '!A:A,'Fintech, Regulatory Arbitrage, '!C:C,"")</f>
        <v/>
      </c>
    </row>
    <row r="6750">
      <c r="A6750" s="1" t="s">
        <v>6770</v>
      </c>
      <c r="B6750" s="2">
        <v>1.0</v>
      </c>
      <c r="C6750" s="4"/>
      <c r="E6750" s="4" t="str">
        <f t="array" ref="E6750">XLOOKUP(A6750,'Fintech, Regulatory Arbitrage, '!A:A,'Fintech, Regulatory Arbitrage, '!C:C,"")</f>
        <v/>
      </c>
    </row>
    <row r="6751">
      <c r="A6751" s="1" t="s">
        <v>6771</v>
      </c>
      <c r="B6751" s="2">
        <v>1.0</v>
      </c>
      <c r="C6751" s="4"/>
      <c r="E6751" s="4" t="str">
        <f t="array" ref="E6751">XLOOKUP(A6751,'Fintech, Regulatory Arbitrage, '!A:A,'Fintech, Regulatory Arbitrage, '!C:C,"")</f>
        <v/>
      </c>
    </row>
    <row r="6752">
      <c r="A6752" s="1" t="s">
        <v>6772</v>
      </c>
      <c r="B6752" s="2">
        <v>1.0</v>
      </c>
      <c r="C6752" s="4"/>
      <c r="E6752" s="4" t="str">
        <f t="array" ref="E6752">XLOOKUP(A6752,'Fintech, Regulatory Arbitrage, '!A:A,'Fintech, Regulatory Arbitrage, '!C:C,"")</f>
        <v/>
      </c>
    </row>
    <row r="6753">
      <c r="A6753" s="1" t="s">
        <v>6773</v>
      </c>
      <c r="B6753" s="2">
        <v>1.0</v>
      </c>
      <c r="C6753" s="4"/>
      <c r="E6753" s="4" t="str">
        <f t="array" ref="E6753">XLOOKUP(A6753,'Fintech, Regulatory Arbitrage, '!A:A,'Fintech, Regulatory Arbitrage, '!C:C,"")</f>
        <v/>
      </c>
    </row>
    <row r="6754">
      <c r="A6754" s="1" t="s">
        <v>6774</v>
      </c>
      <c r="B6754" s="2">
        <v>1.0</v>
      </c>
      <c r="C6754" s="4"/>
      <c r="E6754" s="4" t="str">
        <f t="array" ref="E6754">XLOOKUP(A6754,'Fintech, Regulatory Arbitrage, '!A:A,'Fintech, Regulatory Arbitrage, '!C:C,"")</f>
        <v/>
      </c>
    </row>
    <row r="6755">
      <c r="A6755" s="1" t="s">
        <v>6775</v>
      </c>
      <c r="B6755" s="2">
        <v>1.0</v>
      </c>
      <c r="C6755" s="4"/>
      <c r="E6755" s="4" t="str">
        <f t="array" ref="E6755">XLOOKUP(A6755,'Fintech, Regulatory Arbitrage, '!A:A,'Fintech, Regulatory Arbitrage, '!C:C,"")</f>
        <v/>
      </c>
    </row>
    <row r="6756">
      <c r="A6756" s="1" t="s">
        <v>6776</v>
      </c>
      <c r="B6756" s="2">
        <v>1.0</v>
      </c>
      <c r="C6756" s="4"/>
      <c r="E6756" s="4" t="str">
        <f t="array" ref="E6756">XLOOKUP(A6756,'Fintech, Regulatory Arbitrage, '!A:A,'Fintech, Regulatory Arbitrage, '!C:C,"")</f>
        <v/>
      </c>
    </row>
    <row r="6757">
      <c r="A6757" s="1" t="s">
        <v>6777</v>
      </c>
      <c r="B6757" s="2">
        <v>1.0</v>
      </c>
      <c r="C6757" s="4"/>
      <c r="E6757" s="4" t="str">
        <f t="array" ref="E6757">XLOOKUP(A6757,'Fintech, Regulatory Arbitrage, '!A:A,'Fintech, Regulatory Arbitrage, '!C:C,"")</f>
        <v/>
      </c>
    </row>
    <row r="6758">
      <c r="A6758" s="1" t="s">
        <v>6778</v>
      </c>
      <c r="B6758" s="2">
        <v>1.0</v>
      </c>
      <c r="C6758" s="4"/>
      <c r="E6758" s="4" t="str">
        <f t="array" ref="E6758">XLOOKUP(A6758,'Fintech, Regulatory Arbitrage, '!A:A,'Fintech, Regulatory Arbitrage, '!C:C,"")</f>
        <v/>
      </c>
    </row>
    <row r="6759">
      <c r="A6759" s="1" t="s">
        <v>6779</v>
      </c>
      <c r="B6759" s="2">
        <v>1.0</v>
      </c>
      <c r="C6759" s="4"/>
      <c r="E6759" s="4" t="str">
        <f t="array" ref="E6759">XLOOKUP(A6759,'Fintech, Regulatory Arbitrage, '!A:A,'Fintech, Regulatory Arbitrage, '!C:C,"")</f>
        <v/>
      </c>
    </row>
    <row r="6760">
      <c r="A6760" s="1" t="s">
        <v>6780</v>
      </c>
      <c r="B6760" s="2">
        <v>1.0</v>
      </c>
      <c r="C6760" s="4"/>
      <c r="E6760" s="4" t="str">
        <f t="array" ref="E6760">XLOOKUP(A6760,'Fintech, Regulatory Arbitrage, '!A:A,'Fintech, Regulatory Arbitrage, '!C:C,"")</f>
        <v/>
      </c>
    </row>
    <row r="6761">
      <c r="A6761" s="1" t="s">
        <v>6781</v>
      </c>
      <c r="B6761" s="2">
        <v>1.0</v>
      </c>
      <c r="C6761" s="4"/>
      <c r="E6761" s="4" t="str">
        <f t="array" ref="E6761">XLOOKUP(A6761,'Fintech, Regulatory Arbitrage, '!A:A,'Fintech, Regulatory Arbitrage, '!C:C,"")</f>
        <v/>
      </c>
    </row>
    <row r="6762">
      <c r="A6762" s="1" t="s">
        <v>6782</v>
      </c>
      <c r="B6762" s="2">
        <v>1.0</v>
      </c>
      <c r="C6762" s="4"/>
      <c r="E6762" s="4" t="str">
        <f t="array" ref="E6762">XLOOKUP(A6762,'Fintech, Regulatory Arbitrage, '!A:A,'Fintech, Regulatory Arbitrage, '!C:C,"")</f>
        <v/>
      </c>
    </row>
    <row r="6763">
      <c r="A6763" s="1" t="s">
        <v>6783</v>
      </c>
      <c r="B6763" s="2">
        <v>1.0</v>
      </c>
      <c r="C6763" s="4"/>
      <c r="E6763" s="4" t="str">
        <f t="array" ref="E6763">XLOOKUP(A6763,'Fintech, Regulatory Arbitrage, '!A:A,'Fintech, Regulatory Arbitrage, '!C:C,"")</f>
        <v/>
      </c>
    </row>
    <row r="6764">
      <c r="A6764" s="1" t="s">
        <v>6784</v>
      </c>
      <c r="B6764" s="2">
        <v>1.0</v>
      </c>
      <c r="C6764" s="4"/>
      <c r="E6764" s="4" t="str">
        <f t="array" ref="E6764">XLOOKUP(A6764,'Fintech, Regulatory Arbitrage, '!A:A,'Fintech, Regulatory Arbitrage, '!C:C,"")</f>
        <v/>
      </c>
    </row>
    <row r="6765">
      <c r="A6765" s="1" t="s">
        <v>6785</v>
      </c>
      <c r="B6765" s="2">
        <v>1.0</v>
      </c>
      <c r="C6765" s="4"/>
      <c r="E6765" s="4" t="str">
        <f t="array" ref="E6765">XLOOKUP(A6765,'Fintech, Regulatory Arbitrage, '!A:A,'Fintech, Regulatory Arbitrage, '!C:C,"")</f>
        <v/>
      </c>
    </row>
    <row r="6766">
      <c r="A6766" s="1" t="s">
        <v>6786</v>
      </c>
      <c r="B6766" s="2">
        <v>1.0</v>
      </c>
      <c r="C6766" s="4"/>
      <c r="E6766" s="4" t="str">
        <f t="array" ref="E6766">XLOOKUP(A6766,'Fintech, Regulatory Arbitrage, '!A:A,'Fintech, Regulatory Arbitrage, '!C:C,"")</f>
        <v/>
      </c>
    </row>
    <row r="6767">
      <c r="A6767" s="1" t="s">
        <v>6787</v>
      </c>
      <c r="B6767" s="2">
        <v>1.0</v>
      </c>
      <c r="C6767" s="4"/>
      <c r="E6767" s="4" t="str">
        <f t="array" ref="E6767">XLOOKUP(A6767,'Fintech, Regulatory Arbitrage, '!A:A,'Fintech, Regulatory Arbitrage, '!C:C,"")</f>
        <v/>
      </c>
    </row>
    <row r="6768">
      <c r="A6768" s="1" t="s">
        <v>6788</v>
      </c>
      <c r="B6768" s="2">
        <v>1.0</v>
      </c>
      <c r="C6768" s="4"/>
      <c r="E6768" s="4" t="str">
        <f t="array" ref="E6768">XLOOKUP(A6768,'Fintech, Regulatory Arbitrage, '!A:A,'Fintech, Regulatory Arbitrage, '!C:C,"")</f>
        <v/>
      </c>
    </row>
    <row r="6769">
      <c r="A6769" s="1" t="s">
        <v>6789</v>
      </c>
      <c r="B6769" s="2">
        <v>1.0</v>
      </c>
      <c r="C6769" s="4"/>
      <c r="E6769" s="4" t="str">
        <f t="array" ref="E6769">XLOOKUP(A6769,'Fintech, Regulatory Arbitrage, '!A:A,'Fintech, Regulatory Arbitrage, '!C:C,"")</f>
        <v/>
      </c>
    </row>
    <row r="6770">
      <c r="A6770" s="1" t="s">
        <v>6790</v>
      </c>
      <c r="B6770" s="2">
        <v>1.0</v>
      </c>
      <c r="C6770" s="4"/>
      <c r="E6770" s="4" t="str">
        <f t="array" ref="E6770">XLOOKUP(A6770,'Fintech, Regulatory Arbitrage, '!A:A,'Fintech, Regulatory Arbitrage, '!C:C,"")</f>
        <v/>
      </c>
    </row>
    <row r="6771">
      <c r="A6771" s="1" t="s">
        <v>6791</v>
      </c>
      <c r="B6771" s="2">
        <v>1.0</v>
      </c>
      <c r="C6771" s="4"/>
      <c r="E6771" s="4" t="str">
        <f t="array" ref="E6771">XLOOKUP(A6771,'Fintech, Regulatory Arbitrage, '!A:A,'Fintech, Regulatory Arbitrage, '!C:C,"")</f>
        <v/>
      </c>
    </row>
    <row r="6772">
      <c r="A6772" s="1" t="s">
        <v>6792</v>
      </c>
      <c r="B6772" s="2">
        <v>1.0</v>
      </c>
      <c r="C6772" s="4"/>
      <c r="E6772" s="4" t="str">
        <f t="array" ref="E6772">XLOOKUP(A6772,'Fintech, Regulatory Arbitrage, '!A:A,'Fintech, Regulatory Arbitrage, '!C:C,"")</f>
        <v/>
      </c>
    </row>
    <row r="6773">
      <c r="A6773" s="1" t="s">
        <v>6793</v>
      </c>
      <c r="B6773" s="2">
        <v>1.0</v>
      </c>
      <c r="C6773" s="4"/>
      <c r="E6773" s="4" t="str">
        <f t="array" ref="E6773">XLOOKUP(A6773,'Fintech, Regulatory Arbitrage, '!A:A,'Fintech, Regulatory Arbitrage, '!C:C,"")</f>
        <v/>
      </c>
    </row>
    <row r="6774">
      <c r="A6774" s="1" t="s">
        <v>6794</v>
      </c>
      <c r="B6774" s="2">
        <v>1.0</v>
      </c>
      <c r="C6774" s="4"/>
      <c r="E6774" s="4" t="str">
        <f t="array" ref="E6774">XLOOKUP(A6774,'Fintech, Regulatory Arbitrage, '!A:A,'Fintech, Regulatory Arbitrage, '!C:C,"")</f>
        <v/>
      </c>
    </row>
    <row r="6775">
      <c r="A6775" s="1" t="s">
        <v>6795</v>
      </c>
      <c r="B6775" s="2">
        <v>1.0</v>
      </c>
      <c r="C6775" s="4"/>
      <c r="E6775" s="4" t="str">
        <f t="array" ref="E6775">XLOOKUP(A6775,'Fintech, Regulatory Arbitrage, '!A:A,'Fintech, Regulatory Arbitrage, '!C:C,"")</f>
        <v/>
      </c>
    </row>
    <row r="6776">
      <c r="A6776" s="1" t="s">
        <v>6796</v>
      </c>
      <c r="B6776" s="2">
        <v>1.0</v>
      </c>
      <c r="C6776" s="4"/>
      <c r="E6776" s="4" t="str">
        <f t="array" ref="E6776">XLOOKUP(A6776,'Fintech, Regulatory Arbitrage, '!A:A,'Fintech, Regulatory Arbitrage, '!C:C,"")</f>
        <v/>
      </c>
    </row>
    <row r="6777">
      <c r="A6777" s="1" t="s">
        <v>6797</v>
      </c>
      <c r="B6777" s="2">
        <v>1.0</v>
      </c>
      <c r="C6777" s="4"/>
      <c r="E6777" s="4" t="str">
        <f t="array" ref="E6777">XLOOKUP(A6777,'Fintech, Regulatory Arbitrage, '!A:A,'Fintech, Regulatory Arbitrage, '!C:C,"")</f>
        <v/>
      </c>
    </row>
    <row r="6778">
      <c r="A6778" s="1" t="s">
        <v>6798</v>
      </c>
      <c r="B6778" s="2">
        <v>1.0</v>
      </c>
      <c r="C6778" s="4"/>
      <c r="E6778" s="4" t="str">
        <f t="array" ref="E6778">XLOOKUP(A6778,'Fintech, Regulatory Arbitrage, '!A:A,'Fintech, Regulatory Arbitrage, '!C:C,"")</f>
        <v/>
      </c>
    </row>
    <row r="6779">
      <c r="A6779" s="1" t="s">
        <v>6799</v>
      </c>
      <c r="B6779" s="2">
        <v>1.0</v>
      </c>
      <c r="C6779" s="4"/>
      <c r="E6779" s="4" t="str">
        <f t="array" ref="E6779">XLOOKUP(A6779,'Fintech, Regulatory Arbitrage, '!A:A,'Fintech, Regulatory Arbitrage, '!C:C,"")</f>
        <v/>
      </c>
    </row>
    <row r="6780">
      <c r="A6780" s="1" t="s">
        <v>6800</v>
      </c>
      <c r="B6780" s="2">
        <v>1.0</v>
      </c>
      <c r="C6780" s="4"/>
      <c r="E6780" s="4" t="str">
        <f t="array" ref="E6780">XLOOKUP(A6780,'Fintech, Regulatory Arbitrage, '!A:A,'Fintech, Regulatory Arbitrage, '!C:C,"")</f>
        <v/>
      </c>
    </row>
    <row r="6781">
      <c r="A6781" s="1" t="s">
        <v>6801</v>
      </c>
      <c r="B6781" s="2">
        <v>1.0</v>
      </c>
      <c r="C6781" s="4"/>
      <c r="E6781" s="4" t="str">
        <f t="array" ref="E6781">XLOOKUP(A6781,'Fintech, Regulatory Arbitrage, '!A:A,'Fintech, Regulatory Arbitrage, '!C:C,"")</f>
        <v/>
      </c>
    </row>
    <row r="6782">
      <c r="A6782" s="1" t="s">
        <v>6802</v>
      </c>
      <c r="B6782" s="2">
        <v>1.0</v>
      </c>
      <c r="C6782" s="4"/>
      <c r="E6782" s="4" t="str">
        <f t="array" ref="E6782">XLOOKUP(A6782,'Fintech, Regulatory Arbitrage, '!A:A,'Fintech, Regulatory Arbitrage, '!C:C,"")</f>
        <v/>
      </c>
    </row>
    <row r="6783">
      <c r="A6783" s="1" t="s">
        <v>6803</v>
      </c>
      <c r="B6783" s="2">
        <v>1.0</v>
      </c>
      <c r="C6783" s="4"/>
      <c r="E6783" s="4" t="str">
        <f t="array" ref="E6783">XLOOKUP(A6783,'Fintech, Regulatory Arbitrage, '!A:A,'Fintech, Regulatory Arbitrage, '!C:C,"")</f>
        <v/>
      </c>
    </row>
    <row r="6784">
      <c r="A6784" s="1" t="s">
        <v>6804</v>
      </c>
      <c r="B6784" s="2">
        <v>1.0</v>
      </c>
      <c r="C6784" s="4"/>
      <c r="E6784" s="4" t="str">
        <f t="array" ref="E6784">XLOOKUP(A6784,'Fintech, Regulatory Arbitrage, '!A:A,'Fintech, Regulatory Arbitrage, '!C:C,"")</f>
        <v/>
      </c>
    </row>
    <row r="6785">
      <c r="A6785" s="1" t="s">
        <v>6805</v>
      </c>
      <c r="B6785" s="2">
        <v>1.0</v>
      </c>
      <c r="C6785" s="4"/>
      <c r="E6785" s="4" t="str">
        <f t="array" ref="E6785">XLOOKUP(A6785,'Fintech, Regulatory Arbitrage, '!A:A,'Fintech, Regulatory Arbitrage, '!C:C,"")</f>
        <v/>
      </c>
    </row>
    <row r="6786">
      <c r="A6786" s="1" t="s">
        <v>6806</v>
      </c>
      <c r="B6786" s="2">
        <v>1.0</v>
      </c>
      <c r="C6786" s="4"/>
      <c r="E6786" s="4" t="str">
        <f t="array" ref="E6786">XLOOKUP(A6786,'Fintech, Regulatory Arbitrage, '!A:A,'Fintech, Regulatory Arbitrage, '!C:C,"")</f>
        <v/>
      </c>
    </row>
    <row r="6787">
      <c r="A6787" s="1" t="s">
        <v>6807</v>
      </c>
      <c r="B6787" s="2">
        <v>1.0</v>
      </c>
      <c r="C6787" s="4"/>
      <c r="E6787" s="4" t="str">
        <f t="array" ref="E6787">XLOOKUP(A6787,'Fintech, Regulatory Arbitrage, '!A:A,'Fintech, Regulatory Arbitrage, '!C:C,"")</f>
        <v/>
      </c>
    </row>
    <row r="6788">
      <c r="A6788" s="1" t="s">
        <v>6808</v>
      </c>
      <c r="B6788" s="2">
        <v>1.0</v>
      </c>
      <c r="C6788" s="4"/>
      <c r="E6788" s="4" t="str">
        <f t="array" ref="E6788">XLOOKUP(A6788,'Fintech, Regulatory Arbitrage, '!A:A,'Fintech, Regulatory Arbitrage, '!C:C,"")</f>
        <v/>
      </c>
    </row>
    <row r="6789">
      <c r="A6789" s="1" t="s">
        <v>6809</v>
      </c>
      <c r="B6789" s="2">
        <v>1.0</v>
      </c>
      <c r="C6789" s="4"/>
      <c r="E6789" s="4" t="str">
        <f t="array" ref="E6789">XLOOKUP(A6789,'Fintech, Regulatory Arbitrage, '!A:A,'Fintech, Regulatory Arbitrage, '!C:C,"")</f>
        <v/>
      </c>
    </row>
    <row r="6790">
      <c r="A6790" s="1" t="s">
        <v>6810</v>
      </c>
      <c r="B6790" s="2">
        <v>1.0</v>
      </c>
      <c r="C6790" s="4"/>
      <c r="E6790" s="4" t="str">
        <f t="array" ref="E6790">XLOOKUP(A6790,'Fintech, Regulatory Arbitrage, '!A:A,'Fintech, Regulatory Arbitrage, '!C:C,"")</f>
        <v/>
      </c>
    </row>
    <row r="6791">
      <c r="A6791" s="1" t="s">
        <v>6811</v>
      </c>
      <c r="B6791" s="2">
        <v>1.0</v>
      </c>
      <c r="C6791" s="4"/>
      <c r="E6791" s="4" t="str">
        <f t="array" ref="E6791">XLOOKUP(A6791,'Fintech, Regulatory Arbitrage, '!A:A,'Fintech, Regulatory Arbitrage, '!C:C,"")</f>
        <v/>
      </c>
    </row>
    <row r="6792">
      <c r="A6792" s="1" t="s">
        <v>6812</v>
      </c>
      <c r="B6792" s="2">
        <v>1.0</v>
      </c>
      <c r="C6792" s="4"/>
      <c r="E6792" s="4" t="str">
        <f t="array" ref="E6792">XLOOKUP(A6792,'Fintech, Regulatory Arbitrage, '!A:A,'Fintech, Regulatory Arbitrage, '!C:C,"")</f>
        <v/>
      </c>
    </row>
    <row r="6793">
      <c r="A6793" s="1" t="s">
        <v>6813</v>
      </c>
      <c r="B6793" s="2">
        <v>1.0</v>
      </c>
      <c r="C6793" s="4"/>
      <c r="E6793" s="4" t="str">
        <f t="array" ref="E6793">XLOOKUP(A6793,'Fintech, Regulatory Arbitrage, '!A:A,'Fintech, Regulatory Arbitrage, '!C:C,"")</f>
        <v/>
      </c>
    </row>
    <row r="6794">
      <c r="A6794" s="1" t="s">
        <v>6814</v>
      </c>
      <c r="B6794" s="2">
        <v>1.0</v>
      </c>
      <c r="C6794" s="4"/>
      <c r="E6794" s="4" t="str">
        <f t="array" ref="E6794">XLOOKUP(A6794,'Fintech, Regulatory Arbitrage, '!A:A,'Fintech, Regulatory Arbitrage, '!C:C,"")</f>
        <v/>
      </c>
    </row>
    <row r="6795">
      <c r="A6795" s="1" t="s">
        <v>6815</v>
      </c>
      <c r="B6795" s="2">
        <v>1.0</v>
      </c>
      <c r="C6795" s="4"/>
      <c r="E6795" s="4" t="str">
        <f t="array" ref="E6795">XLOOKUP(A6795,'Fintech, Regulatory Arbitrage, '!A:A,'Fintech, Regulatory Arbitrage, '!C:C,"")</f>
        <v/>
      </c>
    </row>
    <row r="6796">
      <c r="A6796" s="1" t="s">
        <v>6816</v>
      </c>
      <c r="B6796" s="2">
        <v>1.0</v>
      </c>
      <c r="C6796" s="4"/>
      <c r="E6796" s="4" t="str">
        <f t="array" ref="E6796">XLOOKUP(A6796,'Fintech, Regulatory Arbitrage, '!A:A,'Fintech, Regulatory Arbitrage, '!C:C,"")</f>
        <v/>
      </c>
    </row>
    <row r="6797">
      <c r="A6797" s="1" t="s">
        <v>6817</v>
      </c>
      <c r="B6797" s="2">
        <v>1.0</v>
      </c>
      <c r="C6797" s="4"/>
      <c r="E6797" s="4" t="str">
        <f t="array" ref="E6797">XLOOKUP(A6797,'Fintech, Regulatory Arbitrage, '!A:A,'Fintech, Regulatory Arbitrage, '!C:C,"")</f>
        <v/>
      </c>
    </row>
    <row r="6798">
      <c r="A6798" s="1" t="s">
        <v>6818</v>
      </c>
      <c r="B6798" s="2">
        <v>1.0</v>
      </c>
      <c r="C6798" s="4"/>
      <c r="E6798" s="4" t="str">
        <f t="array" ref="E6798">XLOOKUP(A6798,'Fintech, Regulatory Arbitrage, '!A:A,'Fintech, Regulatory Arbitrage, '!C:C,"")</f>
        <v/>
      </c>
    </row>
    <row r="6799">
      <c r="A6799" s="1" t="s">
        <v>6819</v>
      </c>
      <c r="B6799" s="2">
        <v>1.0</v>
      </c>
      <c r="C6799" s="4"/>
      <c r="E6799" s="4" t="str">
        <f t="array" ref="E6799">XLOOKUP(A6799,'Fintech, Regulatory Arbitrage, '!A:A,'Fintech, Regulatory Arbitrage, '!C:C,"")</f>
        <v/>
      </c>
    </row>
    <row r="6800">
      <c r="A6800" s="1" t="s">
        <v>6820</v>
      </c>
      <c r="B6800" s="2">
        <v>1.0</v>
      </c>
      <c r="C6800" s="4"/>
      <c r="E6800" s="4" t="str">
        <f t="array" ref="E6800">XLOOKUP(A6800,'Fintech, Regulatory Arbitrage, '!A:A,'Fintech, Regulatory Arbitrage, '!C:C,"")</f>
        <v/>
      </c>
    </row>
    <row r="6801">
      <c r="A6801" s="1" t="s">
        <v>6821</v>
      </c>
      <c r="B6801" s="2">
        <v>1.0</v>
      </c>
      <c r="C6801" s="4"/>
      <c r="E6801" s="4" t="str">
        <f t="array" ref="E6801">XLOOKUP(A6801,'Fintech, Regulatory Arbitrage, '!A:A,'Fintech, Regulatory Arbitrage, '!C:C,"")</f>
        <v/>
      </c>
    </row>
    <row r="6802">
      <c r="A6802" s="1" t="s">
        <v>6822</v>
      </c>
      <c r="B6802" s="2">
        <v>1.0</v>
      </c>
      <c r="C6802" s="4"/>
      <c r="E6802" s="4" t="str">
        <f t="array" ref="E6802">XLOOKUP(A6802,'Fintech, Regulatory Arbitrage, '!A:A,'Fintech, Regulatory Arbitrage, '!C:C,"")</f>
        <v/>
      </c>
    </row>
    <row r="6803">
      <c r="A6803" s="1" t="s">
        <v>6823</v>
      </c>
      <c r="B6803" s="2">
        <v>1.0</v>
      </c>
      <c r="C6803" s="4"/>
      <c r="E6803" s="4" t="str">
        <f t="array" ref="E6803">XLOOKUP(A6803,'Fintech, Regulatory Arbitrage, '!A:A,'Fintech, Regulatory Arbitrage, '!C:C,"")</f>
        <v/>
      </c>
    </row>
    <row r="6804">
      <c r="A6804" s="1" t="s">
        <v>6824</v>
      </c>
      <c r="B6804" s="2">
        <v>1.0</v>
      </c>
      <c r="C6804" s="4"/>
      <c r="E6804" s="4" t="str">
        <f t="array" ref="E6804">XLOOKUP(A6804,'Fintech, Regulatory Arbitrage, '!A:A,'Fintech, Regulatory Arbitrage, '!C:C,"")</f>
        <v/>
      </c>
    </row>
    <row r="6805">
      <c r="A6805" s="1" t="s">
        <v>6825</v>
      </c>
      <c r="B6805" s="2">
        <v>1.0</v>
      </c>
      <c r="C6805" s="4"/>
      <c r="E6805" s="4" t="str">
        <f t="array" ref="E6805">XLOOKUP(A6805,'Fintech, Regulatory Arbitrage, '!A:A,'Fintech, Regulatory Arbitrage, '!C:C,"")</f>
        <v/>
      </c>
    </row>
    <row r="6806">
      <c r="A6806" s="1" t="s">
        <v>6826</v>
      </c>
      <c r="B6806" s="2">
        <v>1.0</v>
      </c>
      <c r="C6806" s="4"/>
      <c r="E6806" s="4" t="str">
        <f t="array" ref="E6806">XLOOKUP(A6806,'Fintech, Regulatory Arbitrage, '!A:A,'Fintech, Regulatory Arbitrage, '!C:C,"")</f>
        <v/>
      </c>
    </row>
    <row r="6807">
      <c r="A6807" s="1" t="s">
        <v>6827</v>
      </c>
      <c r="B6807" s="2">
        <v>1.0</v>
      </c>
      <c r="C6807" s="4"/>
      <c r="E6807" s="4" t="str">
        <f t="array" ref="E6807">XLOOKUP(A6807,'Fintech, Regulatory Arbitrage, '!A:A,'Fintech, Regulatory Arbitrage, '!C:C,"")</f>
        <v/>
      </c>
    </row>
    <row r="6808">
      <c r="A6808" s="1" t="s">
        <v>6828</v>
      </c>
      <c r="B6808" s="2">
        <v>1.0</v>
      </c>
      <c r="C6808" s="4"/>
      <c r="E6808" s="4" t="str">
        <f t="array" ref="E6808">XLOOKUP(A6808,'Fintech, Regulatory Arbitrage, '!A:A,'Fintech, Regulatory Arbitrage, '!C:C,"")</f>
        <v/>
      </c>
    </row>
    <row r="6809">
      <c r="A6809" s="1" t="s">
        <v>6829</v>
      </c>
      <c r="B6809" s="2">
        <v>1.0</v>
      </c>
      <c r="C6809" s="4"/>
      <c r="E6809" s="4" t="str">
        <f t="array" ref="E6809">XLOOKUP(A6809,'Fintech, Regulatory Arbitrage, '!A:A,'Fintech, Regulatory Arbitrage, '!C:C,"")</f>
        <v/>
      </c>
    </row>
    <row r="6810">
      <c r="A6810" s="1" t="s">
        <v>6830</v>
      </c>
      <c r="B6810" s="2">
        <v>1.0</v>
      </c>
      <c r="C6810" s="4"/>
      <c r="E6810" s="4" t="str">
        <f t="array" ref="E6810">XLOOKUP(A6810,'Fintech, Regulatory Arbitrage, '!A:A,'Fintech, Regulatory Arbitrage, '!C:C,"")</f>
        <v/>
      </c>
    </row>
    <row r="6811">
      <c r="A6811" s="1" t="s">
        <v>6831</v>
      </c>
      <c r="B6811" s="2">
        <v>1.0</v>
      </c>
      <c r="C6811" s="4"/>
      <c r="E6811" s="4" t="str">
        <f t="array" ref="E6811">XLOOKUP(A6811,'Fintech, Regulatory Arbitrage, '!A:A,'Fintech, Regulatory Arbitrage, '!C:C,"")</f>
        <v/>
      </c>
    </row>
    <row r="6812">
      <c r="A6812" s="1" t="s">
        <v>6832</v>
      </c>
      <c r="B6812" s="2">
        <v>1.0</v>
      </c>
      <c r="C6812" s="4"/>
      <c r="E6812" s="4" t="str">
        <f t="array" ref="E6812">XLOOKUP(A6812,'Fintech, Regulatory Arbitrage, '!A:A,'Fintech, Regulatory Arbitrage, '!C:C,"")</f>
        <v/>
      </c>
    </row>
    <row r="6813">
      <c r="A6813" s="1" t="s">
        <v>6833</v>
      </c>
      <c r="B6813" s="2">
        <v>1.0</v>
      </c>
      <c r="C6813" s="4"/>
      <c r="E6813" s="4" t="str">
        <f t="array" ref="E6813">XLOOKUP(A6813,'Fintech, Regulatory Arbitrage, '!A:A,'Fintech, Regulatory Arbitrage, '!C:C,"")</f>
        <v/>
      </c>
    </row>
    <row r="6814">
      <c r="A6814" s="1" t="s">
        <v>6834</v>
      </c>
      <c r="B6814" s="2">
        <v>1.0</v>
      </c>
      <c r="C6814" s="4"/>
      <c r="E6814" s="4" t="str">
        <f t="array" ref="E6814">XLOOKUP(A6814,'Fintech, Regulatory Arbitrage, '!A:A,'Fintech, Regulatory Arbitrage, '!C:C,"")</f>
        <v/>
      </c>
    </row>
    <row r="6815">
      <c r="A6815" s="1" t="s">
        <v>6835</v>
      </c>
      <c r="B6815" s="2">
        <v>1.0</v>
      </c>
      <c r="C6815" s="4"/>
      <c r="E6815" s="4" t="str">
        <f t="array" ref="E6815">XLOOKUP(A6815,'Fintech, Regulatory Arbitrage, '!A:A,'Fintech, Regulatory Arbitrage, '!C:C,"")</f>
        <v/>
      </c>
    </row>
    <row r="6816">
      <c r="A6816" s="1" t="s">
        <v>6836</v>
      </c>
      <c r="B6816" s="2">
        <v>1.0</v>
      </c>
      <c r="C6816" s="4"/>
      <c r="E6816" s="4" t="str">
        <f t="array" ref="E6816">XLOOKUP(A6816,'Fintech, Regulatory Arbitrage, '!A:A,'Fintech, Regulatory Arbitrage, '!C:C,"")</f>
        <v/>
      </c>
    </row>
    <row r="6817">
      <c r="A6817" s="1" t="s">
        <v>6837</v>
      </c>
      <c r="B6817" s="2">
        <v>1.0</v>
      </c>
      <c r="C6817" s="4"/>
      <c r="E6817" s="4" t="str">
        <f t="array" ref="E6817">XLOOKUP(A6817,'Fintech, Regulatory Arbitrage, '!A:A,'Fintech, Regulatory Arbitrage, '!C:C,"")</f>
        <v/>
      </c>
    </row>
    <row r="6818">
      <c r="A6818" s="1" t="s">
        <v>6838</v>
      </c>
      <c r="B6818" s="2">
        <v>1.0</v>
      </c>
      <c r="C6818" s="4"/>
      <c r="E6818" s="4" t="str">
        <f t="array" ref="E6818">XLOOKUP(A6818,'Fintech, Regulatory Arbitrage, '!A:A,'Fintech, Regulatory Arbitrage, '!C:C,"")</f>
        <v/>
      </c>
    </row>
    <row r="6819">
      <c r="A6819" s="1" t="s">
        <v>6839</v>
      </c>
      <c r="B6819" s="2">
        <v>1.0</v>
      </c>
      <c r="C6819" s="4"/>
      <c r="E6819" s="4" t="str">
        <f t="array" ref="E6819">XLOOKUP(A6819,'Fintech, Regulatory Arbitrage, '!A:A,'Fintech, Regulatory Arbitrage, '!C:C,"")</f>
        <v/>
      </c>
    </row>
    <row r="6820">
      <c r="A6820" s="1" t="s">
        <v>6840</v>
      </c>
      <c r="B6820" s="2">
        <v>1.0</v>
      </c>
      <c r="C6820" s="4"/>
      <c r="E6820" s="4" t="str">
        <f t="array" ref="E6820">XLOOKUP(A6820,'Fintech, Regulatory Arbitrage, '!A:A,'Fintech, Regulatory Arbitrage, '!C:C,"")</f>
        <v/>
      </c>
    </row>
    <row r="6821">
      <c r="A6821" s="1" t="s">
        <v>6841</v>
      </c>
      <c r="B6821" s="2">
        <v>1.0</v>
      </c>
      <c r="C6821" s="4"/>
      <c r="E6821" s="4" t="str">
        <f t="array" ref="E6821">XLOOKUP(A6821,'Fintech, Regulatory Arbitrage, '!A:A,'Fintech, Regulatory Arbitrage, '!C:C,"")</f>
        <v/>
      </c>
    </row>
    <row r="6822">
      <c r="A6822" s="1" t="s">
        <v>6842</v>
      </c>
      <c r="B6822" s="2">
        <v>1.0</v>
      </c>
      <c r="C6822" s="4"/>
      <c r="E6822" s="4" t="str">
        <f t="array" ref="E6822">XLOOKUP(A6822,'Fintech, Regulatory Arbitrage, '!A:A,'Fintech, Regulatory Arbitrage, '!C:C,"")</f>
        <v/>
      </c>
    </row>
    <row r="6823">
      <c r="A6823" s="1" t="s">
        <v>6843</v>
      </c>
      <c r="B6823" s="2">
        <v>1.0</v>
      </c>
      <c r="C6823" s="4"/>
      <c r="E6823" s="4" t="str">
        <f t="array" ref="E6823">XLOOKUP(A6823,'Fintech, Regulatory Arbitrage, '!A:A,'Fintech, Regulatory Arbitrage, '!C:C,"")</f>
        <v/>
      </c>
    </row>
    <row r="6824">
      <c r="A6824" s="1" t="s">
        <v>6844</v>
      </c>
      <c r="B6824" s="2">
        <v>1.0</v>
      </c>
      <c r="C6824" s="4"/>
      <c r="E6824" s="4" t="str">
        <f t="array" ref="E6824">XLOOKUP(A6824,'Fintech, Regulatory Arbitrage, '!A:A,'Fintech, Regulatory Arbitrage, '!C:C,"")</f>
        <v/>
      </c>
    </row>
    <row r="6825">
      <c r="A6825" s="1" t="s">
        <v>6845</v>
      </c>
      <c r="B6825" s="2">
        <v>1.0</v>
      </c>
      <c r="C6825" s="4"/>
      <c r="E6825" s="4" t="str">
        <f t="array" ref="E6825">XLOOKUP(A6825,'Fintech, Regulatory Arbitrage, '!A:A,'Fintech, Regulatory Arbitrage, '!C:C,"")</f>
        <v/>
      </c>
    </row>
    <row r="6826">
      <c r="A6826" s="1" t="s">
        <v>6846</v>
      </c>
      <c r="B6826" s="2">
        <v>1.0</v>
      </c>
      <c r="C6826" s="4"/>
      <c r="E6826" s="4" t="str">
        <f t="array" ref="E6826">XLOOKUP(A6826,'Fintech, Regulatory Arbitrage, '!A:A,'Fintech, Regulatory Arbitrage, '!C:C,"")</f>
        <v/>
      </c>
    </row>
    <row r="6827">
      <c r="A6827" s="1" t="s">
        <v>6847</v>
      </c>
      <c r="B6827" s="2">
        <v>1.0</v>
      </c>
      <c r="C6827" s="4"/>
      <c r="E6827" s="4" t="str">
        <f t="array" ref="E6827">XLOOKUP(A6827,'Fintech, Regulatory Arbitrage, '!A:A,'Fintech, Regulatory Arbitrage, '!C:C,"")</f>
        <v/>
      </c>
    </row>
    <row r="6828">
      <c r="A6828" s="1" t="s">
        <v>6848</v>
      </c>
      <c r="B6828" s="2">
        <v>1.0</v>
      </c>
      <c r="C6828" s="4"/>
      <c r="E6828" s="4" t="str">
        <f t="array" ref="E6828">XLOOKUP(A6828,'Fintech, Regulatory Arbitrage, '!A:A,'Fintech, Regulatory Arbitrage, '!C:C,"")</f>
        <v/>
      </c>
    </row>
    <row r="6829">
      <c r="A6829" s="1" t="s">
        <v>6849</v>
      </c>
      <c r="B6829" s="2">
        <v>1.0</v>
      </c>
      <c r="C6829" s="4"/>
      <c r="E6829" s="4" t="str">
        <f t="array" ref="E6829">XLOOKUP(A6829,'Fintech, Regulatory Arbitrage, '!A:A,'Fintech, Regulatory Arbitrage, '!C:C,"")</f>
        <v/>
      </c>
    </row>
    <row r="6830">
      <c r="A6830" s="1" t="s">
        <v>6850</v>
      </c>
      <c r="B6830" s="2">
        <v>1.0</v>
      </c>
      <c r="C6830" s="4"/>
      <c r="E6830" s="4" t="str">
        <f t="array" ref="E6830">XLOOKUP(A6830,'Fintech, Regulatory Arbitrage, '!A:A,'Fintech, Regulatory Arbitrage, '!C:C,"")</f>
        <v/>
      </c>
    </row>
    <row r="6831">
      <c r="A6831" s="1" t="s">
        <v>6851</v>
      </c>
      <c r="B6831" s="2">
        <v>1.0</v>
      </c>
      <c r="C6831" s="4"/>
      <c r="E6831" s="4" t="str">
        <f t="array" ref="E6831">XLOOKUP(A6831,'Fintech, Regulatory Arbitrage, '!A:A,'Fintech, Regulatory Arbitrage, '!C:C,"")</f>
        <v/>
      </c>
    </row>
    <row r="6832">
      <c r="A6832" s="1" t="s">
        <v>6852</v>
      </c>
      <c r="B6832" s="2">
        <v>1.0</v>
      </c>
      <c r="C6832" s="4"/>
      <c r="E6832" s="4" t="str">
        <f t="array" ref="E6832">XLOOKUP(A6832,'Fintech, Regulatory Arbitrage, '!A:A,'Fintech, Regulatory Arbitrage, '!C:C,"")</f>
        <v/>
      </c>
    </row>
    <row r="6833">
      <c r="A6833" s="1" t="s">
        <v>6853</v>
      </c>
      <c r="B6833" s="2">
        <v>1.0</v>
      </c>
      <c r="C6833" s="4"/>
      <c r="E6833" s="4" t="str">
        <f t="array" ref="E6833">XLOOKUP(A6833,'Fintech, Regulatory Arbitrage, '!A:A,'Fintech, Regulatory Arbitrage, '!C:C,"")</f>
        <v/>
      </c>
    </row>
    <row r="6834">
      <c r="A6834" s="1" t="s">
        <v>6854</v>
      </c>
      <c r="B6834" s="2">
        <v>1.0</v>
      </c>
      <c r="C6834" s="4"/>
      <c r="E6834" s="4" t="str">
        <f t="array" ref="E6834">XLOOKUP(A6834,'Fintech, Regulatory Arbitrage, '!A:A,'Fintech, Regulatory Arbitrage, '!C:C,"")</f>
        <v/>
      </c>
    </row>
    <row r="6835">
      <c r="A6835" s="1" t="s">
        <v>6855</v>
      </c>
      <c r="B6835" s="2">
        <v>1.0</v>
      </c>
      <c r="C6835" s="4"/>
      <c r="E6835" s="4" t="str">
        <f t="array" ref="E6835">XLOOKUP(A6835,'Fintech, Regulatory Arbitrage, '!A:A,'Fintech, Regulatory Arbitrage, '!C:C,"")</f>
        <v/>
      </c>
    </row>
    <row r="6836">
      <c r="A6836" s="1" t="s">
        <v>6856</v>
      </c>
      <c r="B6836" s="2">
        <v>1.0</v>
      </c>
      <c r="C6836" s="4"/>
      <c r="E6836" s="4" t="str">
        <f t="array" ref="E6836">XLOOKUP(A6836,'Fintech, Regulatory Arbitrage, '!A:A,'Fintech, Regulatory Arbitrage, '!C:C,"")</f>
        <v/>
      </c>
    </row>
    <row r="6837">
      <c r="A6837" s="1" t="s">
        <v>6857</v>
      </c>
      <c r="B6837" s="2">
        <v>1.0</v>
      </c>
      <c r="C6837" s="4"/>
      <c r="E6837" s="4" t="str">
        <f t="array" ref="E6837">XLOOKUP(A6837,'Fintech, Regulatory Arbitrage, '!A:A,'Fintech, Regulatory Arbitrage, '!C:C,"")</f>
        <v/>
      </c>
    </row>
    <row r="6838">
      <c r="A6838" s="1" t="s">
        <v>6858</v>
      </c>
      <c r="B6838" s="2">
        <v>1.0</v>
      </c>
      <c r="C6838" s="4"/>
      <c r="E6838" s="4" t="str">
        <f t="array" ref="E6838">XLOOKUP(A6838,'Fintech, Regulatory Arbitrage, '!A:A,'Fintech, Regulatory Arbitrage, '!C:C,"")</f>
        <v/>
      </c>
    </row>
    <row r="6839">
      <c r="A6839" s="1" t="s">
        <v>6859</v>
      </c>
      <c r="B6839" s="2">
        <v>1.0</v>
      </c>
      <c r="C6839" s="4"/>
      <c r="E6839" s="4" t="str">
        <f t="array" ref="E6839">XLOOKUP(A6839,'Fintech, Regulatory Arbitrage, '!A:A,'Fintech, Regulatory Arbitrage, '!C:C,"")</f>
        <v/>
      </c>
    </row>
    <row r="6840">
      <c r="A6840" s="1" t="s">
        <v>6860</v>
      </c>
      <c r="B6840" s="2">
        <v>1.0</v>
      </c>
      <c r="C6840" s="4"/>
      <c r="E6840" s="4" t="str">
        <f t="array" ref="E6840">XLOOKUP(A6840,'Fintech, Regulatory Arbitrage, '!A:A,'Fintech, Regulatory Arbitrage, '!C:C,"")</f>
        <v/>
      </c>
    </row>
    <row r="6841">
      <c r="A6841" s="1" t="s">
        <v>6861</v>
      </c>
      <c r="B6841" s="2">
        <v>1.0</v>
      </c>
      <c r="C6841" s="4"/>
      <c r="E6841" s="4" t="str">
        <f t="array" ref="E6841">XLOOKUP(A6841,'Fintech, Regulatory Arbitrage, '!A:A,'Fintech, Regulatory Arbitrage, '!C:C,"")</f>
        <v/>
      </c>
    </row>
    <row r="6842">
      <c r="A6842" s="1" t="s">
        <v>6862</v>
      </c>
      <c r="B6842" s="2">
        <v>1.0</v>
      </c>
      <c r="C6842" s="4"/>
      <c r="E6842" s="4" t="str">
        <f t="array" ref="E6842">XLOOKUP(A6842,'Fintech, Regulatory Arbitrage, '!A:A,'Fintech, Regulatory Arbitrage, '!C:C,"")</f>
        <v/>
      </c>
    </row>
    <row r="6843">
      <c r="A6843" s="1" t="s">
        <v>6863</v>
      </c>
      <c r="B6843" s="2">
        <v>1.0</v>
      </c>
      <c r="C6843" s="4"/>
      <c r="E6843" s="4" t="str">
        <f t="array" ref="E6843">XLOOKUP(A6843,'Fintech, Regulatory Arbitrage, '!A:A,'Fintech, Regulatory Arbitrage, '!C:C,"")</f>
        <v/>
      </c>
    </row>
    <row r="6844">
      <c r="A6844" s="1" t="s">
        <v>6864</v>
      </c>
      <c r="B6844" s="2">
        <v>1.0</v>
      </c>
      <c r="C6844" s="4"/>
      <c r="E6844" s="4" t="str">
        <f t="array" ref="E6844">XLOOKUP(A6844,'Fintech, Regulatory Arbitrage, '!A:A,'Fintech, Regulatory Arbitrage, '!C:C,"")</f>
        <v/>
      </c>
    </row>
    <row r="6845">
      <c r="A6845" s="1" t="s">
        <v>6865</v>
      </c>
      <c r="B6845" s="2">
        <v>1.0</v>
      </c>
      <c r="C6845" s="4"/>
      <c r="E6845" s="4" t="str">
        <f t="array" ref="E6845">XLOOKUP(A6845,'Fintech, Regulatory Arbitrage, '!A:A,'Fintech, Regulatory Arbitrage, '!C:C,"")</f>
        <v/>
      </c>
    </row>
    <row r="6846">
      <c r="A6846" s="1" t="s">
        <v>6866</v>
      </c>
      <c r="B6846" s="2">
        <v>1.0</v>
      </c>
      <c r="C6846" s="4"/>
      <c r="E6846" s="4" t="str">
        <f t="array" ref="E6846">XLOOKUP(A6846,'Fintech, Regulatory Arbitrage, '!A:A,'Fintech, Regulatory Arbitrage, '!C:C,"")</f>
        <v/>
      </c>
    </row>
    <row r="6847">
      <c r="A6847" s="1" t="s">
        <v>6867</v>
      </c>
      <c r="B6847" s="2">
        <v>1.0</v>
      </c>
      <c r="C6847" s="4"/>
      <c r="E6847" s="4" t="str">
        <f t="array" ref="E6847">XLOOKUP(A6847,'Fintech, Regulatory Arbitrage, '!A:A,'Fintech, Regulatory Arbitrage, '!C:C,"")</f>
        <v/>
      </c>
    </row>
    <row r="6848">
      <c r="A6848" s="1" t="s">
        <v>6868</v>
      </c>
      <c r="B6848" s="2">
        <v>1.0</v>
      </c>
      <c r="C6848" s="4"/>
      <c r="E6848" s="4" t="str">
        <f t="array" ref="E6848">XLOOKUP(A6848,'Fintech, Regulatory Arbitrage, '!A:A,'Fintech, Regulatory Arbitrage, '!C:C,"")</f>
        <v/>
      </c>
    </row>
    <row r="6849">
      <c r="A6849" s="1" t="s">
        <v>6869</v>
      </c>
      <c r="B6849" s="2">
        <v>1.0</v>
      </c>
      <c r="C6849" s="4"/>
      <c r="E6849" s="4" t="str">
        <f t="array" ref="E6849">XLOOKUP(A6849,'Fintech, Regulatory Arbitrage, '!A:A,'Fintech, Regulatory Arbitrage, '!C:C,"")</f>
        <v/>
      </c>
    </row>
    <row r="6850">
      <c r="A6850" s="1" t="s">
        <v>6870</v>
      </c>
      <c r="B6850" s="2">
        <v>1.0</v>
      </c>
      <c r="C6850" s="4"/>
      <c r="E6850" s="4" t="str">
        <f t="array" ref="E6850">XLOOKUP(A6850,'Fintech, Regulatory Arbitrage, '!A:A,'Fintech, Regulatory Arbitrage, '!C:C,"")</f>
        <v/>
      </c>
    </row>
    <row r="6851">
      <c r="A6851" s="1" t="s">
        <v>6871</v>
      </c>
      <c r="B6851" s="2">
        <v>1.0</v>
      </c>
      <c r="C6851" s="4"/>
      <c r="E6851" s="4" t="str">
        <f t="array" ref="E6851">XLOOKUP(A6851,'Fintech, Regulatory Arbitrage, '!A:A,'Fintech, Regulatory Arbitrage, '!C:C,"")</f>
        <v/>
      </c>
    </row>
    <row r="6852">
      <c r="A6852" s="1" t="s">
        <v>6872</v>
      </c>
      <c r="B6852" s="2">
        <v>1.0</v>
      </c>
      <c r="C6852" s="4"/>
      <c r="E6852" s="4" t="str">
        <f t="array" ref="E6852">XLOOKUP(A6852,'Fintech, Regulatory Arbitrage, '!A:A,'Fintech, Regulatory Arbitrage, '!C:C,"")</f>
        <v/>
      </c>
    </row>
    <row r="6853">
      <c r="A6853" s="1" t="s">
        <v>6873</v>
      </c>
      <c r="B6853" s="2">
        <v>1.0</v>
      </c>
      <c r="C6853" s="4"/>
      <c r="E6853" s="4" t="str">
        <f t="array" ref="E6853">XLOOKUP(A6853,'Fintech, Regulatory Arbitrage, '!A:A,'Fintech, Regulatory Arbitrage, '!C:C,"")</f>
        <v/>
      </c>
    </row>
    <row r="6854">
      <c r="A6854" s="1" t="s">
        <v>6874</v>
      </c>
      <c r="B6854" s="2">
        <v>1.0</v>
      </c>
      <c r="C6854" s="4"/>
      <c r="E6854" s="4" t="str">
        <f t="array" ref="E6854">XLOOKUP(A6854,'Fintech, Regulatory Arbitrage, '!A:A,'Fintech, Regulatory Arbitrage, '!C:C,"")</f>
        <v/>
      </c>
    </row>
    <row r="6855">
      <c r="A6855" s="1" t="s">
        <v>6875</v>
      </c>
      <c r="B6855" s="2">
        <v>1.0</v>
      </c>
      <c r="C6855" s="4"/>
      <c r="E6855" s="4" t="str">
        <f t="array" ref="E6855">XLOOKUP(A6855,'Fintech, Regulatory Arbitrage, '!A:A,'Fintech, Regulatory Arbitrage, '!C:C,"")</f>
        <v/>
      </c>
    </row>
    <row r="6856">
      <c r="A6856" s="1" t="s">
        <v>6876</v>
      </c>
      <c r="B6856" s="2">
        <v>1.0</v>
      </c>
      <c r="C6856" s="4"/>
      <c r="E6856" s="4" t="str">
        <f t="array" ref="E6856">XLOOKUP(A6856,'Fintech, Regulatory Arbitrage, '!A:A,'Fintech, Regulatory Arbitrage, '!C:C,"")</f>
        <v/>
      </c>
    </row>
    <row r="6857">
      <c r="A6857" s="1" t="s">
        <v>6877</v>
      </c>
      <c r="B6857" s="2">
        <v>1.0</v>
      </c>
      <c r="C6857" s="4"/>
      <c r="E6857" s="4" t="str">
        <f t="array" ref="E6857">XLOOKUP(A6857,'Fintech, Regulatory Arbitrage, '!A:A,'Fintech, Regulatory Arbitrage, '!C:C,"")</f>
        <v/>
      </c>
    </row>
    <row r="6858">
      <c r="A6858" s="1" t="s">
        <v>6878</v>
      </c>
      <c r="B6858" s="2">
        <v>1.0</v>
      </c>
      <c r="C6858" s="4"/>
      <c r="E6858" s="4" t="str">
        <f t="array" ref="E6858">XLOOKUP(A6858,'Fintech, Regulatory Arbitrage, '!A:A,'Fintech, Regulatory Arbitrage, '!C:C,"")</f>
        <v/>
      </c>
    </row>
    <row r="6859">
      <c r="A6859" s="1" t="s">
        <v>6879</v>
      </c>
      <c r="B6859" s="2">
        <v>1.0</v>
      </c>
      <c r="C6859" s="4"/>
      <c r="E6859" s="4" t="str">
        <f t="array" ref="E6859">XLOOKUP(A6859,'Fintech, Regulatory Arbitrage, '!A:A,'Fintech, Regulatory Arbitrage, '!C:C,"")</f>
        <v/>
      </c>
    </row>
    <row r="6860">
      <c r="A6860" s="1" t="s">
        <v>6880</v>
      </c>
      <c r="B6860" s="2">
        <v>1.0</v>
      </c>
      <c r="C6860" s="4"/>
      <c r="E6860" s="4" t="str">
        <f t="array" ref="E6860">XLOOKUP(A6860,'Fintech, Regulatory Arbitrage, '!A:A,'Fintech, Regulatory Arbitrage, '!C:C,"")</f>
        <v/>
      </c>
    </row>
    <row r="6861">
      <c r="A6861" s="1" t="s">
        <v>6881</v>
      </c>
      <c r="B6861" s="2">
        <v>1.0</v>
      </c>
      <c r="C6861" s="4"/>
      <c r="E6861" s="4" t="str">
        <f t="array" ref="E6861">XLOOKUP(A6861,'Fintech, Regulatory Arbitrage, '!A:A,'Fintech, Regulatory Arbitrage, '!C:C,"")</f>
        <v/>
      </c>
    </row>
    <row r="6862">
      <c r="A6862" s="1" t="s">
        <v>6882</v>
      </c>
      <c r="B6862" s="2">
        <v>1.0</v>
      </c>
      <c r="C6862" s="4"/>
      <c r="E6862" s="4" t="str">
        <f t="array" ref="E6862">XLOOKUP(A6862,'Fintech, Regulatory Arbitrage, '!A:A,'Fintech, Regulatory Arbitrage, '!C:C,"")</f>
        <v/>
      </c>
    </row>
    <row r="6863">
      <c r="A6863" s="1" t="s">
        <v>6883</v>
      </c>
      <c r="B6863" s="2">
        <v>1.0</v>
      </c>
      <c r="C6863" s="4"/>
      <c r="E6863" s="4" t="str">
        <f t="array" ref="E6863">XLOOKUP(A6863,'Fintech, Regulatory Arbitrage, '!A:A,'Fintech, Regulatory Arbitrage, '!C:C,"")</f>
        <v/>
      </c>
    </row>
    <row r="6864">
      <c r="A6864" s="1" t="s">
        <v>6884</v>
      </c>
      <c r="B6864" s="2">
        <v>1.0</v>
      </c>
      <c r="C6864" s="4"/>
      <c r="E6864" s="4" t="str">
        <f t="array" ref="E6864">XLOOKUP(A6864,'Fintech, Regulatory Arbitrage, '!A:A,'Fintech, Regulatory Arbitrage, '!C:C,"")</f>
        <v/>
      </c>
    </row>
    <row r="6865">
      <c r="A6865" s="1" t="s">
        <v>6885</v>
      </c>
      <c r="B6865" s="2">
        <v>1.0</v>
      </c>
      <c r="C6865" s="4"/>
      <c r="E6865" s="4" t="str">
        <f t="array" ref="E6865">XLOOKUP(A6865,'Fintech, Regulatory Arbitrage, '!A:A,'Fintech, Regulatory Arbitrage, '!C:C,"")</f>
        <v/>
      </c>
    </row>
    <row r="6866">
      <c r="A6866" s="1" t="s">
        <v>6886</v>
      </c>
      <c r="B6866" s="2">
        <v>1.0</v>
      </c>
      <c r="C6866" s="4"/>
      <c r="E6866" s="4" t="str">
        <f t="array" ref="E6866">XLOOKUP(A6866,'Fintech, Regulatory Arbitrage, '!A:A,'Fintech, Regulatory Arbitrage, '!C:C,"")</f>
        <v/>
      </c>
    </row>
    <row r="6867">
      <c r="A6867" s="1" t="s">
        <v>6887</v>
      </c>
      <c r="B6867" s="2">
        <v>1.0</v>
      </c>
      <c r="C6867" s="4"/>
      <c r="E6867" s="4" t="str">
        <f t="array" ref="E6867">XLOOKUP(A6867,'Fintech, Regulatory Arbitrage, '!A:A,'Fintech, Regulatory Arbitrage, '!C:C,"")</f>
        <v/>
      </c>
    </row>
    <row r="6868">
      <c r="A6868" s="1" t="s">
        <v>6888</v>
      </c>
      <c r="B6868" s="2">
        <v>1.0</v>
      </c>
      <c r="C6868" s="4"/>
      <c r="E6868" s="4" t="str">
        <f t="array" ref="E6868">XLOOKUP(A6868,'Fintech, Regulatory Arbitrage, '!A:A,'Fintech, Regulatory Arbitrage, '!C:C,"")</f>
        <v/>
      </c>
    </row>
    <row r="6869">
      <c r="A6869" s="1" t="s">
        <v>6889</v>
      </c>
      <c r="B6869" s="2">
        <v>1.0</v>
      </c>
      <c r="C6869" s="4"/>
      <c r="E6869" s="4" t="str">
        <f t="array" ref="E6869">XLOOKUP(A6869,'Fintech, Regulatory Arbitrage, '!A:A,'Fintech, Regulatory Arbitrage, '!C:C,"")</f>
        <v/>
      </c>
    </row>
    <row r="6870">
      <c r="A6870" s="1" t="s">
        <v>6890</v>
      </c>
      <c r="B6870" s="2">
        <v>1.0</v>
      </c>
      <c r="C6870" s="4"/>
      <c r="E6870" s="4" t="str">
        <f t="array" ref="E6870">XLOOKUP(A6870,'Fintech, Regulatory Arbitrage, '!A:A,'Fintech, Regulatory Arbitrage, '!C:C,"")</f>
        <v/>
      </c>
    </row>
    <row r="6871">
      <c r="A6871" s="1" t="s">
        <v>6891</v>
      </c>
      <c r="B6871" s="2">
        <v>1.0</v>
      </c>
      <c r="C6871" s="4"/>
      <c r="E6871" s="4" t="str">
        <f t="array" ref="E6871">XLOOKUP(A6871,'Fintech, Regulatory Arbitrage, '!A:A,'Fintech, Regulatory Arbitrage, '!C:C,"")</f>
        <v/>
      </c>
    </row>
    <row r="6872">
      <c r="A6872" s="1" t="s">
        <v>6892</v>
      </c>
      <c r="B6872" s="2">
        <v>1.0</v>
      </c>
      <c r="C6872" s="4"/>
      <c r="E6872" s="4" t="str">
        <f t="array" ref="E6872">XLOOKUP(A6872,'Fintech, Regulatory Arbitrage, '!A:A,'Fintech, Regulatory Arbitrage, '!C:C,"")</f>
        <v/>
      </c>
    </row>
    <row r="6873">
      <c r="A6873" s="1" t="s">
        <v>6893</v>
      </c>
      <c r="B6873" s="2">
        <v>1.0</v>
      </c>
      <c r="C6873" s="4"/>
      <c r="E6873" s="4" t="str">
        <f t="array" ref="E6873">XLOOKUP(A6873,'Fintech, Regulatory Arbitrage, '!A:A,'Fintech, Regulatory Arbitrage, '!C:C,"")</f>
        <v/>
      </c>
    </row>
    <row r="6874">
      <c r="A6874" s="1" t="s">
        <v>6894</v>
      </c>
      <c r="B6874" s="2">
        <v>1.0</v>
      </c>
      <c r="C6874" s="4"/>
      <c r="E6874" s="4" t="str">
        <f t="array" ref="E6874">XLOOKUP(A6874,'Fintech, Regulatory Arbitrage, '!A:A,'Fintech, Regulatory Arbitrage, '!C:C,"")</f>
        <v/>
      </c>
    </row>
    <row r="6875">
      <c r="A6875" s="1" t="s">
        <v>6895</v>
      </c>
      <c r="B6875" s="2">
        <v>1.0</v>
      </c>
      <c r="C6875" s="4"/>
      <c r="E6875" s="4" t="str">
        <f t="array" ref="E6875">XLOOKUP(A6875,'Fintech, Regulatory Arbitrage, '!A:A,'Fintech, Regulatory Arbitrage, '!C:C,"")</f>
        <v/>
      </c>
    </row>
    <row r="6876">
      <c r="A6876" s="1" t="s">
        <v>6896</v>
      </c>
      <c r="B6876" s="2">
        <v>1.0</v>
      </c>
      <c r="C6876" s="4"/>
      <c r="E6876" s="4" t="str">
        <f t="array" ref="E6876">XLOOKUP(A6876,'Fintech, Regulatory Arbitrage, '!A:A,'Fintech, Regulatory Arbitrage, '!C:C,"")</f>
        <v/>
      </c>
    </row>
    <row r="6877">
      <c r="A6877" s="1" t="s">
        <v>6897</v>
      </c>
      <c r="B6877" s="2">
        <v>1.0</v>
      </c>
      <c r="C6877" s="4"/>
      <c r="E6877" s="4" t="str">
        <f t="array" ref="E6877">XLOOKUP(A6877,'Fintech, Regulatory Arbitrage, '!A:A,'Fintech, Regulatory Arbitrage, '!C:C,"")</f>
        <v/>
      </c>
    </row>
    <row r="6878">
      <c r="A6878" s="1" t="s">
        <v>6898</v>
      </c>
      <c r="B6878" s="2">
        <v>1.0</v>
      </c>
      <c r="C6878" s="4"/>
      <c r="E6878" s="4" t="str">
        <f t="array" ref="E6878">XLOOKUP(A6878,'Fintech, Regulatory Arbitrage, '!A:A,'Fintech, Regulatory Arbitrage, '!C:C,"")</f>
        <v/>
      </c>
    </row>
    <row r="6879">
      <c r="A6879" s="1" t="s">
        <v>6899</v>
      </c>
      <c r="B6879" s="2">
        <v>1.0</v>
      </c>
      <c r="C6879" s="4"/>
      <c r="E6879" s="4" t="str">
        <f t="array" ref="E6879">XLOOKUP(A6879,'Fintech, Regulatory Arbitrage, '!A:A,'Fintech, Regulatory Arbitrage, '!C:C,"")</f>
        <v/>
      </c>
    </row>
    <row r="6880">
      <c r="A6880" s="1" t="s">
        <v>6900</v>
      </c>
      <c r="B6880" s="2">
        <v>1.0</v>
      </c>
      <c r="C6880" s="4"/>
      <c r="E6880" s="4" t="str">
        <f t="array" ref="E6880">XLOOKUP(A6880,'Fintech, Regulatory Arbitrage, '!A:A,'Fintech, Regulatory Arbitrage, '!C:C,"")</f>
        <v/>
      </c>
    </row>
    <row r="6881">
      <c r="A6881" s="1" t="s">
        <v>6901</v>
      </c>
      <c r="B6881" s="2">
        <v>1.0</v>
      </c>
      <c r="C6881" s="4"/>
      <c r="E6881" s="4" t="str">
        <f t="array" ref="E6881">XLOOKUP(A6881,'Fintech, Regulatory Arbitrage, '!A:A,'Fintech, Regulatory Arbitrage, '!C:C,"")</f>
        <v/>
      </c>
    </row>
    <row r="6882">
      <c r="A6882" s="1" t="s">
        <v>6902</v>
      </c>
      <c r="B6882" s="2">
        <v>1.0</v>
      </c>
      <c r="C6882" s="4"/>
      <c r="E6882" s="4" t="str">
        <f t="array" ref="E6882">XLOOKUP(A6882,'Fintech, Regulatory Arbitrage, '!A:A,'Fintech, Regulatory Arbitrage, '!C:C,"")</f>
        <v/>
      </c>
    </row>
    <row r="6883">
      <c r="A6883" s="1" t="s">
        <v>6903</v>
      </c>
      <c r="B6883" s="2">
        <v>1.0</v>
      </c>
      <c r="C6883" s="4"/>
      <c r="E6883" s="4" t="str">
        <f t="array" ref="E6883">XLOOKUP(A6883,'Fintech, Regulatory Arbitrage, '!A:A,'Fintech, Regulatory Arbitrage, '!C:C,"")</f>
        <v/>
      </c>
    </row>
    <row r="6884">
      <c r="A6884" s="1" t="s">
        <v>6904</v>
      </c>
      <c r="B6884" s="2">
        <v>1.0</v>
      </c>
      <c r="C6884" s="4"/>
      <c r="E6884" s="4" t="str">
        <f t="array" ref="E6884">XLOOKUP(A6884,'Fintech, Regulatory Arbitrage, '!A:A,'Fintech, Regulatory Arbitrage, '!C:C,"")</f>
        <v/>
      </c>
    </row>
    <row r="6885">
      <c r="A6885" s="1" t="s">
        <v>6905</v>
      </c>
      <c r="B6885" s="2">
        <v>1.0</v>
      </c>
      <c r="C6885" s="4"/>
      <c r="E6885" s="4" t="str">
        <f t="array" ref="E6885">XLOOKUP(A6885,'Fintech, Regulatory Arbitrage, '!A:A,'Fintech, Regulatory Arbitrage, '!C:C,"")</f>
        <v/>
      </c>
    </row>
    <row r="6886">
      <c r="A6886" s="1" t="s">
        <v>6906</v>
      </c>
      <c r="B6886" s="2">
        <v>1.0</v>
      </c>
      <c r="C6886" s="4"/>
      <c r="E6886" s="4" t="str">
        <f t="array" ref="E6886">XLOOKUP(A6886,'Fintech, Regulatory Arbitrage, '!A:A,'Fintech, Regulatory Arbitrage, '!C:C,"")</f>
        <v/>
      </c>
    </row>
    <row r="6887">
      <c r="A6887" s="1" t="s">
        <v>6907</v>
      </c>
      <c r="B6887" s="2">
        <v>1.0</v>
      </c>
      <c r="C6887" s="4"/>
      <c r="E6887" s="4" t="str">
        <f t="array" ref="E6887">XLOOKUP(A6887,'Fintech, Regulatory Arbitrage, '!A:A,'Fintech, Regulatory Arbitrage, '!C:C,"")</f>
        <v/>
      </c>
    </row>
    <row r="6888">
      <c r="A6888" s="1" t="s">
        <v>6908</v>
      </c>
      <c r="B6888" s="2">
        <v>1.0</v>
      </c>
      <c r="C6888" s="4"/>
      <c r="E6888" s="4" t="str">
        <f t="array" ref="E6888">XLOOKUP(A6888,'Fintech, Regulatory Arbitrage, '!A:A,'Fintech, Regulatory Arbitrage, '!C:C,"")</f>
        <v/>
      </c>
    </row>
    <row r="6889">
      <c r="A6889" s="1" t="s">
        <v>6909</v>
      </c>
      <c r="B6889" s="2">
        <v>1.0</v>
      </c>
      <c r="C6889" s="4"/>
      <c r="E6889" s="4" t="str">
        <f t="array" ref="E6889">XLOOKUP(A6889,'Fintech, Regulatory Arbitrage, '!A:A,'Fintech, Regulatory Arbitrage, '!C:C,"")</f>
        <v/>
      </c>
    </row>
    <row r="6890">
      <c r="A6890" s="1" t="s">
        <v>6910</v>
      </c>
      <c r="B6890" s="2">
        <v>1.0</v>
      </c>
      <c r="C6890" s="4"/>
      <c r="E6890" s="4" t="str">
        <f t="array" ref="E6890">XLOOKUP(A6890,'Fintech, Regulatory Arbitrage, '!A:A,'Fintech, Regulatory Arbitrage, '!C:C,"")</f>
        <v/>
      </c>
    </row>
    <row r="6891">
      <c r="A6891" s="1" t="s">
        <v>6911</v>
      </c>
      <c r="B6891" s="2">
        <v>1.0</v>
      </c>
      <c r="C6891" s="4"/>
      <c r="E6891" s="4" t="str">
        <f t="array" ref="E6891">XLOOKUP(A6891,'Fintech, Regulatory Arbitrage, '!A:A,'Fintech, Regulatory Arbitrage, '!C:C,"")</f>
        <v/>
      </c>
    </row>
    <row r="6892">
      <c r="A6892" s="1" t="s">
        <v>6912</v>
      </c>
      <c r="B6892" s="2">
        <v>1.0</v>
      </c>
      <c r="C6892" s="4"/>
      <c r="E6892" s="4" t="str">
        <f t="array" ref="E6892">XLOOKUP(A6892,'Fintech, Regulatory Arbitrage, '!A:A,'Fintech, Regulatory Arbitrage, '!C:C,"")</f>
        <v/>
      </c>
    </row>
    <row r="6893">
      <c r="A6893" s="1" t="s">
        <v>6913</v>
      </c>
      <c r="B6893" s="2">
        <v>1.0</v>
      </c>
      <c r="C6893" s="4"/>
      <c r="E6893" s="4" t="str">
        <f t="array" ref="E6893">XLOOKUP(A6893,'Fintech, Regulatory Arbitrage, '!A:A,'Fintech, Regulatory Arbitrage, '!C:C,"")</f>
        <v/>
      </c>
    </row>
    <row r="6894">
      <c r="A6894" s="1" t="s">
        <v>6914</v>
      </c>
      <c r="B6894" s="2">
        <v>1.0</v>
      </c>
      <c r="C6894" s="4"/>
      <c r="E6894" s="4" t="str">
        <f t="array" ref="E6894">XLOOKUP(A6894,'Fintech, Regulatory Arbitrage, '!A:A,'Fintech, Regulatory Arbitrage, '!C:C,"")</f>
        <v/>
      </c>
    </row>
    <row r="6895">
      <c r="A6895" s="1" t="s">
        <v>6915</v>
      </c>
      <c r="B6895" s="2">
        <v>1.0</v>
      </c>
      <c r="C6895" s="4"/>
      <c r="E6895" s="4" t="str">
        <f t="array" ref="E6895">XLOOKUP(A6895,'Fintech, Regulatory Arbitrage, '!A:A,'Fintech, Regulatory Arbitrage, '!C:C,"")</f>
        <v/>
      </c>
    </row>
    <row r="6896">
      <c r="A6896" s="1" t="s">
        <v>6916</v>
      </c>
      <c r="B6896" s="2">
        <v>1.0</v>
      </c>
      <c r="C6896" s="4"/>
      <c r="E6896" s="4" t="str">
        <f t="array" ref="E6896">XLOOKUP(A6896,'Fintech, Regulatory Arbitrage, '!A:A,'Fintech, Regulatory Arbitrage, '!C:C,"")</f>
        <v/>
      </c>
    </row>
    <row r="6897">
      <c r="A6897" s="1" t="s">
        <v>6917</v>
      </c>
      <c r="B6897" s="2">
        <v>1.0</v>
      </c>
      <c r="C6897" s="4"/>
      <c r="E6897" s="4" t="str">
        <f t="array" ref="E6897">XLOOKUP(A6897,'Fintech, Regulatory Arbitrage, '!A:A,'Fintech, Regulatory Arbitrage, '!C:C,"")</f>
        <v/>
      </c>
    </row>
    <row r="6898">
      <c r="A6898" s="1" t="s">
        <v>6918</v>
      </c>
      <c r="B6898" s="2">
        <v>1.0</v>
      </c>
      <c r="C6898" s="4"/>
      <c r="E6898" s="4" t="str">
        <f t="array" ref="E6898">XLOOKUP(A6898,'Fintech, Regulatory Arbitrage, '!A:A,'Fintech, Regulatory Arbitrage, '!C:C,"")</f>
        <v/>
      </c>
    </row>
    <row r="6899">
      <c r="A6899" s="1" t="s">
        <v>6919</v>
      </c>
      <c r="B6899" s="2">
        <v>1.0</v>
      </c>
      <c r="C6899" s="4"/>
      <c r="E6899" s="4" t="str">
        <f t="array" ref="E6899">XLOOKUP(A6899,'Fintech, Regulatory Arbitrage, '!A:A,'Fintech, Regulatory Arbitrage, '!C:C,"")</f>
        <v/>
      </c>
    </row>
    <row r="6900">
      <c r="A6900" s="1" t="s">
        <v>6920</v>
      </c>
      <c r="B6900" s="2">
        <v>1.0</v>
      </c>
      <c r="C6900" s="4"/>
      <c r="E6900" s="4" t="str">
        <f t="array" ref="E6900">XLOOKUP(A6900,'Fintech, Regulatory Arbitrage, '!A:A,'Fintech, Regulatory Arbitrage, '!C:C,"")</f>
        <v/>
      </c>
    </row>
    <row r="6901">
      <c r="A6901" s="1" t="s">
        <v>6921</v>
      </c>
      <c r="B6901" s="2">
        <v>1.0</v>
      </c>
      <c r="C6901" s="4"/>
      <c r="E6901" s="4" t="str">
        <f t="array" ref="E6901">XLOOKUP(A6901,'Fintech, Regulatory Arbitrage, '!A:A,'Fintech, Regulatory Arbitrage, '!C:C,"")</f>
        <v/>
      </c>
    </row>
    <row r="6902">
      <c r="A6902" s="1" t="s">
        <v>6922</v>
      </c>
      <c r="B6902" s="2">
        <v>1.0</v>
      </c>
      <c r="C6902" s="4"/>
      <c r="E6902" s="4" t="str">
        <f t="array" ref="E6902">XLOOKUP(A6902,'Fintech, Regulatory Arbitrage, '!A:A,'Fintech, Regulatory Arbitrage, '!C:C,"")</f>
        <v/>
      </c>
    </row>
    <row r="6903">
      <c r="A6903" s="1" t="s">
        <v>6923</v>
      </c>
      <c r="B6903" s="2">
        <v>1.0</v>
      </c>
      <c r="C6903" s="4"/>
      <c r="E6903" s="4" t="str">
        <f t="array" ref="E6903">XLOOKUP(A6903,'Fintech, Regulatory Arbitrage, '!A:A,'Fintech, Regulatory Arbitrage, '!C:C,"")</f>
        <v/>
      </c>
    </row>
    <row r="6904">
      <c r="A6904" s="1" t="s">
        <v>6924</v>
      </c>
      <c r="B6904" s="2">
        <v>1.0</v>
      </c>
      <c r="C6904" s="4"/>
      <c r="E6904" s="4" t="str">
        <f t="array" ref="E6904">XLOOKUP(A6904,'Fintech, Regulatory Arbitrage, '!A:A,'Fintech, Regulatory Arbitrage, '!C:C,"")</f>
        <v/>
      </c>
    </row>
    <row r="6905">
      <c r="A6905" s="1" t="s">
        <v>6925</v>
      </c>
      <c r="B6905" s="2">
        <v>1.0</v>
      </c>
      <c r="C6905" s="4"/>
      <c r="E6905" s="4" t="str">
        <f t="array" ref="E6905">XLOOKUP(A6905,'Fintech, Regulatory Arbitrage, '!A:A,'Fintech, Regulatory Arbitrage, '!C:C,"")</f>
        <v/>
      </c>
    </row>
    <row r="6906">
      <c r="A6906" s="1" t="s">
        <v>6926</v>
      </c>
      <c r="B6906" s="2">
        <v>1.0</v>
      </c>
      <c r="C6906" s="4"/>
      <c r="E6906" s="4" t="str">
        <f t="array" ref="E6906">XLOOKUP(A6906,'Fintech, Regulatory Arbitrage, '!A:A,'Fintech, Regulatory Arbitrage, '!C:C,"")</f>
        <v/>
      </c>
    </row>
    <row r="6907">
      <c r="A6907" s="1" t="s">
        <v>6927</v>
      </c>
      <c r="B6907" s="2">
        <v>1.0</v>
      </c>
      <c r="C6907" s="4"/>
      <c r="E6907" s="4" t="str">
        <f t="array" ref="E6907">XLOOKUP(A6907,'Fintech, Regulatory Arbitrage, '!A:A,'Fintech, Regulatory Arbitrage, '!C:C,"")</f>
        <v/>
      </c>
    </row>
    <row r="6908">
      <c r="A6908" s="1" t="s">
        <v>6928</v>
      </c>
      <c r="B6908" s="2">
        <v>1.0</v>
      </c>
      <c r="C6908" s="4"/>
      <c r="E6908" s="4" t="str">
        <f t="array" ref="E6908">XLOOKUP(A6908,'Fintech, Regulatory Arbitrage, '!A:A,'Fintech, Regulatory Arbitrage, '!C:C,"")</f>
        <v/>
      </c>
    </row>
    <row r="6909">
      <c r="A6909" s="1" t="s">
        <v>6929</v>
      </c>
      <c r="B6909" s="2">
        <v>1.0</v>
      </c>
      <c r="C6909" s="4"/>
      <c r="E6909" s="4" t="str">
        <f t="array" ref="E6909">XLOOKUP(A6909,'Fintech, Regulatory Arbitrage, '!A:A,'Fintech, Regulatory Arbitrage, '!C:C,"")</f>
        <v/>
      </c>
    </row>
    <row r="6910">
      <c r="A6910" s="1" t="s">
        <v>6930</v>
      </c>
      <c r="B6910" s="2">
        <v>1.0</v>
      </c>
      <c r="C6910" s="4"/>
      <c r="E6910" s="4" t="str">
        <f t="array" ref="E6910">XLOOKUP(A6910,'Fintech, Regulatory Arbitrage, '!A:A,'Fintech, Regulatory Arbitrage, '!C:C,"")</f>
        <v/>
      </c>
    </row>
    <row r="6911">
      <c r="A6911" s="1" t="s">
        <v>6931</v>
      </c>
      <c r="B6911" s="2">
        <v>1.0</v>
      </c>
      <c r="C6911" s="4"/>
      <c r="E6911" s="4" t="str">
        <f t="array" ref="E6911">XLOOKUP(A6911,'Fintech, Regulatory Arbitrage, '!A:A,'Fintech, Regulatory Arbitrage, '!C:C,"")</f>
        <v/>
      </c>
    </row>
    <row r="6912">
      <c r="A6912" s="1" t="s">
        <v>6932</v>
      </c>
      <c r="B6912" s="2">
        <v>1.0</v>
      </c>
      <c r="C6912" s="4"/>
      <c r="E6912" s="4" t="str">
        <f t="array" ref="E6912">XLOOKUP(A6912,'Fintech, Regulatory Arbitrage, '!A:A,'Fintech, Regulatory Arbitrage, '!C:C,"")</f>
        <v/>
      </c>
    </row>
    <row r="6913">
      <c r="A6913" s="1" t="s">
        <v>6933</v>
      </c>
      <c r="B6913" s="2">
        <v>1.0</v>
      </c>
      <c r="C6913" s="4"/>
      <c r="E6913" s="4" t="str">
        <f t="array" ref="E6913">XLOOKUP(A6913,'Fintech, Regulatory Arbitrage, '!A:A,'Fintech, Regulatory Arbitrage, '!C:C,"")</f>
        <v/>
      </c>
    </row>
    <row r="6914">
      <c r="A6914" s="1" t="s">
        <v>6934</v>
      </c>
      <c r="B6914" s="2">
        <v>1.0</v>
      </c>
      <c r="C6914" s="4"/>
      <c r="E6914" s="4" t="str">
        <f t="array" ref="E6914">XLOOKUP(A6914,'Fintech, Regulatory Arbitrage, '!A:A,'Fintech, Regulatory Arbitrage, '!C:C,"")</f>
        <v/>
      </c>
    </row>
    <row r="6915">
      <c r="A6915" s="1" t="s">
        <v>6935</v>
      </c>
      <c r="B6915" s="2">
        <v>1.0</v>
      </c>
      <c r="C6915" s="4"/>
      <c r="E6915" s="4" t="str">
        <f t="array" ref="E6915">XLOOKUP(A6915,'Fintech, Regulatory Arbitrage, '!A:A,'Fintech, Regulatory Arbitrage, '!C:C,"")</f>
        <v/>
      </c>
    </row>
    <row r="6916">
      <c r="A6916" s="1" t="s">
        <v>6936</v>
      </c>
      <c r="B6916" s="2">
        <v>1.0</v>
      </c>
      <c r="C6916" s="4"/>
      <c r="E6916" s="4" t="str">
        <f t="array" ref="E6916">XLOOKUP(A6916,'Fintech, Regulatory Arbitrage, '!A:A,'Fintech, Regulatory Arbitrage, '!C:C,"")</f>
        <v/>
      </c>
    </row>
    <row r="6917">
      <c r="A6917" s="1" t="s">
        <v>6937</v>
      </c>
      <c r="B6917" s="2">
        <v>1.0</v>
      </c>
      <c r="C6917" s="4"/>
      <c r="E6917" s="4" t="str">
        <f t="array" ref="E6917">XLOOKUP(A6917,'Fintech, Regulatory Arbitrage, '!A:A,'Fintech, Regulatory Arbitrage, '!C:C,"")</f>
        <v/>
      </c>
    </row>
    <row r="6918">
      <c r="A6918" s="1" t="s">
        <v>6938</v>
      </c>
      <c r="B6918" s="2">
        <v>1.0</v>
      </c>
      <c r="C6918" s="4"/>
      <c r="E6918" s="4" t="str">
        <f t="array" ref="E6918">XLOOKUP(A6918,'Fintech, Regulatory Arbitrage, '!A:A,'Fintech, Regulatory Arbitrage, '!C:C,"")</f>
        <v/>
      </c>
    </row>
    <row r="6919">
      <c r="A6919" s="1" t="s">
        <v>6939</v>
      </c>
      <c r="B6919" s="2">
        <v>1.0</v>
      </c>
      <c r="C6919" s="4"/>
      <c r="E6919" s="4" t="str">
        <f t="array" ref="E6919">XLOOKUP(A6919,'Fintech, Regulatory Arbitrage, '!A:A,'Fintech, Regulatory Arbitrage, '!C:C,"")</f>
        <v/>
      </c>
    </row>
    <row r="6920">
      <c r="A6920" s="1" t="s">
        <v>6940</v>
      </c>
      <c r="B6920" s="2">
        <v>1.0</v>
      </c>
      <c r="C6920" s="4"/>
      <c r="E6920" s="4" t="str">
        <f t="array" ref="E6920">XLOOKUP(A6920,'Fintech, Regulatory Arbitrage, '!A:A,'Fintech, Regulatory Arbitrage, '!C:C,"")</f>
        <v/>
      </c>
    </row>
    <row r="6921">
      <c r="A6921" s="1" t="s">
        <v>6941</v>
      </c>
      <c r="B6921" s="2">
        <v>1.0</v>
      </c>
      <c r="C6921" s="4"/>
      <c r="E6921" s="4" t="str">
        <f t="array" ref="E6921">XLOOKUP(A6921,'Fintech, Regulatory Arbitrage, '!A:A,'Fintech, Regulatory Arbitrage, '!C:C,"")</f>
        <v/>
      </c>
    </row>
    <row r="6922">
      <c r="A6922" s="1" t="s">
        <v>6942</v>
      </c>
      <c r="B6922" s="2">
        <v>1.0</v>
      </c>
      <c r="C6922" s="4"/>
      <c r="E6922" s="4" t="str">
        <f t="array" ref="E6922">XLOOKUP(A6922,'Fintech, Regulatory Arbitrage, '!A:A,'Fintech, Regulatory Arbitrage, '!C:C,"")</f>
        <v/>
      </c>
    </row>
    <row r="6923">
      <c r="A6923" s="1" t="s">
        <v>6943</v>
      </c>
      <c r="B6923" s="2">
        <v>1.0</v>
      </c>
      <c r="C6923" s="4"/>
      <c r="E6923" s="4" t="str">
        <f t="array" ref="E6923">XLOOKUP(A6923,'Fintech, Regulatory Arbitrage, '!A:A,'Fintech, Regulatory Arbitrage, '!C:C,"")</f>
        <v/>
      </c>
    </row>
    <row r="6924">
      <c r="A6924" s="1" t="s">
        <v>6944</v>
      </c>
      <c r="B6924" s="2">
        <v>1.0</v>
      </c>
      <c r="C6924" s="4"/>
      <c r="E6924" s="4" t="str">
        <f t="array" ref="E6924">XLOOKUP(A6924,'Fintech, Regulatory Arbitrage, '!A:A,'Fintech, Regulatory Arbitrage, '!C:C,"")</f>
        <v/>
      </c>
    </row>
    <row r="6925">
      <c r="A6925" s="1" t="s">
        <v>6945</v>
      </c>
      <c r="B6925" s="2">
        <v>1.0</v>
      </c>
      <c r="C6925" s="4"/>
      <c r="E6925" s="4" t="str">
        <f t="array" ref="E6925">XLOOKUP(A6925,'Fintech, Regulatory Arbitrage, '!A:A,'Fintech, Regulatory Arbitrage, '!C:C,"")</f>
        <v/>
      </c>
    </row>
    <row r="6926">
      <c r="A6926" s="1" t="s">
        <v>6946</v>
      </c>
      <c r="B6926" s="2">
        <v>1.0</v>
      </c>
      <c r="C6926" s="4"/>
      <c r="E6926" s="4" t="str">
        <f t="array" ref="E6926">XLOOKUP(A6926,'Fintech, Regulatory Arbitrage, '!A:A,'Fintech, Regulatory Arbitrage, '!C:C,"")</f>
        <v/>
      </c>
    </row>
    <row r="6927">
      <c r="A6927" s="1" t="s">
        <v>6947</v>
      </c>
      <c r="B6927" s="2">
        <v>1.0</v>
      </c>
      <c r="C6927" s="4"/>
      <c r="E6927" s="4" t="str">
        <f t="array" ref="E6927">XLOOKUP(A6927,'Fintech, Regulatory Arbitrage, '!A:A,'Fintech, Regulatory Arbitrage, '!C:C,"")</f>
        <v/>
      </c>
    </row>
    <row r="6928">
      <c r="A6928" s="1" t="s">
        <v>6948</v>
      </c>
      <c r="B6928" s="2">
        <v>1.0</v>
      </c>
      <c r="C6928" s="4"/>
      <c r="E6928" s="4" t="str">
        <f t="array" ref="E6928">XLOOKUP(A6928,'Fintech, Regulatory Arbitrage, '!A:A,'Fintech, Regulatory Arbitrage, '!C:C,"")</f>
        <v/>
      </c>
    </row>
    <row r="6929">
      <c r="A6929" s="1" t="s">
        <v>6949</v>
      </c>
      <c r="B6929" s="2">
        <v>1.0</v>
      </c>
      <c r="C6929" s="4"/>
      <c r="E6929" s="4" t="str">
        <f t="array" ref="E6929">XLOOKUP(A6929,'Fintech, Regulatory Arbitrage, '!A:A,'Fintech, Regulatory Arbitrage, '!C:C,"")</f>
        <v/>
      </c>
    </row>
    <row r="6930">
      <c r="A6930" s="1" t="s">
        <v>6950</v>
      </c>
      <c r="B6930" s="2">
        <v>1.0</v>
      </c>
      <c r="C6930" s="4"/>
      <c r="E6930" s="4" t="str">
        <f t="array" ref="E6930">XLOOKUP(A6930,'Fintech, Regulatory Arbitrage, '!A:A,'Fintech, Regulatory Arbitrage, '!C:C,"")</f>
        <v/>
      </c>
    </row>
    <row r="6931">
      <c r="A6931" s="1" t="s">
        <v>6951</v>
      </c>
      <c r="B6931" s="2">
        <v>1.0</v>
      </c>
      <c r="C6931" s="4"/>
      <c r="E6931" s="4" t="str">
        <f t="array" ref="E6931">XLOOKUP(A6931,'Fintech, Regulatory Arbitrage, '!A:A,'Fintech, Regulatory Arbitrage, '!C:C,"")</f>
        <v/>
      </c>
    </row>
    <row r="6932">
      <c r="A6932" s="1" t="s">
        <v>6952</v>
      </c>
      <c r="B6932" s="2">
        <v>1.0</v>
      </c>
      <c r="C6932" s="4"/>
      <c r="E6932" s="4" t="str">
        <f t="array" ref="E6932">XLOOKUP(A6932,'Fintech, Regulatory Arbitrage, '!A:A,'Fintech, Regulatory Arbitrage, '!C:C,"")</f>
        <v/>
      </c>
    </row>
    <row r="6933">
      <c r="A6933" s="1" t="s">
        <v>6953</v>
      </c>
      <c r="B6933" s="2">
        <v>1.0</v>
      </c>
      <c r="C6933" s="4"/>
      <c r="E6933" s="4" t="str">
        <f t="array" ref="E6933">XLOOKUP(A6933,'Fintech, Regulatory Arbitrage, '!A:A,'Fintech, Regulatory Arbitrage, '!C:C,"")</f>
        <v/>
      </c>
    </row>
    <row r="6934">
      <c r="A6934" s="1" t="s">
        <v>6954</v>
      </c>
      <c r="B6934" s="2">
        <v>1.0</v>
      </c>
      <c r="C6934" s="4"/>
      <c r="E6934" s="4" t="str">
        <f t="array" ref="E6934">XLOOKUP(A6934,'Fintech, Regulatory Arbitrage, '!A:A,'Fintech, Regulatory Arbitrage, '!C:C,"")</f>
        <v/>
      </c>
    </row>
    <row r="6935">
      <c r="A6935" s="1" t="s">
        <v>6955</v>
      </c>
      <c r="B6935" s="2">
        <v>1.0</v>
      </c>
      <c r="C6935" s="4"/>
      <c r="E6935" s="4" t="str">
        <f t="array" ref="E6935">XLOOKUP(A6935,'Fintech, Regulatory Arbitrage, '!A:A,'Fintech, Regulatory Arbitrage, '!C:C,"")</f>
        <v/>
      </c>
    </row>
    <row r="6936">
      <c r="A6936" s="1" t="s">
        <v>6956</v>
      </c>
      <c r="B6936" s="2">
        <v>1.0</v>
      </c>
      <c r="C6936" s="4"/>
      <c r="E6936" s="4" t="str">
        <f t="array" ref="E6936">XLOOKUP(A6936,'Fintech, Regulatory Arbitrage, '!A:A,'Fintech, Regulatory Arbitrage, '!C:C,"")</f>
        <v/>
      </c>
    </row>
    <row r="6937">
      <c r="A6937" s="1" t="s">
        <v>6957</v>
      </c>
      <c r="B6937" s="2">
        <v>1.0</v>
      </c>
      <c r="C6937" s="4"/>
      <c r="E6937" s="4" t="str">
        <f t="array" ref="E6937">XLOOKUP(A6937,'Fintech, Regulatory Arbitrage, '!A:A,'Fintech, Regulatory Arbitrage, '!C:C,"")</f>
        <v/>
      </c>
    </row>
    <row r="6938">
      <c r="A6938" s="1" t="s">
        <v>6958</v>
      </c>
      <c r="B6938" s="2">
        <v>1.0</v>
      </c>
      <c r="C6938" s="4"/>
      <c r="E6938" s="4" t="str">
        <f t="array" ref="E6938">XLOOKUP(A6938,'Fintech, Regulatory Arbitrage, '!A:A,'Fintech, Regulatory Arbitrage, '!C:C,"")</f>
        <v/>
      </c>
    </row>
    <row r="6939">
      <c r="A6939" s="1" t="s">
        <v>6959</v>
      </c>
      <c r="B6939" s="2">
        <v>1.0</v>
      </c>
      <c r="C6939" s="4"/>
      <c r="E6939" s="4" t="str">
        <f t="array" ref="E6939">XLOOKUP(A6939,'Fintech, Regulatory Arbitrage, '!A:A,'Fintech, Regulatory Arbitrage, '!C:C,"")</f>
        <v/>
      </c>
    </row>
    <row r="6940">
      <c r="A6940" s="1" t="s">
        <v>6960</v>
      </c>
      <c r="B6940" s="2">
        <v>1.0</v>
      </c>
      <c r="C6940" s="4"/>
      <c r="E6940" s="4" t="str">
        <f t="array" ref="E6940">XLOOKUP(A6940,'Fintech, Regulatory Arbitrage, '!A:A,'Fintech, Regulatory Arbitrage, '!C:C,"")</f>
        <v/>
      </c>
    </row>
    <row r="6941">
      <c r="A6941" s="1" t="s">
        <v>6961</v>
      </c>
      <c r="B6941" s="2">
        <v>1.0</v>
      </c>
      <c r="C6941" s="4"/>
      <c r="E6941" s="4" t="str">
        <f t="array" ref="E6941">XLOOKUP(A6941,'Fintech, Regulatory Arbitrage, '!A:A,'Fintech, Regulatory Arbitrage, '!C:C,"")</f>
        <v/>
      </c>
    </row>
    <row r="6942">
      <c r="A6942" s="1" t="s">
        <v>6962</v>
      </c>
      <c r="B6942" s="2">
        <v>1.0</v>
      </c>
      <c r="C6942" s="4"/>
      <c r="E6942" s="4" t="str">
        <f t="array" ref="E6942">XLOOKUP(A6942,'Fintech, Regulatory Arbitrage, '!A:A,'Fintech, Regulatory Arbitrage, '!C:C,"")</f>
        <v/>
      </c>
    </row>
    <row r="6943">
      <c r="A6943" s="1" t="s">
        <v>6963</v>
      </c>
      <c r="B6943" s="2">
        <v>1.0</v>
      </c>
      <c r="C6943" s="4"/>
      <c r="E6943" s="4" t="str">
        <f t="array" ref="E6943">XLOOKUP(A6943,'Fintech, Regulatory Arbitrage, '!A:A,'Fintech, Regulatory Arbitrage, '!C:C,"")</f>
        <v/>
      </c>
    </row>
    <row r="6944">
      <c r="A6944" s="1" t="s">
        <v>6964</v>
      </c>
      <c r="B6944" s="2">
        <v>1.0</v>
      </c>
      <c r="C6944" s="4"/>
      <c r="E6944" s="4" t="str">
        <f t="array" ref="E6944">XLOOKUP(A6944,'Fintech, Regulatory Arbitrage, '!A:A,'Fintech, Regulatory Arbitrage, '!C:C,"")</f>
        <v/>
      </c>
    </row>
    <row r="6945">
      <c r="A6945" s="1" t="s">
        <v>6965</v>
      </c>
      <c r="B6945" s="2">
        <v>1.0</v>
      </c>
      <c r="C6945" s="4"/>
      <c r="E6945" s="4" t="str">
        <f t="array" ref="E6945">XLOOKUP(A6945,'Fintech, Regulatory Arbitrage, '!A:A,'Fintech, Regulatory Arbitrage, '!C:C,"")</f>
        <v/>
      </c>
    </row>
    <row r="6946">
      <c r="A6946" s="1" t="s">
        <v>6966</v>
      </c>
      <c r="B6946" s="2">
        <v>1.0</v>
      </c>
      <c r="C6946" s="4"/>
      <c r="E6946" s="4" t="str">
        <f t="array" ref="E6946">XLOOKUP(A6946,'Fintech, Regulatory Arbitrage, '!A:A,'Fintech, Regulatory Arbitrage, '!C:C,"")</f>
        <v/>
      </c>
    </row>
    <row r="6947">
      <c r="A6947" s="1" t="s">
        <v>6967</v>
      </c>
      <c r="B6947" s="2">
        <v>1.0</v>
      </c>
      <c r="C6947" s="4"/>
      <c r="E6947" s="4" t="str">
        <f t="array" ref="E6947">XLOOKUP(A6947,'Fintech, Regulatory Arbitrage, '!A:A,'Fintech, Regulatory Arbitrage, '!C:C,"")</f>
        <v/>
      </c>
    </row>
    <row r="6948">
      <c r="A6948" s="1" t="s">
        <v>6968</v>
      </c>
      <c r="B6948" s="2">
        <v>1.0</v>
      </c>
      <c r="C6948" s="4"/>
      <c r="E6948" s="4" t="str">
        <f t="array" ref="E6948">XLOOKUP(A6948,'Fintech, Regulatory Arbitrage, '!A:A,'Fintech, Regulatory Arbitrage, '!C:C,"")</f>
        <v/>
      </c>
    </row>
    <row r="6949">
      <c r="A6949" s="1" t="s">
        <v>6969</v>
      </c>
      <c r="B6949" s="2">
        <v>1.0</v>
      </c>
      <c r="C6949" s="4"/>
      <c r="E6949" s="4" t="str">
        <f t="array" ref="E6949">XLOOKUP(A6949,'Fintech, Regulatory Arbitrage, '!A:A,'Fintech, Regulatory Arbitrage, '!C:C,"")</f>
        <v/>
      </c>
    </row>
    <row r="6950">
      <c r="A6950" s="1" t="s">
        <v>6970</v>
      </c>
      <c r="B6950" s="2">
        <v>1.0</v>
      </c>
      <c r="C6950" s="4"/>
      <c r="E6950" s="4" t="str">
        <f t="array" ref="E6950">XLOOKUP(A6950,'Fintech, Regulatory Arbitrage, '!A:A,'Fintech, Regulatory Arbitrage, '!C:C,"")</f>
        <v/>
      </c>
    </row>
    <row r="6951">
      <c r="A6951" s="1" t="s">
        <v>6971</v>
      </c>
      <c r="B6951" s="2">
        <v>1.0</v>
      </c>
      <c r="C6951" s="4"/>
      <c r="E6951" s="4" t="str">
        <f t="array" ref="E6951">XLOOKUP(A6951,'Fintech, Regulatory Arbitrage, '!A:A,'Fintech, Regulatory Arbitrage, '!C:C,"")</f>
        <v/>
      </c>
    </row>
    <row r="6952">
      <c r="A6952" s="1" t="s">
        <v>6972</v>
      </c>
      <c r="B6952" s="2">
        <v>1.0</v>
      </c>
      <c r="C6952" s="4"/>
      <c r="E6952" s="4" t="str">
        <f t="array" ref="E6952">XLOOKUP(A6952,'Fintech, Regulatory Arbitrage, '!A:A,'Fintech, Regulatory Arbitrage, '!C:C,"")</f>
        <v/>
      </c>
    </row>
    <row r="6953">
      <c r="A6953" s="1" t="s">
        <v>6973</v>
      </c>
      <c r="B6953" s="2">
        <v>1.0</v>
      </c>
      <c r="C6953" s="4"/>
      <c r="E6953" s="4" t="str">
        <f t="array" ref="E6953">XLOOKUP(A6953,'Fintech, Regulatory Arbitrage, '!A:A,'Fintech, Regulatory Arbitrage, '!C:C,"")</f>
        <v/>
      </c>
    </row>
    <row r="6954">
      <c r="A6954" s="1" t="s">
        <v>6974</v>
      </c>
      <c r="B6954" s="2">
        <v>1.0</v>
      </c>
      <c r="C6954" s="4"/>
      <c r="E6954" s="4" t="str">
        <f t="array" ref="E6954">XLOOKUP(A6954,'Fintech, Regulatory Arbitrage, '!A:A,'Fintech, Regulatory Arbitrage, '!C:C,"")</f>
        <v/>
      </c>
    </row>
    <row r="6955">
      <c r="A6955" s="1" t="s">
        <v>6975</v>
      </c>
      <c r="B6955" s="2">
        <v>1.0</v>
      </c>
      <c r="C6955" s="4"/>
      <c r="E6955" s="4" t="str">
        <f t="array" ref="E6955">XLOOKUP(A6955,'Fintech, Regulatory Arbitrage, '!A:A,'Fintech, Regulatory Arbitrage, '!C:C,"")</f>
        <v/>
      </c>
    </row>
    <row r="6956">
      <c r="A6956" s="1" t="s">
        <v>6976</v>
      </c>
      <c r="B6956" s="2">
        <v>1.0</v>
      </c>
      <c r="C6956" s="4"/>
      <c r="E6956" s="4" t="str">
        <f t="array" ref="E6956">XLOOKUP(A6956,'Fintech, Regulatory Arbitrage, '!A:A,'Fintech, Regulatory Arbitrage, '!C:C,"")</f>
        <v/>
      </c>
    </row>
    <row r="6957">
      <c r="A6957" s="1" t="s">
        <v>6977</v>
      </c>
      <c r="B6957" s="2">
        <v>1.0</v>
      </c>
      <c r="C6957" s="4"/>
      <c r="E6957" s="4" t="str">
        <f t="array" ref="E6957">XLOOKUP(A6957,'Fintech, Regulatory Arbitrage, '!A:A,'Fintech, Regulatory Arbitrage, '!C:C,"")</f>
        <v/>
      </c>
    </row>
    <row r="6958">
      <c r="A6958" s="1" t="s">
        <v>6978</v>
      </c>
      <c r="B6958" s="2">
        <v>1.0</v>
      </c>
      <c r="C6958" s="4"/>
      <c r="E6958" s="4" t="str">
        <f t="array" ref="E6958">XLOOKUP(A6958,'Fintech, Regulatory Arbitrage, '!A:A,'Fintech, Regulatory Arbitrage, '!C:C,"")</f>
        <v/>
      </c>
    </row>
    <row r="6959">
      <c r="A6959" s="1" t="s">
        <v>6979</v>
      </c>
      <c r="B6959" s="2">
        <v>1.0</v>
      </c>
      <c r="C6959" s="4"/>
      <c r="E6959" s="4" t="str">
        <f t="array" ref="E6959">XLOOKUP(A6959,'Fintech, Regulatory Arbitrage, '!A:A,'Fintech, Regulatory Arbitrage, '!C:C,"")</f>
        <v/>
      </c>
    </row>
    <row r="6960">
      <c r="A6960" s="1" t="s">
        <v>6980</v>
      </c>
      <c r="B6960" s="2">
        <v>1.0</v>
      </c>
      <c r="C6960" s="4"/>
      <c r="E6960" s="4" t="str">
        <f t="array" ref="E6960">XLOOKUP(A6960,'Fintech, Regulatory Arbitrage, '!A:A,'Fintech, Regulatory Arbitrage, '!C:C,"")</f>
        <v/>
      </c>
    </row>
    <row r="6961">
      <c r="A6961" s="1" t="s">
        <v>6981</v>
      </c>
      <c r="B6961" s="2">
        <v>1.0</v>
      </c>
      <c r="C6961" s="4"/>
      <c r="E6961" s="4" t="str">
        <f t="array" ref="E6961">XLOOKUP(A6961,'Fintech, Regulatory Arbitrage, '!A:A,'Fintech, Regulatory Arbitrage, '!C:C,"")</f>
        <v/>
      </c>
    </row>
    <row r="6962">
      <c r="A6962" s="1" t="s">
        <v>6982</v>
      </c>
      <c r="B6962" s="2">
        <v>1.0</v>
      </c>
      <c r="C6962" s="4"/>
      <c r="E6962" s="4" t="str">
        <f t="array" ref="E6962">XLOOKUP(A6962,'Fintech, Regulatory Arbitrage, '!A:A,'Fintech, Regulatory Arbitrage, '!C:C,"")</f>
        <v/>
      </c>
    </row>
    <row r="6963">
      <c r="A6963" s="1" t="s">
        <v>6983</v>
      </c>
      <c r="B6963" s="2">
        <v>1.0</v>
      </c>
      <c r="C6963" s="4"/>
      <c r="E6963" s="4" t="str">
        <f t="array" ref="E6963">XLOOKUP(A6963,'Fintech, Regulatory Arbitrage, '!A:A,'Fintech, Regulatory Arbitrage, '!C:C,"")</f>
        <v/>
      </c>
    </row>
    <row r="6964">
      <c r="A6964" s="1" t="s">
        <v>6984</v>
      </c>
      <c r="B6964" s="2">
        <v>1.0</v>
      </c>
      <c r="C6964" s="4"/>
      <c r="E6964" s="4" t="str">
        <f t="array" ref="E6964">XLOOKUP(A6964,'Fintech, Regulatory Arbitrage, '!A:A,'Fintech, Regulatory Arbitrage, '!C:C,"")</f>
        <v/>
      </c>
    </row>
    <row r="6965">
      <c r="A6965" s="1" t="s">
        <v>6985</v>
      </c>
      <c r="B6965" s="2">
        <v>1.0</v>
      </c>
      <c r="C6965" s="4"/>
      <c r="E6965" s="4" t="str">
        <f t="array" ref="E6965">XLOOKUP(A6965,'Fintech, Regulatory Arbitrage, '!A:A,'Fintech, Regulatory Arbitrage, '!C:C,"")</f>
        <v/>
      </c>
    </row>
    <row r="6966">
      <c r="A6966" s="1" t="s">
        <v>6986</v>
      </c>
      <c r="B6966" s="2">
        <v>1.0</v>
      </c>
      <c r="C6966" s="4"/>
      <c r="E6966" s="4" t="str">
        <f t="array" ref="E6966">XLOOKUP(A6966,'Fintech, Regulatory Arbitrage, '!A:A,'Fintech, Regulatory Arbitrage, '!C:C,"")</f>
        <v/>
      </c>
    </row>
    <row r="6967">
      <c r="A6967" s="1" t="s">
        <v>6987</v>
      </c>
      <c r="B6967" s="2">
        <v>1.0</v>
      </c>
      <c r="C6967" s="4"/>
      <c r="E6967" s="4" t="str">
        <f t="array" ref="E6967">XLOOKUP(A6967,'Fintech, Regulatory Arbitrage, '!A:A,'Fintech, Regulatory Arbitrage, '!C:C,"")</f>
        <v/>
      </c>
    </row>
    <row r="6968">
      <c r="A6968" s="1" t="s">
        <v>6988</v>
      </c>
      <c r="B6968" s="2">
        <v>1.0</v>
      </c>
      <c r="C6968" s="4"/>
      <c r="E6968" s="4" t="str">
        <f t="array" ref="E6968">XLOOKUP(A6968,'Fintech, Regulatory Arbitrage, '!A:A,'Fintech, Regulatory Arbitrage, '!C:C,"")</f>
        <v/>
      </c>
    </row>
    <row r="6969">
      <c r="A6969" s="1" t="s">
        <v>6989</v>
      </c>
      <c r="B6969" s="2">
        <v>1.0</v>
      </c>
      <c r="C6969" s="4"/>
      <c r="E6969" s="4" t="str">
        <f t="array" ref="E6969">XLOOKUP(A6969,'Fintech, Regulatory Arbitrage, '!A:A,'Fintech, Regulatory Arbitrage, '!C:C,"")</f>
        <v/>
      </c>
    </row>
    <row r="6970">
      <c r="A6970" s="1" t="s">
        <v>6990</v>
      </c>
      <c r="B6970" s="2">
        <v>1.0</v>
      </c>
      <c r="C6970" s="4"/>
      <c r="E6970" s="4" t="str">
        <f t="array" ref="E6970">XLOOKUP(A6970,'Fintech, Regulatory Arbitrage, '!A:A,'Fintech, Regulatory Arbitrage, '!C:C,"")</f>
        <v/>
      </c>
    </row>
    <row r="6971">
      <c r="A6971" s="1" t="s">
        <v>6991</v>
      </c>
      <c r="B6971" s="2">
        <v>1.0</v>
      </c>
      <c r="C6971" s="4"/>
      <c r="E6971" s="4" t="str">
        <f t="array" ref="E6971">XLOOKUP(A6971,'Fintech, Regulatory Arbitrage, '!A:A,'Fintech, Regulatory Arbitrage, '!C:C,"")</f>
        <v/>
      </c>
    </row>
    <row r="6972">
      <c r="A6972" s="1" t="s">
        <v>6992</v>
      </c>
      <c r="B6972" s="2">
        <v>1.0</v>
      </c>
      <c r="C6972" s="4"/>
      <c r="E6972" s="4" t="str">
        <f t="array" ref="E6972">XLOOKUP(A6972,'Fintech, Regulatory Arbitrage, '!A:A,'Fintech, Regulatory Arbitrage, '!C:C,"")</f>
        <v/>
      </c>
    </row>
    <row r="6973">
      <c r="A6973" s="1" t="s">
        <v>6993</v>
      </c>
      <c r="B6973" s="2">
        <v>1.0</v>
      </c>
      <c r="C6973" s="4"/>
      <c r="E6973" s="4" t="str">
        <f t="array" ref="E6973">XLOOKUP(A6973,'Fintech, Regulatory Arbitrage, '!A:A,'Fintech, Regulatory Arbitrage, '!C:C,"")</f>
        <v/>
      </c>
    </row>
    <row r="6974">
      <c r="A6974" s="1" t="s">
        <v>6994</v>
      </c>
      <c r="B6974" s="2">
        <v>1.0</v>
      </c>
      <c r="C6974" s="4"/>
      <c r="E6974" s="4" t="str">
        <f t="array" ref="E6974">XLOOKUP(A6974,'Fintech, Regulatory Arbitrage, '!A:A,'Fintech, Regulatory Arbitrage, '!C:C,"")</f>
        <v/>
      </c>
    </row>
    <row r="6975">
      <c r="A6975" s="1" t="s">
        <v>6995</v>
      </c>
      <c r="B6975" s="2">
        <v>1.0</v>
      </c>
      <c r="C6975" s="4"/>
      <c r="E6975" s="4" t="str">
        <f t="array" ref="E6975">XLOOKUP(A6975,'Fintech, Regulatory Arbitrage, '!A:A,'Fintech, Regulatory Arbitrage, '!C:C,"")</f>
        <v/>
      </c>
    </row>
    <row r="6976">
      <c r="A6976" s="1" t="s">
        <v>6996</v>
      </c>
      <c r="B6976" s="2">
        <v>1.0</v>
      </c>
      <c r="C6976" s="4"/>
      <c r="E6976" s="4" t="str">
        <f t="array" ref="E6976">XLOOKUP(A6976,'Fintech, Regulatory Arbitrage, '!A:A,'Fintech, Regulatory Arbitrage, '!C:C,"")</f>
        <v/>
      </c>
    </row>
    <row r="6977">
      <c r="A6977" s="1" t="s">
        <v>6997</v>
      </c>
      <c r="B6977" s="2">
        <v>1.0</v>
      </c>
      <c r="C6977" s="4"/>
      <c r="E6977" s="4" t="str">
        <f t="array" ref="E6977">XLOOKUP(A6977,'Fintech, Regulatory Arbitrage, '!A:A,'Fintech, Regulatory Arbitrage, '!C:C,"")</f>
        <v/>
      </c>
    </row>
    <row r="6978">
      <c r="A6978" s="1" t="s">
        <v>6998</v>
      </c>
      <c r="B6978" s="2">
        <v>1.0</v>
      </c>
      <c r="C6978" s="4"/>
      <c r="E6978" s="4" t="str">
        <f t="array" ref="E6978">XLOOKUP(A6978,'Fintech, Regulatory Arbitrage, '!A:A,'Fintech, Regulatory Arbitrage, '!C:C,"")</f>
        <v/>
      </c>
    </row>
    <row r="6979">
      <c r="A6979" s="1" t="s">
        <v>6999</v>
      </c>
      <c r="B6979" s="2">
        <v>1.0</v>
      </c>
      <c r="C6979" s="4"/>
      <c r="E6979" s="4" t="str">
        <f t="array" ref="E6979">XLOOKUP(A6979,'Fintech, Regulatory Arbitrage, '!A:A,'Fintech, Regulatory Arbitrage, '!C:C,"")</f>
        <v/>
      </c>
    </row>
    <row r="6980">
      <c r="A6980" s="1" t="s">
        <v>7000</v>
      </c>
      <c r="B6980" s="2">
        <v>1.0</v>
      </c>
      <c r="C6980" s="4"/>
      <c r="E6980" s="4" t="str">
        <f t="array" ref="E6980">XLOOKUP(A6980,'Fintech, Regulatory Arbitrage, '!A:A,'Fintech, Regulatory Arbitrage, '!C:C,"")</f>
        <v/>
      </c>
    </row>
    <row r="6981">
      <c r="A6981" s="1" t="s">
        <v>7001</v>
      </c>
      <c r="B6981" s="2">
        <v>1.0</v>
      </c>
      <c r="C6981" s="4"/>
      <c r="E6981" s="4" t="str">
        <f t="array" ref="E6981">XLOOKUP(A6981,'Fintech, Regulatory Arbitrage, '!A:A,'Fintech, Regulatory Arbitrage, '!C:C,"")</f>
        <v/>
      </c>
    </row>
    <row r="6982">
      <c r="A6982" s="1" t="s">
        <v>7002</v>
      </c>
      <c r="B6982" s="2">
        <v>1.0</v>
      </c>
      <c r="C6982" s="4"/>
      <c r="E6982" s="4" t="str">
        <f t="array" ref="E6982">XLOOKUP(A6982,'Fintech, Regulatory Arbitrage, '!A:A,'Fintech, Regulatory Arbitrage, '!C:C,"")</f>
        <v/>
      </c>
    </row>
    <row r="6983">
      <c r="A6983" s="1" t="s">
        <v>7003</v>
      </c>
      <c r="B6983" s="2">
        <v>1.0</v>
      </c>
      <c r="C6983" s="4"/>
      <c r="E6983" s="4" t="str">
        <f t="array" ref="E6983">XLOOKUP(A6983,'Fintech, Regulatory Arbitrage, '!A:A,'Fintech, Regulatory Arbitrage, '!C:C,"")</f>
        <v/>
      </c>
    </row>
    <row r="6984">
      <c r="A6984" s="1" t="s">
        <v>7004</v>
      </c>
      <c r="B6984" s="2">
        <v>1.0</v>
      </c>
      <c r="C6984" s="4"/>
      <c r="E6984" s="4" t="str">
        <f t="array" ref="E6984">XLOOKUP(A6984,'Fintech, Regulatory Arbitrage, '!A:A,'Fintech, Regulatory Arbitrage, '!C:C,"")</f>
        <v/>
      </c>
    </row>
    <row r="6985">
      <c r="A6985" s="1" t="s">
        <v>7005</v>
      </c>
      <c r="B6985" s="2">
        <v>1.0</v>
      </c>
      <c r="C6985" s="4"/>
      <c r="E6985" s="4" t="str">
        <f t="array" ref="E6985">XLOOKUP(A6985,'Fintech, Regulatory Arbitrage, '!A:A,'Fintech, Regulatory Arbitrage, '!C:C,"")</f>
        <v/>
      </c>
    </row>
    <row r="6986">
      <c r="A6986" s="1" t="s">
        <v>7006</v>
      </c>
      <c r="B6986" s="2">
        <v>1.0</v>
      </c>
      <c r="C6986" s="4"/>
      <c r="E6986" s="4" t="str">
        <f t="array" ref="E6986">XLOOKUP(A6986,'Fintech, Regulatory Arbitrage, '!A:A,'Fintech, Regulatory Arbitrage, '!C:C,"")</f>
        <v/>
      </c>
    </row>
    <row r="6987">
      <c r="A6987" s="1" t="s">
        <v>7007</v>
      </c>
      <c r="B6987" s="2">
        <v>1.0</v>
      </c>
      <c r="C6987" s="4"/>
      <c r="E6987" s="4" t="str">
        <f t="array" ref="E6987">XLOOKUP(A6987,'Fintech, Regulatory Arbitrage, '!A:A,'Fintech, Regulatory Arbitrage, '!C:C,"")</f>
        <v/>
      </c>
    </row>
    <row r="6988">
      <c r="A6988" s="1" t="s">
        <v>7008</v>
      </c>
      <c r="B6988" s="2">
        <v>1.0</v>
      </c>
      <c r="C6988" s="4"/>
      <c r="E6988" s="4" t="str">
        <f t="array" ref="E6988">XLOOKUP(A6988,'Fintech, Regulatory Arbitrage, '!A:A,'Fintech, Regulatory Arbitrage, '!C:C,"")</f>
        <v/>
      </c>
    </row>
    <row r="6989">
      <c r="A6989" s="1" t="s">
        <v>7009</v>
      </c>
      <c r="B6989" s="2">
        <v>1.0</v>
      </c>
      <c r="C6989" s="4"/>
      <c r="E6989" s="4" t="str">
        <f t="array" ref="E6989">XLOOKUP(A6989,'Fintech, Regulatory Arbitrage, '!A:A,'Fintech, Regulatory Arbitrage, '!C:C,"")</f>
        <v/>
      </c>
    </row>
    <row r="6990">
      <c r="A6990" s="1" t="s">
        <v>7010</v>
      </c>
      <c r="B6990" s="2">
        <v>1.0</v>
      </c>
      <c r="C6990" s="4"/>
      <c r="E6990" s="4" t="str">
        <f t="array" ref="E6990">XLOOKUP(A6990,'Fintech, Regulatory Arbitrage, '!A:A,'Fintech, Regulatory Arbitrage, '!C:C,"")</f>
        <v/>
      </c>
    </row>
    <row r="6991">
      <c r="A6991" s="1" t="s">
        <v>7011</v>
      </c>
      <c r="B6991" s="2">
        <v>1.0</v>
      </c>
      <c r="C6991" s="4"/>
      <c r="E6991" s="4" t="str">
        <f t="array" ref="E6991">XLOOKUP(A6991,'Fintech, Regulatory Arbitrage, '!A:A,'Fintech, Regulatory Arbitrage, '!C:C,"")</f>
        <v/>
      </c>
    </row>
    <row r="6992">
      <c r="A6992" s="1" t="s">
        <v>7012</v>
      </c>
      <c r="B6992" s="2">
        <v>1.0</v>
      </c>
      <c r="C6992" s="4"/>
      <c r="E6992" s="4" t="str">
        <f t="array" ref="E6992">XLOOKUP(A6992,'Fintech, Regulatory Arbitrage, '!A:A,'Fintech, Regulatory Arbitrage, '!C:C,"")</f>
        <v/>
      </c>
    </row>
    <row r="6993">
      <c r="A6993" s="1" t="s">
        <v>7013</v>
      </c>
      <c r="B6993" s="2">
        <v>1.0</v>
      </c>
      <c r="C6993" s="4"/>
      <c r="E6993" s="4" t="str">
        <f t="array" ref="E6993">XLOOKUP(A6993,'Fintech, Regulatory Arbitrage, '!A:A,'Fintech, Regulatory Arbitrage, '!C:C,"")</f>
        <v/>
      </c>
    </row>
    <row r="6994">
      <c r="A6994" s="1" t="s">
        <v>7014</v>
      </c>
      <c r="B6994" s="2">
        <v>1.0</v>
      </c>
      <c r="C6994" s="4"/>
      <c r="E6994" s="4" t="str">
        <f t="array" ref="E6994">XLOOKUP(A6994,'Fintech, Regulatory Arbitrage, '!A:A,'Fintech, Regulatory Arbitrage, '!C:C,"")</f>
        <v/>
      </c>
    </row>
    <row r="6995">
      <c r="A6995" s="1" t="s">
        <v>7015</v>
      </c>
      <c r="B6995" s="2">
        <v>1.0</v>
      </c>
      <c r="C6995" s="4"/>
      <c r="E6995" s="4" t="str">
        <f t="array" ref="E6995">XLOOKUP(A6995,'Fintech, Regulatory Arbitrage, '!A:A,'Fintech, Regulatory Arbitrage, '!C:C,"")</f>
        <v/>
      </c>
    </row>
    <row r="6996">
      <c r="A6996" s="1" t="s">
        <v>7016</v>
      </c>
      <c r="B6996" s="2">
        <v>1.0</v>
      </c>
      <c r="C6996" s="4"/>
      <c r="E6996" s="4" t="str">
        <f t="array" ref="E6996">XLOOKUP(A6996,'Fintech, Regulatory Arbitrage, '!A:A,'Fintech, Regulatory Arbitrage, '!C:C,"")</f>
        <v/>
      </c>
    </row>
    <row r="6997">
      <c r="A6997" s="1" t="s">
        <v>7017</v>
      </c>
      <c r="B6997" s="2">
        <v>1.0</v>
      </c>
      <c r="C6997" s="4"/>
      <c r="E6997" s="4" t="str">
        <f t="array" ref="E6997">XLOOKUP(A6997,'Fintech, Regulatory Arbitrage, '!A:A,'Fintech, Regulatory Arbitrage, '!C:C,"")</f>
        <v/>
      </c>
    </row>
    <row r="6998">
      <c r="A6998" s="1" t="s">
        <v>7018</v>
      </c>
      <c r="B6998" s="2">
        <v>1.0</v>
      </c>
      <c r="C6998" s="4"/>
      <c r="E6998" s="4" t="str">
        <f t="array" ref="E6998">XLOOKUP(A6998,'Fintech, Regulatory Arbitrage, '!A:A,'Fintech, Regulatory Arbitrage, '!C:C,"")</f>
        <v/>
      </c>
    </row>
    <row r="6999">
      <c r="A6999" s="1" t="s">
        <v>7019</v>
      </c>
      <c r="B6999" s="2">
        <v>1.0</v>
      </c>
      <c r="C6999" s="4"/>
      <c r="E6999" s="4" t="str">
        <f t="array" ref="E6999">XLOOKUP(A6999,'Fintech, Regulatory Arbitrage, '!A:A,'Fintech, Regulatory Arbitrage, '!C:C,"")</f>
        <v/>
      </c>
    </row>
    <row r="7000">
      <c r="A7000" s="1" t="s">
        <v>7020</v>
      </c>
      <c r="B7000" s="2">
        <v>1.0</v>
      </c>
      <c r="C7000" s="4"/>
      <c r="E7000" s="4" t="str">
        <f t="array" ref="E7000">XLOOKUP(A7000,'Fintech, Regulatory Arbitrage, '!A:A,'Fintech, Regulatory Arbitrage, '!C:C,"")</f>
        <v/>
      </c>
    </row>
    <row r="7001">
      <c r="A7001" s="1" t="s">
        <v>7021</v>
      </c>
      <c r="B7001" s="2">
        <v>1.0</v>
      </c>
      <c r="C7001" s="4"/>
      <c r="E7001" s="4" t="str">
        <f t="array" ref="E7001">XLOOKUP(A7001,'Fintech, Regulatory Arbitrage, '!A:A,'Fintech, Regulatory Arbitrage, '!C:C,"")</f>
        <v/>
      </c>
    </row>
    <row r="7002">
      <c r="A7002" s="1" t="s">
        <v>7022</v>
      </c>
      <c r="B7002" s="2">
        <v>1.0</v>
      </c>
      <c r="C7002" s="4"/>
      <c r="E7002" s="4" t="str">
        <f t="array" ref="E7002">XLOOKUP(A7002,'Fintech, Regulatory Arbitrage, '!A:A,'Fintech, Regulatory Arbitrage, '!C:C,"")</f>
        <v/>
      </c>
    </row>
    <row r="7003">
      <c r="A7003" s="1" t="s">
        <v>7023</v>
      </c>
      <c r="B7003" s="2">
        <v>1.0</v>
      </c>
      <c r="C7003" s="4"/>
      <c r="E7003" s="4" t="str">
        <f t="array" ref="E7003">XLOOKUP(A7003,'Fintech, Regulatory Arbitrage, '!A:A,'Fintech, Regulatory Arbitrage, '!C:C,"")</f>
        <v/>
      </c>
    </row>
    <row r="7004">
      <c r="A7004" s="1" t="s">
        <v>7024</v>
      </c>
      <c r="B7004" s="2">
        <v>1.0</v>
      </c>
      <c r="C7004" s="4"/>
      <c r="E7004" s="4" t="str">
        <f t="array" ref="E7004">XLOOKUP(A7004,'Fintech, Regulatory Arbitrage, '!A:A,'Fintech, Regulatory Arbitrage, '!C:C,"")</f>
        <v/>
      </c>
    </row>
    <row r="7005">
      <c r="A7005" s="1" t="s">
        <v>7025</v>
      </c>
      <c r="B7005" s="2">
        <v>1.0</v>
      </c>
      <c r="C7005" s="4"/>
      <c r="E7005" s="4" t="str">
        <f t="array" ref="E7005">XLOOKUP(A7005,'Fintech, Regulatory Arbitrage, '!A:A,'Fintech, Regulatory Arbitrage, '!C:C,"")</f>
        <v/>
      </c>
    </row>
    <row r="7006">
      <c r="A7006" s="1" t="s">
        <v>7026</v>
      </c>
      <c r="B7006" s="2">
        <v>1.0</v>
      </c>
      <c r="C7006" s="4"/>
      <c r="E7006" s="4" t="str">
        <f t="array" ref="E7006">XLOOKUP(A7006,'Fintech, Regulatory Arbitrage, '!A:A,'Fintech, Regulatory Arbitrage, '!C:C,"")</f>
        <v/>
      </c>
    </row>
    <row r="7007">
      <c r="A7007" s="1" t="s">
        <v>7027</v>
      </c>
      <c r="B7007" s="2">
        <v>1.0</v>
      </c>
      <c r="C7007" s="4"/>
      <c r="E7007" s="4" t="str">
        <f t="array" ref="E7007">XLOOKUP(A7007,'Fintech, Regulatory Arbitrage, '!A:A,'Fintech, Regulatory Arbitrage, '!C:C,"")</f>
        <v/>
      </c>
    </row>
    <row r="7008">
      <c r="A7008" s="1" t="s">
        <v>7028</v>
      </c>
      <c r="B7008" s="2">
        <v>1.0</v>
      </c>
      <c r="C7008" s="4"/>
      <c r="E7008" s="4" t="str">
        <f t="array" ref="E7008">XLOOKUP(A7008,'Fintech, Regulatory Arbitrage, '!A:A,'Fintech, Regulatory Arbitrage, '!C:C,"")</f>
        <v/>
      </c>
    </row>
    <row r="7009">
      <c r="A7009" s="1" t="s">
        <v>7029</v>
      </c>
      <c r="B7009" s="2">
        <v>1.0</v>
      </c>
      <c r="C7009" s="4"/>
      <c r="E7009" s="4" t="str">
        <f t="array" ref="E7009">XLOOKUP(A7009,'Fintech, Regulatory Arbitrage, '!A:A,'Fintech, Regulatory Arbitrage, '!C:C,"")</f>
        <v/>
      </c>
    </row>
    <row r="7010">
      <c r="A7010" s="1" t="s">
        <v>7030</v>
      </c>
      <c r="B7010" s="2">
        <v>1.0</v>
      </c>
      <c r="C7010" s="4"/>
      <c r="E7010" s="4" t="str">
        <f t="array" ref="E7010">XLOOKUP(A7010,'Fintech, Regulatory Arbitrage, '!A:A,'Fintech, Regulatory Arbitrage, '!C:C,"")</f>
        <v/>
      </c>
    </row>
    <row r="7011">
      <c r="A7011" s="1" t="s">
        <v>7031</v>
      </c>
      <c r="B7011" s="2">
        <v>1.0</v>
      </c>
      <c r="C7011" s="4"/>
      <c r="E7011" s="4" t="str">
        <f t="array" ref="E7011">XLOOKUP(A7011,'Fintech, Regulatory Arbitrage, '!A:A,'Fintech, Regulatory Arbitrage, '!C:C,"")</f>
        <v/>
      </c>
    </row>
    <row r="7012">
      <c r="A7012" s="1" t="s">
        <v>7032</v>
      </c>
      <c r="B7012" s="2">
        <v>1.0</v>
      </c>
      <c r="C7012" s="4"/>
      <c r="E7012" s="4" t="str">
        <f t="array" ref="E7012">XLOOKUP(A7012,'Fintech, Regulatory Arbitrage, '!A:A,'Fintech, Regulatory Arbitrage, '!C:C,"")</f>
        <v/>
      </c>
    </row>
    <row r="7013">
      <c r="A7013" s="1" t="s">
        <v>7033</v>
      </c>
      <c r="B7013" s="2">
        <v>1.0</v>
      </c>
      <c r="C7013" s="4"/>
      <c r="E7013" s="4" t="str">
        <f t="array" ref="E7013">XLOOKUP(A7013,'Fintech, Regulatory Arbitrage, '!A:A,'Fintech, Regulatory Arbitrage, '!C:C,"")</f>
        <v/>
      </c>
    </row>
    <row r="7014">
      <c r="A7014" s="1" t="s">
        <v>7034</v>
      </c>
      <c r="B7014" s="2">
        <v>1.0</v>
      </c>
      <c r="C7014" s="4"/>
      <c r="E7014" s="4" t="str">
        <f t="array" ref="E7014">XLOOKUP(A7014,'Fintech, Regulatory Arbitrage, '!A:A,'Fintech, Regulatory Arbitrage, '!C:C,"")</f>
        <v/>
      </c>
    </row>
    <row r="7015">
      <c r="A7015" s="1" t="s">
        <v>7035</v>
      </c>
      <c r="B7015" s="2">
        <v>1.0</v>
      </c>
      <c r="C7015" s="4"/>
      <c r="E7015" s="4" t="str">
        <f t="array" ref="E7015">XLOOKUP(A7015,'Fintech, Regulatory Arbitrage, '!A:A,'Fintech, Regulatory Arbitrage, '!C:C,"")</f>
        <v/>
      </c>
    </row>
    <row r="7016">
      <c r="A7016" s="1" t="s">
        <v>7036</v>
      </c>
      <c r="B7016" s="2">
        <v>1.0</v>
      </c>
      <c r="C7016" s="4"/>
      <c r="E7016" s="4" t="str">
        <f t="array" ref="E7016">XLOOKUP(A7016,'Fintech, Regulatory Arbitrage, '!A:A,'Fintech, Regulatory Arbitrage, '!C:C,"")</f>
        <v/>
      </c>
    </row>
    <row r="7017">
      <c r="A7017" s="1" t="s">
        <v>7037</v>
      </c>
      <c r="B7017" s="2">
        <v>1.0</v>
      </c>
      <c r="C7017" s="4"/>
      <c r="E7017" s="4" t="str">
        <f t="array" ref="E7017">XLOOKUP(A7017,'Fintech, Regulatory Arbitrage, '!A:A,'Fintech, Regulatory Arbitrage, '!C:C,"")</f>
        <v/>
      </c>
    </row>
    <row r="7018">
      <c r="A7018" s="1" t="s">
        <v>7038</v>
      </c>
      <c r="B7018" s="2">
        <v>1.0</v>
      </c>
      <c r="C7018" s="4"/>
      <c r="E7018" s="4" t="str">
        <f t="array" ref="E7018">XLOOKUP(A7018,'Fintech, Regulatory Arbitrage, '!A:A,'Fintech, Regulatory Arbitrage, '!C:C,"")</f>
        <v/>
      </c>
    </row>
    <row r="7019">
      <c r="A7019" s="1" t="s">
        <v>7039</v>
      </c>
      <c r="B7019" s="2">
        <v>1.0</v>
      </c>
      <c r="C7019" s="4"/>
      <c r="E7019" s="4" t="str">
        <f t="array" ref="E7019">XLOOKUP(A7019,'Fintech, Regulatory Arbitrage, '!A:A,'Fintech, Regulatory Arbitrage, '!C:C,"")</f>
        <v/>
      </c>
    </row>
    <row r="7020">
      <c r="A7020" s="1" t="s">
        <v>7040</v>
      </c>
      <c r="B7020" s="2">
        <v>1.0</v>
      </c>
      <c r="C7020" s="4"/>
      <c r="E7020" s="4" t="str">
        <f t="array" ref="E7020">XLOOKUP(A7020,'Fintech, Regulatory Arbitrage, '!A:A,'Fintech, Regulatory Arbitrage, '!C:C,"")</f>
        <v/>
      </c>
    </row>
    <row r="7021">
      <c r="A7021" s="1" t="s">
        <v>7041</v>
      </c>
      <c r="B7021" s="2">
        <v>1.0</v>
      </c>
      <c r="C7021" s="4"/>
      <c r="E7021" s="4" t="str">
        <f t="array" ref="E7021">XLOOKUP(A7021,'Fintech, Regulatory Arbitrage, '!A:A,'Fintech, Regulatory Arbitrage, '!C:C,"")</f>
        <v/>
      </c>
    </row>
    <row r="7022">
      <c r="A7022" s="1" t="s">
        <v>7042</v>
      </c>
      <c r="B7022" s="2">
        <v>1.0</v>
      </c>
      <c r="C7022" s="4"/>
      <c r="E7022" s="4" t="str">
        <f t="array" ref="E7022">XLOOKUP(A7022,'Fintech, Regulatory Arbitrage, '!A:A,'Fintech, Regulatory Arbitrage, '!C:C,"")</f>
        <v/>
      </c>
    </row>
    <row r="7023">
      <c r="A7023" s="1" t="s">
        <v>7043</v>
      </c>
      <c r="B7023" s="2">
        <v>1.0</v>
      </c>
      <c r="C7023" s="4"/>
      <c r="E7023" s="4" t="str">
        <f t="array" ref="E7023">XLOOKUP(A7023,'Fintech, Regulatory Arbitrage, '!A:A,'Fintech, Regulatory Arbitrage, '!C:C,"")</f>
        <v/>
      </c>
    </row>
    <row r="7024">
      <c r="A7024" s="1" t="s">
        <v>7044</v>
      </c>
      <c r="B7024" s="2">
        <v>1.0</v>
      </c>
      <c r="C7024" s="4"/>
      <c r="E7024" s="4" t="str">
        <f t="array" ref="E7024">XLOOKUP(A7024,'Fintech, Regulatory Arbitrage, '!A:A,'Fintech, Regulatory Arbitrage, '!C:C,"")</f>
        <v/>
      </c>
    </row>
    <row r="7025">
      <c r="A7025" s="1" t="s">
        <v>7045</v>
      </c>
      <c r="B7025" s="2">
        <v>1.0</v>
      </c>
      <c r="C7025" s="4"/>
      <c r="E7025" s="4" t="str">
        <f t="array" ref="E7025">XLOOKUP(A7025,'Fintech, Regulatory Arbitrage, '!A:A,'Fintech, Regulatory Arbitrage, '!C:C,"")</f>
        <v/>
      </c>
    </row>
    <row r="7026">
      <c r="A7026" s="1" t="s">
        <v>7046</v>
      </c>
      <c r="B7026" s="2">
        <v>1.0</v>
      </c>
      <c r="C7026" s="4"/>
      <c r="E7026" s="4" t="str">
        <f t="array" ref="E7026">XLOOKUP(A7026,'Fintech, Regulatory Arbitrage, '!A:A,'Fintech, Regulatory Arbitrage, '!C:C,"")</f>
        <v/>
      </c>
    </row>
    <row r="7027">
      <c r="A7027" s="1" t="s">
        <v>7047</v>
      </c>
      <c r="B7027" s="2">
        <v>1.0</v>
      </c>
      <c r="C7027" s="4"/>
      <c r="E7027" s="4" t="str">
        <f t="array" ref="E7027">XLOOKUP(A7027,'Fintech, Regulatory Arbitrage, '!A:A,'Fintech, Regulatory Arbitrage, '!C:C,"")</f>
        <v/>
      </c>
    </row>
    <row r="7028">
      <c r="A7028" s="1" t="s">
        <v>7048</v>
      </c>
      <c r="B7028" s="2">
        <v>1.0</v>
      </c>
      <c r="C7028" s="4"/>
      <c r="E7028" s="4" t="str">
        <f t="array" ref="E7028">XLOOKUP(A7028,'Fintech, Regulatory Arbitrage, '!A:A,'Fintech, Regulatory Arbitrage, '!C:C,"")</f>
        <v/>
      </c>
    </row>
    <row r="7029">
      <c r="A7029" s="1" t="s">
        <v>7049</v>
      </c>
      <c r="B7029" s="2">
        <v>1.0</v>
      </c>
      <c r="C7029" s="4"/>
      <c r="E7029" s="4" t="str">
        <f t="array" ref="E7029">XLOOKUP(A7029,'Fintech, Regulatory Arbitrage, '!A:A,'Fintech, Regulatory Arbitrage, '!C:C,"")</f>
        <v/>
      </c>
    </row>
    <row r="7030">
      <c r="A7030" s="1" t="s">
        <v>7050</v>
      </c>
      <c r="B7030" s="2">
        <v>1.0</v>
      </c>
      <c r="C7030" s="4"/>
      <c r="E7030" s="4" t="str">
        <f t="array" ref="E7030">XLOOKUP(A7030,'Fintech, Regulatory Arbitrage, '!A:A,'Fintech, Regulatory Arbitrage, '!C:C,"")</f>
        <v/>
      </c>
    </row>
    <row r="7031">
      <c r="A7031" s="1" t="s">
        <v>7051</v>
      </c>
      <c r="B7031" s="2">
        <v>1.0</v>
      </c>
      <c r="C7031" s="4"/>
      <c r="E7031" s="4" t="str">
        <f t="array" ref="E7031">XLOOKUP(A7031,'Fintech, Regulatory Arbitrage, '!A:A,'Fintech, Regulatory Arbitrage, '!C:C,"")</f>
        <v/>
      </c>
    </row>
    <row r="7032">
      <c r="A7032" s="1" t="s">
        <v>7052</v>
      </c>
      <c r="B7032" s="2">
        <v>1.0</v>
      </c>
      <c r="C7032" s="4"/>
      <c r="E7032" s="4" t="str">
        <f t="array" ref="E7032">XLOOKUP(A7032,'Fintech, Regulatory Arbitrage, '!A:A,'Fintech, Regulatory Arbitrage, '!C:C,"")</f>
        <v/>
      </c>
    </row>
    <row r="7033">
      <c r="A7033" s="1" t="s">
        <v>7053</v>
      </c>
      <c r="B7033" s="2">
        <v>1.0</v>
      </c>
      <c r="C7033" s="4"/>
      <c r="E7033" s="4" t="str">
        <f t="array" ref="E7033">XLOOKUP(A7033,'Fintech, Regulatory Arbitrage, '!A:A,'Fintech, Regulatory Arbitrage, '!C:C,"")</f>
        <v/>
      </c>
    </row>
    <row r="7034">
      <c r="A7034" s="1" t="s">
        <v>7054</v>
      </c>
      <c r="B7034" s="2">
        <v>1.0</v>
      </c>
      <c r="C7034" s="4"/>
      <c r="E7034" s="4" t="str">
        <f t="array" ref="E7034">XLOOKUP(A7034,'Fintech, Regulatory Arbitrage, '!A:A,'Fintech, Regulatory Arbitrage, '!C:C,"")</f>
        <v/>
      </c>
    </row>
    <row r="7035">
      <c r="A7035" s="1" t="s">
        <v>7055</v>
      </c>
      <c r="B7035" s="2">
        <v>1.0</v>
      </c>
      <c r="C7035" s="4"/>
      <c r="E7035" s="4" t="str">
        <f t="array" ref="E7035">XLOOKUP(A7035,'Fintech, Regulatory Arbitrage, '!A:A,'Fintech, Regulatory Arbitrage, '!C:C,"")</f>
        <v/>
      </c>
    </row>
    <row r="7036">
      <c r="A7036" s="1" t="s">
        <v>7056</v>
      </c>
      <c r="B7036" s="2">
        <v>1.0</v>
      </c>
      <c r="C7036" s="4"/>
      <c r="E7036" s="4" t="str">
        <f t="array" ref="E7036">XLOOKUP(A7036,'Fintech, Regulatory Arbitrage, '!A:A,'Fintech, Regulatory Arbitrage, '!C:C,"")</f>
        <v/>
      </c>
    </row>
    <row r="7037">
      <c r="A7037" s="1" t="s">
        <v>7057</v>
      </c>
      <c r="B7037" s="2">
        <v>1.0</v>
      </c>
      <c r="C7037" s="4"/>
      <c r="E7037" s="4" t="str">
        <f t="array" ref="E7037">XLOOKUP(A7037,'Fintech, Regulatory Arbitrage, '!A:A,'Fintech, Regulatory Arbitrage, '!C:C,"")</f>
        <v/>
      </c>
    </row>
    <row r="7038">
      <c r="A7038" s="1" t="s">
        <v>7058</v>
      </c>
      <c r="B7038" s="2">
        <v>1.0</v>
      </c>
      <c r="C7038" s="4"/>
      <c r="E7038" s="4" t="str">
        <f t="array" ref="E7038">XLOOKUP(A7038,'Fintech, Regulatory Arbitrage, '!A:A,'Fintech, Regulatory Arbitrage, '!C:C,"")</f>
        <v/>
      </c>
    </row>
    <row r="7039">
      <c r="A7039" s="1" t="s">
        <v>7059</v>
      </c>
      <c r="B7039" s="2">
        <v>1.0</v>
      </c>
      <c r="C7039" s="4"/>
      <c r="E7039" s="4" t="str">
        <f t="array" ref="E7039">XLOOKUP(A7039,'Fintech, Regulatory Arbitrage, '!A:A,'Fintech, Regulatory Arbitrage, '!C:C,"")</f>
        <v/>
      </c>
    </row>
    <row r="7040">
      <c r="A7040" s="1" t="s">
        <v>7060</v>
      </c>
      <c r="B7040" s="2">
        <v>1.0</v>
      </c>
      <c r="C7040" s="4"/>
      <c r="E7040" s="4" t="str">
        <f t="array" ref="E7040">XLOOKUP(A7040,'Fintech, Regulatory Arbitrage, '!A:A,'Fintech, Regulatory Arbitrage, '!C:C,"")</f>
        <v/>
      </c>
    </row>
    <row r="7041">
      <c r="A7041" s="1" t="s">
        <v>7061</v>
      </c>
      <c r="B7041" s="2">
        <v>1.0</v>
      </c>
      <c r="C7041" s="4"/>
      <c r="E7041" s="4" t="str">
        <f t="array" ref="E7041">XLOOKUP(A7041,'Fintech, Regulatory Arbitrage, '!A:A,'Fintech, Regulatory Arbitrage, '!C:C,"")</f>
        <v/>
      </c>
    </row>
    <row r="7042">
      <c r="A7042" s="1" t="s">
        <v>7062</v>
      </c>
      <c r="B7042" s="2">
        <v>1.0</v>
      </c>
      <c r="C7042" s="4"/>
      <c r="E7042" s="4" t="str">
        <f t="array" ref="E7042">XLOOKUP(A7042,'Fintech, Regulatory Arbitrage, '!A:A,'Fintech, Regulatory Arbitrage, '!C:C,"")</f>
        <v/>
      </c>
    </row>
    <row r="7043">
      <c r="A7043" s="1" t="s">
        <v>7063</v>
      </c>
      <c r="B7043" s="2">
        <v>1.0</v>
      </c>
      <c r="C7043" s="4"/>
      <c r="E7043" s="4" t="str">
        <f t="array" ref="E7043">XLOOKUP(A7043,'Fintech, Regulatory Arbitrage, '!A:A,'Fintech, Regulatory Arbitrage, '!C:C,"")</f>
        <v/>
      </c>
    </row>
    <row r="7044">
      <c r="A7044" s="1" t="s">
        <v>7064</v>
      </c>
      <c r="B7044" s="2">
        <v>1.0</v>
      </c>
      <c r="C7044" s="4"/>
      <c r="E7044" s="4" t="str">
        <f t="array" ref="E7044">XLOOKUP(A7044,'Fintech, Regulatory Arbitrage, '!A:A,'Fintech, Regulatory Arbitrage, '!C:C,"")</f>
        <v/>
      </c>
    </row>
    <row r="7045">
      <c r="A7045" s="1" t="s">
        <v>7065</v>
      </c>
      <c r="B7045" s="2">
        <v>1.0</v>
      </c>
      <c r="C7045" s="4"/>
      <c r="E7045" s="4" t="str">
        <f t="array" ref="E7045">XLOOKUP(A7045,'Fintech, Regulatory Arbitrage, '!A:A,'Fintech, Regulatory Arbitrage, '!C:C,"")</f>
        <v/>
      </c>
    </row>
    <row r="7046">
      <c r="A7046" s="1" t="s">
        <v>7066</v>
      </c>
      <c r="B7046" s="2">
        <v>1.0</v>
      </c>
      <c r="C7046" s="4"/>
      <c r="E7046" s="4" t="str">
        <f t="array" ref="E7046">XLOOKUP(A7046,'Fintech, Regulatory Arbitrage, '!A:A,'Fintech, Regulatory Arbitrage, '!C:C,"")</f>
        <v/>
      </c>
    </row>
    <row r="7047">
      <c r="A7047" s="1" t="s">
        <v>7067</v>
      </c>
      <c r="B7047" s="2">
        <v>1.0</v>
      </c>
      <c r="C7047" s="4"/>
      <c r="E7047" s="4" t="str">
        <f t="array" ref="E7047">XLOOKUP(A7047,'Fintech, Regulatory Arbitrage, '!A:A,'Fintech, Regulatory Arbitrage, '!C:C,"")</f>
        <v/>
      </c>
    </row>
    <row r="7048">
      <c r="A7048" s="1" t="s">
        <v>7068</v>
      </c>
      <c r="B7048" s="2">
        <v>1.0</v>
      </c>
      <c r="C7048" s="4"/>
      <c r="E7048" s="4" t="str">
        <f t="array" ref="E7048">XLOOKUP(A7048,'Fintech, Regulatory Arbitrage, '!A:A,'Fintech, Regulatory Arbitrage, '!C:C,"")</f>
        <v/>
      </c>
    </row>
    <row r="7049">
      <c r="A7049" s="1" t="s">
        <v>7069</v>
      </c>
      <c r="B7049" s="2">
        <v>1.0</v>
      </c>
      <c r="C7049" s="4"/>
      <c r="E7049" s="4" t="str">
        <f t="array" ref="E7049">XLOOKUP(A7049,'Fintech, Regulatory Arbitrage, '!A:A,'Fintech, Regulatory Arbitrage, '!C:C,"")</f>
        <v/>
      </c>
    </row>
    <row r="7050">
      <c r="A7050" s="1" t="s">
        <v>7070</v>
      </c>
      <c r="B7050" s="2">
        <v>1.0</v>
      </c>
      <c r="C7050" s="4"/>
      <c r="E7050" s="4" t="str">
        <f t="array" ref="E7050">XLOOKUP(A7050,'Fintech, Regulatory Arbitrage, '!A:A,'Fintech, Regulatory Arbitrage, '!C:C,"")</f>
        <v/>
      </c>
    </row>
    <row r="7051">
      <c r="A7051" s="1" t="s">
        <v>7071</v>
      </c>
      <c r="B7051" s="2">
        <v>1.0</v>
      </c>
      <c r="C7051" s="4"/>
      <c r="E7051" s="4" t="str">
        <f t="array" ref="E7051">XLOOKUP(A7051,'Fintech, Regulatory Arbitrage, '!A:A,'Fintech, Regulatory Arbitrage, '!C:C,"")</f>
        <v/>
      </c>
    </row>
    <row r="7052">
      <c r="A7052" s="1" t="s">
        <v>7072</v>
      </c>
      <c r="B7052" s="2">
        <v>1.0</v>
      </c>
      <c r="C7052" s="4"/>
      <c r="E7052" s="4" t="str">
        <f t="array" ref="E7052">XLOOKUP(A7052,'Fintech, Regulatory Arbitrage, '!A:A,'Fintech, Regulatory Arbitrage, '!C:C,"")</f>
        <v/>
      </c>
    </row>
    <row r="7053">
      <c r="A7053" s="1" t="s">
        <v>7073</v>
      </c>
      <c r="B7053" s="2">
        <v>1.0</v>
      </c>
      <c r="C7053" s="4"/>
      <c r="E7053" s="4" t="str">
        <f t="array" ref="E7053">XLOOKUP(A7053,'Fintech, Regulatory Arbitrage, '!A:A,'Fintech, Regulatory Arbitrage, '!C:C,"")</f>
        <v/>
      </c>
    </row>
    <row r="7054">
      <c r="A7054" s="1" t="s">
        <v>7074</v>
      </c>
      <c r="B7054" s="2">
        <v>1.0</v>
      </c>
      <c r="C7054" s="4"/>
      <c r="E7054" s="4" t="str">
        <f t="array" ref="E7054">XLOOKUP(A7054,'Fintech, Regulatory Arbitrage, '!A:A,'Fintech, Regulatory Arbitrage, '!C:C,"")</f>
        <v/>
      </c>
    </row>
    <row r="7055">
      <c r="A7055" s="1" t="s">
        <v>7075</v>
      </c>
      <c r="B7055" s="2">
        <v>1.0</v>
      </c>
      <c r="C7055" s="4"/>
      <c r="E7055" s="4" t="str">
        <f t="array" ref="E7055">XLOOKUP(A7055,'Fintech, Regulatory Arbitrage, '!A:A,'Fintech, Regulatory Arbitrage, '!C:C,"")</f>
        <v/>
      </c>
    </row>
    <row r="7056">
      <c r="A7056" s="1" t="s">
        <v>7076</v>
      </c>
      <c r="B7056" s="2">
        <v>1.0</v>
      </c>
      <c r="C7056" s="4"/>
      <c r="E7056" s="4" t="str">
        <f t="array" ref="E7056">XLOOKUP(A7056,'Fintech, Regulatory Arbitrage, '!A:A,'Fintech, Regulatory Arbitrage, '!C:C,"")</f>
        <v/>
      </c>
    </row>
    <row r="7057">
      <c r="A7057" s="1" t="s">
        <v>7077</v>
      </c>
      <c r="B7057" s="2">
        <v>1.0</v>
      </c>
      <c r="C7057" s="4"/>
      <c r="E7057" s="4" t="str">
        <f t="array" ref="E7057">XLOOKUP(A7057,'Fintech, Regulatory Arbitrage, '!A:A,'Fintech, Regulatory Arbitrage, '!C:C,"")</f>
        <v/>
      </c>
    </row>
    <row r="7058">
      <c r="A7058" s="1" t="s">
        <v>7078</v>
      </c>
      <c r="B7058" s="2">
        <v>1.0</v>
      </c>
      <c r="C7058" s="4"/>
      <c r="E7058" s="4" t="str">
        <f t="array" ref="E7058">XLOOKUP(A7058,'Fintech, Regulatory Arbitrage, '!A:A,'Fintech, Regulatory Arbitrage, '!C:C,"")</f>
        <v/>
      </c>
    </row>
    <row r="7059">
      <c r="A7059" s="1" t="s">
        <v>7079</v>
      </c>
      <c r="B7059" s="2">
        <v>1.0</v>
      </c>
      <c r="C7059" s="4"/>
      <c r="E7059" s="4" t="str">
        <f t="array" ref="E7059">XLOOKUP(A7059,'Fintech, Regulatory Arbitrage, '!A:A,'Fintech, Regulatory Arbitrage, '!C:C,"")</f>
        <v/>
      </c>
    </row>
    <row r="7060">
      <c r="A7060" s="1" t="s">
        <v>7080</v>
      </c>
      <c r="B7060" s="2">
        <v>1.0</v>
      </c>
      <c r="C7060" s="4"/>
      <c r="E7060" s="4" t="str">
        <f t="array" ref="E7060">XLOOKUP(A7060,'Fintech, Regulatory Arbitrage, '!A:A,'Fintech, Regulatory Arbitrage, '!C:C,"")</f>
        <v/>
      </c>
    </row>
    <row r="7061">
      <c r="A7061" s="1" t="s">
        <v>7081</v>
      </c>
      <c r="B7061" s="2">
        <v>1.0</v>
      </c>
      <c r="C7061" s="4"/>
      <c r="E7061" s="4" t="str">
        <f t="array" ref="E7061">XLOOKUP(A7061,'Fintech, Regulatory Arbitrage, '!A:A,'Fintech, Regulatory Arbitrage, '!C:C,"")</f>
        <v/>
      </c>
    </row>
    <row r="7062">
      <c r="A7062" s="1" t="s">
        <v>7082</v>
      </c>
      <c r="B7062" s="2">
        <v>1.0</v>
      </c>
      <c r="C7062" s="4"/>
      <c r="E7062" s="4" t="str">
        <f t="array" ref="E7062">XLOOKUP(A7062,'Fintech, Regulatory Arbitrage, '!A:A,'Fintech, Regulatory Arbitrage, '!C:C,"")</f>
        <v/>
      </c>
    </row>
    <row r="7063">
      <c r="A7063" s="1" t="s">
        <v>7083</v>
      </c>
      <c r="B7063" s="2">
        <v>1.0</v>
      </c>
      <c r="C7063" s="4"/>
      <c r="E7063" s="4" t="str">
        <f t="array" ref="E7063">XLOOKUP(A7063,'Fintech, Regulatory Arbitrage, '!A:A,'Fintech, Regulatory Arbitrage, '!C:C,"")</f>
        <v/>
      </c>
    </row>
    <row r="7064">
      <c r="A7064" s="1" t="s">
        <v>7084</v>
      </c>
      <c r="B7064" s="2">
        <v>1.0</v>
      </c>
      <c r="C7064" s="4"/>
      <c r="E7064" s="4" t="str">
        <f t="array" ref="E7064">XLOOKUP(A7064,'Fintech, Regulatory Arbitrage, '!A:A,'Fintech, Regulatory Arbitrage, '!C:C,"")</f>
        <v/>
      </c>
    </row>
    <row r="7065">
      <c r="A7065" s="1" t="s">
        <v>7085</v>
      </c>
      <c r="B7065" s="2">
        <v>1.0</v>
      </c>
      <c r="C7065" s="4"/>
      <c r="E7065" s="4" t="str">
        <f t="array" ref="E7065">XLOOKUP(A7065,'Fintech, Regulatory Arbitrage, '!A:A,'Fintech, Regulatory Arbitrage, '!C:C,"")</f>
        <v/>
      </c>
    </row>
    <row r="7066">
      <c r="A7066" s="1" t="s">
        <v>7086</v>
      </c>
      <c r="B7066" s="2">
        <v>1.0</v>
      </c>
      <c r="C7066" s="4"/>
      <c r="E7066" s="4" t="str">
        <f t="array" ref="E7066">XLOOKUP(A7066,'Fintech, Regulatory Arbitrage, '!A:A,'Fintech, Regulatory Arbitrage, '!C:C,"")</f>
        <v/>
      </c>
    </row>
    <row r="7067">
      <c r="A7067" s="1" t="s">
        <v>7087</v>
      </c>
      <c r="B7067" s="2">
        <v>1.0</v>
      </c>
      <c r="C7067" s="4"/>
      <c r="E7067" s="4" t="str">
        <f t="array" ref="E7067">XLOOKUP(A7067,'Fintech, Regulatory Arbitrage, '!A:A,'Fintech, Regulatory Arbitrage, '!C:C,"")</f>
        <v/>
      </c>
    </row>
    <row r="7068">
      <c r="A7068" s="1" t="s">
        <v>7088</v>
      </c>
      <c r="B7068" s="2">
        <v>1.0</v>
      </c>
      <c r="C7068" s="4"/>
      <c r="E7068" s="4" t="str">
        <f t="array" ref="E7068">XLOOKUP(A7068,'Fintech, Regulatory Arbitrage, '!A:A,'Fintech, Regulatory Arbitrage, '!C:C,"")</f>
        <v/>
      </c>
    </row>
    <row r="7069">
      <c r="A7069" s="1" t="s">
        <v>7089</v>
      </c>
      <c r="B7069" s="2">
        <v>1.0</v>
      </c>
      <c r="C7069" s="4"/>
      <c r="E7069" s="4" t="str">
        <f t="array" ref="E7069">XLOOKUP(A7069,'Fintech, Regulatory Arbitrage, '!A:A,'Fintech, Regulatory Arbitrage, '!C:C,"")</f>
        <v/>
      </c>
    </row>
    <row r="7070">
      <c r="A7070" s="1" t="s">
        <v>7090</v>
      </c>
      <c r="B7070" s="2">
        <v>1.0</v>
      </c>
      <c r="C7070" s="4"/>
      <c r="E7070" s="4" t="str">
        <f t="array" ref="E7070">XLOOKUP(A7070,'Fintech, Regulatory Arbitrage, '!A:A,'Fintech, Regulatory Arbitrage, '!C:C,"")</f>
        <v/>
      </c>
    </row>
    <row r="7071">
      <c r="A7071" s="1" t="s">
        <v>7091</v>
      </c>
      <c r="B7071" s="2">
        <v>1.0</v>
      </c>
      <c r="C7071" s="4"/>
      <c r="E7071" s="4" t="str">
        <f t="array" ref="E7071">XLOOKUP(A7071,'Fintech, Regulatory Arbitrage, '!A:A,'Fintech, Regulatory Arbitrage, '!C:C,"")</f>
        <v/>
      </c>
    </row>
    <row r="7072">
      <c r="A7072" s="1" t="s">
        <v>7092</v>
      </c>
      <c r="B7072" s="2">
        <v>1.0</v>
      </c>
      <c r="C7072" s="4"/>
      <c r="E7072" s="4" t="str">
        <f t="array" ref="E7072">XLOOKUP(A7072,'Fintech, Regulatory Arbitrage, '!A:A,'Fintech, Regulatory Arbitrage, '!C:C,"")</f>
        <v/>
      </c>
    </row>
    <row r="7073">
      <c r="A7073" s="1" t="s">
        <v>7093</v>
      </c>
      <c r="B7073" s="2">
        <v>1.0</v>
      </c>
      <c r="C7073" s="4"/>
      <c r="E7073" s="4" t="str">
        <f t="array" ref="E7073">XLOOKUP(A7073,'Fintech, Regulatory Arbitrage, '!A:A,'Fintech, Regulatory Arbitrage, '!C:C,"")</f>
        <v/>
      </c>
    </row>
    <row r="7074">
      <c r="A7074" s="1" t="s">
        <v>7094</v>
      </c>
      <c r="B7074" s="2">
        <v>1.0</v>
      </c>
      <c r="C7074" s="4"/>
      <c r="E7074" s="4" t="str">
        <f t="array" ref="E7074">XLOOKUP(A7074,'Fintech, Regulatory Arbitrage, '!A:A,'Fintech, Regulatory Arbitrage, '!C:C,"")</f>
        <v/>
      </c>
    </row>
    <row r="7075">
      <c r="A7075" s="1" t="s">
        <v>7095</v>
      </c>
      <c r="B7075" s="2">
        <v>1.0</v>
      </c>
      <c r="C7075" s="4"/>
      <c r="E7075" s="4" t="str">
        <f t="array" ref="E7075">XLOOKUP(A7075,'Fintech, Regulatory Arbitrage, '!A:A,'Fintech, Regulatory Arbitrage, '!C:C,"")</f>
        <v/>
      </c>
    </row>
    <row r="7076">
      <c r="A7076" s="1" t="s">
        <v>7096</v>
      </c>
      <c r="B7076" s="2">
        <v>1.0</v>
      </c>
      <c r="C7076" s="4"/>
      <c r="E7076" s="4" t="str">
        <f t="array" ref="E7076">XLOOKUP(A7076,'Fintech, Regulatory Arbitrage, '!A:A,'Fintech, Regulatory Arbitrage, '!C:C,"")</f>
        <v/>
      </c>
    </row>
    <row r="7077">
      <c r="A7077" s="1" t="s">
        <v>7097</v>
      </c>
      <c r="B7077" s="2">
        <v>1.0</v>
      </c>
      <c r="C7077" s="4"/>
      <c r="E7077" s="4" t="str">
        <f t="array" ref="E7077">XLOOKUP(A7077,'Fintech, Regulatory Arbitrage, '!A:A,'Fintech, Regulatory Arbitrage, '!C:C,"")</f>
        <v/>
      </c>
    </row>
    <row r="7078">
      <c r="A7078" s="1" t="s">
        <v>7098</v>
      </c>
      <c r="B7078" s="2">
        <v>1.0</v>
      </c>
      <c r="C7078" s="4"/>
      <c r="E7078" s="4" t="str">
        <f t="array" ref="E7078">XLOOKUP(A7078,'Fintech, Regulatory Arbitrage, '!A:A,'Fintech, Regulatory Arbitrage, '!C:C,"")</f>
        <v/>
      </c>
    </row>
    <row r="7079">
      <c r="A7079" s="1" t="s">
        <v>7099</v>
      </c>
      <c r="B7079" s="2">
        <v>1.0</v>
      </c>
      <c r="C7079" s="4"/>
      <c r="E7079" s="4" t="str">
        <f t="array" ref="E7079">XLOOKUP(A7079,'Fintech, Regulatory Arbitrage, '!A:A,'Fintech, Regulatory Arbitrage, '!C:C,"")</f>
        <v/>
      </c>
    </row>
    <row r="7080">
      <c r="A7080" s="1" t="s">
        <v>7100</v>
      </c>
      <c r="B7080" s="2">
        <v>1.0</v>
      </c>
      <c r="C7080" s="4"/>
      <c r="E7080" s="4" t="str">
        <f t="array" ref="E7080">XLOOKUP(A7080,'Fintech, Regulatory Arbitrage, '!A:A,'Fintech, Regulatory Arbitrage, '!C:C,"")</f>
        <v/>
      </c>
    </row>
    <row r="7081">
      <c r="A7081" s="1" t="s">
        <v>7101</v>
      </c>
      <c r="B7081" s="2">
        <v>1.0</v>
      </c>
      <c r="C7081" s="4"/>
      <c r="E7081" s="4" t="str">
        <f t="array" ref="E7081">XLOOKUP(A7081,'Fintech, Regulatory Arbitrage, '!A:A,'Fintech, Regulatory Arbitrage, '!C:C,"")</f>
        <v/>
      </c>
    </row>
    <row r="7082">
      <c r="A7082" s="1" t="s">
        <v>7102</v>
      </c>
      <c r="B7082" s="2">
        <v>1.0</v>
      </c>
      <c r="C7082" s="4"/>
      <c r="E7082" s="4" t="str">
        <f t="array" ref="E7082">XLOOKUP(A7082,'Fintech, Regulatory Arbitrage, '!A:A,'Fintech, Regulatory Arbitrage, '!C:C,"")</f>
        <v/>
      </c>
    </row>
    <row r="7083">
      <c r="A7083" s="1" t="s">
        <v>7103</v>
      </c>
      <c r="B7083" s="2">
        <v>1.0</v>
      </c>
      <c r="C7083" s="4"/>
      <c r="E7083" s="4" t="str">
        <f t="array" ref="E7083">XLOOKUP(A7083,'Fintech, Regulatory Arbitrage, '!A:A,'Fintech, Regulatory Arbitrage, '!C:C,"")</f>
        <v/>
      </c>
    </row>
    <row r="7084">
      <c r="A7084" s="1" t="s">
        <v>7104</v>
      </c>
      <c r="B7084" s="2">
        <v>1.0</v>
      </c>
      <c r="C7084" s="4"/>
      <c r="E7084" s="4" t="str">
        <f t="array" ref="E7084">XLOOKUP(A7084,'Fintech, Regulatory Arbitrage, '!A:A,'Fintech, Regulatory Arbitrage, '!C:C,"")</f>
        <v/>
      </c>
    </row>
    <row r="7085">
      <c r="A7085" s="1" t="s">
        <v>7105</v>
      </c>
      <c r="B7085" s="2">
        <v>1.0</v>
      </c>
      <c r="C7085" s="4"/>
      <c r="E7085" s="4" t="str">
        <f t="array" ref="E7085">XLOOKUP(A7085,'Fintech, Regulatory Arbitrage, '!A:A,'Fintech, Regulatory Arbitrage, '!C:C,"")</f>
        <v/>
      </c>
    </row>
    <row r="7086">
      <c r="A7086" s="1" t="s">
        <v>7106</v>
      </c>
      <c r="B7086" s="2">
        <v>1.0</v>
      </c>
      <c r="C7086" s="4"/>
      <c r="E7086" s="4" t="str">
        <f t="array" ref="E7086">XLOOKUP(A7086,'Fintech, Regulatory Arbitrage, '!A:A,'Fintech, Regulatory Arbitrage, '!C:C,"")</f>
        <v/>
      </c>
    </row>
    <row r="7087">
      <c r="A7087" s="1" t="s">
        <v>7107</v>
      </c>
      <c r="B7087" s="2">
        <v>1.0</v>
      </c>
      <c r="C7087" s="4"/>
      <c r="E7087" s="4" t="str">
        <f t="array" ref="E7087">XLOOKUP(A7087,'Fintech, Regulatory Arbitrage, '!A:A,'Fintech, Regulatory Arbitrage, '!C:C,"")</f>
        <v/>
      </c>
    </row>
    <row r="7088">
      <c r="A7088" s="1" t="s">
        <v>7108</v>
      </c>
      <c r="B7088" s="2">
        <v>1.0</v>
      </c>
      <c r="C7088" s="4"/>
      <c r="E7088" s="4" t="str">
        <f t="array" ref="E7088">XLOOKUP(A7088,'Fintech, Regulatory Arbitrage, '!A:A,'Fintech, Regulatory Arbitrage, '!C:C,"")</f>
        <v/>
      </c>
    </row>
    <row r="7089">
      <c r="A7089" s="1" t="s">
        <v>7109</v>
      </c>
      <c r="B7089" s="2">
        <v>1.0</v>
      </c>
      <c r="C7089" s="4"/>
      <c r="E7089" s="4" t="str">
        <f t="array" ref="E7089">XLOOKUP(A7089,'Fintech, Regulatory Arbitrage, '!A:A,'Fintech, Regulatory Arbitrage, '!C:C,"")</f>
        <v/>
      </c>
    </row>
    <row r="7090">
      <c r="A7090" s="1" t="s">
        <v>7110</v>
      </c>
      <c r="B7090" s="2">
        <v>1.0</v>
      </c>
      <c r="C7090" s="4"/>
      <c r="E7090" s="4" t="str">
        <f t="array" ref="E7090">XLOOKUP(A7090,'Fintech, Regulatory Arbitrage, '!A:A,'Fintech, Regulatory Arbitrage, '!C:C,"")</f>
        <v/>
      </c>
    </row>
    <row r="7091">
      <c r="A7091" s="1" t="s">
        <v>7111</v>
      </c>
      <c r="B7091" s="2">
        <v>1.0</v>
      </c>
      <c r="C7091" s="4"/>
      <c r="E7091" s="4" t="str">
        <f t="array" ref="E7091">XLOOKUP(A7091,'Fintech, Regulatory Arbitrage, '!A:A,'Fintech, Regulatory Arbitrage, '!C:C,"")</f>
        <v/>
      </c>
    </row>
    <row r="7092">
      <c r="A7092" s="1" t="s">
        <v>7112</v>
      </c>
      <c r="B7092" s="2">
        <v>1.0</v>
      </c>
      <c r="C7092" s="4"/>
      <c r="E7092" s="4" t="str">
        <f t="array" ref="E7092">XLOOKUP(A7092,'Fintech, Regulatory Arbitrage, '!A:A,'Fintech, Regulatory Arbitrage, '!C:C,"")</f>
        <v/>
      </c>
    </row>
    <row r="7093">
      <c r="A7093" s="1" t="s">
        <v>7113</v>
      </c>
      <c r="B7093" s="2">
        <v>1.0</v>
      </c>
      <c r="C7093" s="4"/>
      <c r="E7093" s="4" t="str">
        <f t="array" ref="E7093">XLOOKUP(A7093,'Fintech, Regulatory Arbitrage, '!A:A,'Fintech, Regulatory Arbitrage, '!C:C,"")</f>
        <v/>
      </c>
    </row>
    <row r="7094">
      <c r="A7094" s="1" t="s">
        <v>7114</v>
      </c>
      <c r="B7094" s="2">
        <v>1.0</v>
      </c>
      <c r="C7094" s="4"/>
      <c r="E7094" s="4" t="str">
        <f t="array" ref="E7094">XLOOKUP(A7094,'Fintech, Regulatory Arbitrage, '!A:A,'Fintech, Regulatory Arbitrage, '!C:C,"")</f>
        <v/>
      </c>
    </row>
    <row r="7095">
      <c r="A7095" s="1" t="s">
        <v>7115</v>
      </c>
      <c r="B7095" s="2">
        <v>1.0</v>
      </c>
      <c r="C7095" s="4"/>
      <c r="E7095" s="4" t="str">
        <f t="array" ref="E7095">XLOOKUP(A7095,'Fintech, Regulatory Arbitrage, '!A:A,'Fintech, Regulatory Arbitrage, '!C:C,"")</f>
        <v/>
      </c>
    </row>
    <row r="7096">
      <c r="A7096" s="1" t="s">
        <v>7116</v>
      </c>
      <c r="B7096" s="2">
        <v>1.0</v>
      </c>
      <c r="C7096" s="4"/>
      <c r="E7096" s="4" t="str">
        <f t="array" ref="E7096">XLOOKUP(A7096,'Fintech, Regulatory Arbitrage, '!A:A,'Fintech, Regulatory Arbitrage, '!C:C,"")</f>
        <v/>
      </c>
    </row>
    <row r="7097">
      <c r="A7097" s="1" t="s">
        <v>7117</v>
      </c>
      <c r="B7097" s="2">
        <v>1.0</v>
      </c>
      <c r="C7097" s="4"/>
      <c r="E7097" s="4" t="str">
        <f t="array" ref="E7097">XLOOKUP(A7097,'Fintech, Regulatory Arbitrage, '!A:A,'Fintech, Regulatory Arbitrage, '!C:C,"")</f>
        <v/>
      </c>
    </row>
    <row r="7098">
      <c r="A7098" s="1" t="s">
        <v>7118</v>
      </c>
      <c r="B7098" s="2">
        <v>1.0</v>
      </c>
      <c r="C7098" s="4"/>
      <c r="E7098" s="4" t="str">
        <f t="array" ref="E7098">XLOOKUP(A7098,'Fintech, Regulatory Arbitrage, '!A:A,'Fintech, Regulatory Arbitrage, '!C:C,"")</f>
        <v/>
      </c>
    </row>
    <row r="7099">
      <c r="A7099" s="1" t="s">
        <v>7119</v>
      </c>
      <c r="B7099" s="2">
        <v>1.0</v>
      </c>
      <c r="C7099" s="4"/>
      <c r="E7099" s="4" t="str">
        <f t="array" ref="E7099">XLOOKUP(A7099,'Fintech, Regulatory Arbitrage, '!A:A,'Fintech, Regulatory Arbitrage, '!C:C,"")</f>
        <v/>
      </c>
    </row>
    <row r="7100">
      <c r="A7100" s="1" t="s">
        <v>7120</v>
      </c>
      <c r="B7100" s="2">
        <v>1.0</v>
      </c>
      <c r="C7100" s="4"/>
      <c r="E7100" s="4" t="str">
        <f t="array" ref="E7100">XLOOKUP(A7100,'Fintech, Regulatory Arbitrage, '!A:A,'Fintech, Regulatory Arbitrage, '!C:C,"")</f>
        <v/>
      </c>
    </row>
    <row r="7101">
      <c r="A7101" s="1" t="s">
        <v>7121</v>
      </c>
      <c r="B7101" s="2">
        <v>1.0</v>
      </c>
      <c r="C7101" s="4"/>
      <c r="E7101" s="4" t="str">
        <f t="array" ref="E7101">XLOOKUP(A7101,'Fintech, Regulatory Arbitrage, '!A:A,'Fintech, Regulatory Arbitrage, '!C:C,"")</f>
        <v/>
      </c>
    </row>
    <row r="7102">
      <c r="A7102" s="1" t="s">
        <v>7122</v>
      </c>
      <c r="B7102" s="2">
        <v>1.0</v>
      </c>
      <c r="C7102" s="4"/>
      <c r="E7102" s="4" t="str">
        <f t="array" ref="E7102">XLOOKUP(A7102,'Fintech, Regulatory Arbitrage, '!A:A,'Fintech, Regulatory Arbitrage, '!C:C,"")</f>
        <v/>
      </c>
    </row>
    <row r="7103">
      <c r="A7103" s="1" t="s">
        <v>7123</v>
      </c>
      <c r="B7103" s="2">
        <v>1.0</v>
      </c>
      <c r="C7103" s="4"/>
      <c r="E7103" s="4" t="str">
        <f t="array" ref="E7103">XLOOKUP(A7103,'Fintech, Regulatory Arbitrage, '!A:A,'Fintech, Regulatory Arbitrage, '!C:C,"")</f>
        <v/>
      </c>
    </row>
    <row r="7104">
      <c r="A7104" s="1" t="s">
        <v>7124</v>
      </c>
      <c r="B7104" s="2">
        <v>1.0</v>
      </c>
      <c r="C7104" s="4"/>
      <c r="E7104" s="4" t="str">
        <f t="array" ref="E7104">XLOOKUP(A7104,'Fintech, Regulatory Arbitrage, '!A:A,'Fintech, Regulatory Arbitrage, '!C:C,"")</f>
        <v/>
      </c>
    </row>
    <row r="7105">
      <c r="A7105" s="1" t="s">
        <v>7125</v>
      </c>
      <c r="B7105" s="2">
        <v>1.0</v>
      </c>
      <c r="C7105" s="4"/>
      <c r="E7105" s="4" t="str">
        <f t="array" ref="E7105">XLOOKUP(A7105,'Fintech, Regulatory Arbitrage, '!A:A,'Fintech, Regulatory Arbitrage, '!C:C,"")</f>
        <v/>
      </c>
    </row>
    <row r="7106">
      <c r="A7106" s="1" t="s">
        <v>7126</v>
      </c>
      <c r="B7106" s="2">
        <v>1.0</v>
      </c>
      <c r="C7106" s="4"/>
      <c r="E7106" s="4" t="str">
        <f t="array" ref="E7106">XLOOKUP(A7106,'Fintech, Regulatory Arbitrage, '!A:A,'Fintech, Regulatory Arbitrage, '!C:C,"")</f>
        <v/>
      </c>
    </row>
    <row r="7107">
      <c r="A7107" s="1" t="s">
        <v>7127</v>
      </c>
      <c r="B7107" s="2">
        <v>1.0</v>
      </c>
      <c r="C7107" s="4"/>
      <c r="E7107" s="4" t="str">
        <f t="array" ref="E7107">XLOOKUP(A7107,'Fintech, Regulatory Arbitrage, '!A:A,'Fintech, Regulatory Arbitrage, '!C:C,"")</f>
        <v/>
      </c>
    </row>
    <row r="7108">
      <c r="A7108" s="1" t="s">
        <v>7128</v>
      </c>
      <c r="B7108" s="2">
        <v>1.0</v>
      </c>
      <c r="C7108" s="4"/>
      <c r="E7108" s="4" t="str">
        <f t="array" ref="E7108">XLOOKUP(A7108,'Fintech, Regulatory Arbitrage, '!A:A,'Fintech, Regulatory Arbitrage, '!C:C,"")</f>
        <v/>
      </c>
    </row>
    <row r="7109">
      <c r="A7109" s="1" t="s">
        <v>7129</v>
      </c>
      <c r="B7109" s="2">
        <v>1.0</v>
      </c>
      <c r="C7109" s="4"/>
      <c r="E7109" s="4" t="str">
        <f t="array" ref="E7109">XLOOKUP(A7109,'Fintech, Regulatory Arbitrage, '!A:A,'Fintech, Regulatory Arbitrage, '!C:C,"")</f>
        <v/>
      </c>
    </row>
    <row r="7110">
      <c r="A7110" s="1" t="s">
        <v>7130</v>
      </c>
      <c r="B7110" s="2">
        <v>1.0</v>
      </c>
      <c r="C7110" s="4"/>
      <c r="E7110" s="4" t="str">
        <f t="array" ref="E7110">XLOOKUP(A7110,'Fintech, Regulatory Arbitrage, '!A:A,'Fintech, Regulatory Arbitrage, '!C:C,"")</f>
        <v/>
      </c>
    </row>
    <row r="7111">
      <c r="A7111" s="1" t="s">
        <v>7131</v>
      </c>
      <c r="B7111" s="2">
        <v>1.0</v>
      </c>
      <c r="C7111" s="4"/>
      <c r="E7111" s="4" t="str">
        <f t="array" ref="E7111">XLOOKUP(A7111,'Fintech, Regulatory Arbitrage, '!A:A,'Fintech, Regulatory Arbitrage, '!C:C,"")</f>
        <v/>
      </c>
    </row>
    <row r="7112">
      <c r="A7112" s="1" t="s">
        <v>7132</v>
      </c>
      <c r="B7112" s="2">
        <v>1.0</v>
      </c>
      <c r="C7112" s="4"/>
      <c r="E7112" s="4" t="str">
        <f t="array" ref="E7112">XLOOKUP(A7112,'Fintech, Regulatory Arbitrage, '!A:A,'Fintech, Regulatory Arbitrage, '!C:C,"")</f>
        <v/>
      </c>
    </row>
    <row r="7113">
      <c r="A7113" s="1" t="s">
        <v>7133</v>
      </c>
      <c r="B7113" s="2">
        <v>1.0</v>
      </c>
      <c r="C7113" s="4"/>
      <c r="E7113" s="4" t="str">
        <f t="array" ref="E7113">XLOOKUP(A7113,'Fintech, Regulatory Arbitrage, '!A:A,'Fintech, Regulatory Arbitrage, '!C:C,"")</f>
        <v/>
      </c>
    </row>
    <row r="7114">
      <c r="A7114" s="1" t="s">
        <v>7134</v>
      </c>
      <c r="B7114" s="2">
        <v>1.0</v>
      </c>
      <c r="C7114" s="4"/>
      <c r="E7114" s="4" t="str">
        <f t="array" ref="E7114">XLOOKUP(A7114,'Fintech, Regulatory Arbitrage, '!A:A,'Fintech, Regulatory Arbitrage, '!C:C,"")</f>
        <v/>
      </c>
    </row>
    <row r="7115">
      <c r="A7115" s="1" t="s">
        <v>7135</v>
      </c>
      <c r="B7115" s="2">
        <v>1.0</v>
      </c>
      <c r="C7115" s="4"/>
      <c r="E7115" s="4" t="str">
        <f t="array" ref="E7115">XLOOKUP(A7115,'Fintech, Regulatory Arbitrage, '!A:A,'Fintech, Regulatory Arbitrage, '!C:C,"")</f>
        <v/>
      </c>
    </row>
    <row r="7116">
      <c r="A7116" s="1" t="s">
        <v>7136</v>
      </c>
      <c r="B7116" s="2">
        <v>1.0</v>
      </c>
      <c r="C7116" s="4"/>
      <c r="E7116" s="4" t="str">
        <f t="array" ref="E7116">XLOOKUP(A7116,'Fintech, Regulatory Arbitrage, '!A:A,'Fintech, Regulatory Arbitrage, '!C:C,"")</f>
        <v/>
      </c>
    </row>
    <row r="7117">
      <c r="A7117" s="1" t="s">
        <v>7137</v>
      </c>
      <c r="B7117" s="2">
        <v>1.0</v>
      </c>
      <c r="C7117" s="4"/>
      <c r="E7117" s="4" t="str">
        <f t="array" ref="E7117">XLOOKUP(A7117,'Fintech, Regulatory Arbitrage, '!A:A,'Fintech, Regulatory Arbitrage, '!C:C,"")</f>
        <v/>
      </c>
    </row>
    <row r="7118">
      <c r="A7118" s="1" t="s">
        <v>7138</v>
      </c>
      <c r="B7118" s="2">
        <v>1.0</v>
      </c>
      <c r="C7118" s="4"/>
      <c r="E7118" s="4" t="str">
        <f t="array" ref="E7118">XLOOKUP(A7118,'Fintech, Regulatory Arbitrage, '!A:A,'Fintech, Regulatory Arbitrage, '!C:C,"")</f>
        <v/>
      </c>
    </row>
    <row r="7119">
      <c r="A7119" s="1" t="s">
        <v>7139</v>
      </c>
      <c r="B7119" s="2">
        <v>1.0</v>
      </c>
      <c r="C7119" s="4"/>
      <c r="E7119" s="4" t="str">
        <f t="array" ref="E7119">XLOOKUP(A7119,'Fintech, Regulatory Arbitrage, '!A:A,'Fintech, Regulatory Arbitrage, '!C:C,"")</f>
        <v/>
      </c>
    </row>
    <row r="7120">
      <c r="A7120" s="1" t="s">
        <v>7140</v>
      </c>
      <c r="B7120" s="2">
        <v>1.0</v>
      </c>
      <c r="C7120" s="4"/>
      <c r="E7120" s="4" t="str">
        <f t="array" ref="E7120">XLOOKUP(A7120,'Fintech, Regulatory Arbitrage, '!A:A,'Fintech, Regulatory Arbitrage, '!C:C,"")</f>
        <v/>
      </c>
    </row>
    <row r="7121">
      <c r="A7121" s="1" t="s">
        <v>7141</v>
      </c>
      <c r="B7121" s="2">
        <v>1.0</v>
      </c>
      <c r="C7121" s="4"/>
      <c r="E7121" s="4" t="str">
        <f t="array" ref="E7121">XLOOKUP(A7121,'Fintech, Regulatory Arbitrage, '!A:A,'Fintech, Regulatory Arbitrage, '!C:C,"")</f>
        <v/>
      </c>
    </row>
    <row r="7122">
      <c r="A7122" s="1" t="s">
        <v>7142</v>
      </c>
      <c r="B7122" s="2">
        <v>1.0</v>
      </c>
      <c r="C7122" s="4"/>
      <c r="E7122" s="4" t="str">
        <f t="array" ref="E7122">XLOOKUP(A7122,'Fintech, Regulatory Arbitrage, '!A:A,'Fintech, Regulatory Arbitrage, '!C:C,"")</f>
        <v/>
      </c>
    </row>
    <row r="7123">
      <c r="A7123" s="1" t="s">
        <v>7143</v>
      </c>
      <c r="B7123" s="2">
        <v>1.0</v>
      </c>
      <c r="C7123" s="4"/>
      <c r="E7123" s="4" t="str">
        <f t="array" ref="E7123">XLOOKUP(A7123,'Fintech, Regulatory Arbitrage, '!A:A,'Fintech, Regulatory Arbitrage, '!C:C,"")</f>
        <v/>
      </c>
    </row>
    <row r="7124">
      <c r="A7124" s="1" t="s">
        <v>7144</v>
      </c>
      <c r="B7124" s="2">
        <v>1.0</v>
      </c>
      <c r="C7124" s="4"/>
      <c r="E7124" s="4" t="str">
        <f t="array" ref="E7124">XLOOKUP(A7124,'Fintech, Regulatory Arbitrage, '!A:A,'Fintech, Regulatory Arbitrage, '!C:C,"")</f>
        <v/>
      </c>
    </row>
    <row r="7125">
      <c r="A7125" s="1" t="s">
        <v>7145</v>
      </c>
      <c r="B7125" s="2">
        <v>1.0</v>
      </c>
      <c r="C7125" s="4"/>
      <c r="E7125" s="4" t="str">
        <f t="array" ref="E7125">XLOOKUP(A7125,'Fintech, Regulatory Arbitrage, '!A:A,'Fintech, Regulatory Arbitrage, '!C:C,"")</f>
        <v/>
      </c>
    </row>
    <row r="7126">
      <c r="A7126" s="1" t="s">
        <v>7146</v>
      </c>
      <c r="B7126" s="2">
        <v>1.0</v>
      </c>
      <c r="C7126" s="4"/>
      <c r="E7126" s="4" t="str">
        <f t="array" ref="E7126">XLOOKUP(A7126,'Fintech, Regulatory Arbitrage, '!A:A,'Fintech, Regulatory Arbitrage, '!C:C,"")</f>
        <v/>
      </c>
    </row>
    <row r="7127">
      <c r="A7127" s="1" t="s">
        <v>7147</v>
      </c>
      <c r="B7127" s="2">
        <v>1.0</v>
      </c>
      <c r="C7127" s="4"/>
      <c r="E7127" s="4" t="str">
        <f t="array" ref="E7127">XLOOKUP(A7127,'Fintech, Regulatory Arbitrage, '!A:A,'Fintech, Regulatory Arbitrage, '!C:C,"")</f>
        <v/>
      </c>
    </row>
    <row r="7128">
      <c r="A7128" s="1" t="s">
        <v>7148</v>
      </c>
      <c r="B7128" s="2">
        <v>1.0</v>
      </c>
      <c r="C7128" s="4"/>
      <c r="E7128" s="4" t="str">
        <f t="array" ref="E7128">XLOOKUP(A7128,'Fintech, Regulatory Arbitrage, '!A:A,'Fintech, Regulatory Arbitrage, '!C:C,"")</f>
        <v/>
      </c>
    </row>
    <row r="7129">
      <c r="A7129" s="1" t="s">
        <v>7149</v>
      </c>
      <c r="B7129" s="2">
        <v>1.0</v>
      </c>
      <c r="C7129" s="4"/>
      <c r="E7129" s="4" t="str">
        <f t="array" ref="E7129">XLOOKUP(A7129,'Fintech, Regulatory Arbitrage, '!A:A,'Fintech, Regulatory Arbitrage, '!C:C,"")</f>
        <v/>
      </c>
    </row>
    <row r="7130">
      <c r="A7130" s="1" t="s">
        <v>7150</v>
      </c>
      <c r="B7130" s="2">
        <v>1.0</v>
      </c>
      <c r="C7130" s="4"/>
      <c r="E7130" s="4" t="str">
        <f t="array" ref="E7130">XLOOKUP(A7130,'Fintech, Regulatory Arbitrage, '!A:A,'Fintech, Regulatory Arbitrage, '!C:C,"")</f>
        <v/>
      </c>
    </row>
    <row r="7131">
      <c r="A7131" s="1" t="s">
        <v>7151</v>
      </c>
      <c r="B7131" s="2">
        <v>1.0</v>
      </c>
      <c r="C7131" s="4"/>
      <c r="E7131" s="4" t="str">
        <f t="array" ref="E7131">XLOOKUP(A7131,'Fintech, Regulatory Arbitrage, '!A:A,'Fintech, Regulatory Arbitrage, '!C:C,"")</f>
        <v/>
      </c>
    </row>
    <row r="7132">
      <c r="A7132" s="1" t="s">
        <v>7152</v>
      </c>
      <c r="B7132" s="2">
        <v>1.0</v>
      </c>
      <c r="C7132" s="4"/>
      <c r="E7132" s="4" t="str">
        <f t="array" ref="E7132">XLOOKUP(A7132,'Fintech, Regulatory Arbitrage, '!A:A,'Fintech, Regulatory Arbitrage, '!C:C,"")</f>
        <v/>
      </c>
    </row>
    <row r="7133">
      <c r="A7133" s="1" t="s">
        <v>7153</v>
      </c>
      <c r="B7133" s="2">
        <v>1.0</v>
      </c>
      <c r="C7133" s="4"/>
      <c r="E7133" s="4" t="str">
        <f t="array" ref="E7133">XLOOKUP(A7133,'Fintech, Regulatory Arbitrage, '!A:A,'Fintech, Regulatory Arbitrage, '!C:C,"")</f>
        <v/>
      </c>
    </row>
    <row r="7134">
      <c r="A7134" s="1" t="s">
        <v>7154</v>
      </c>
      <c r="B7134" s="2">
        <v>1.0</v>
      </c>
      <c r="C7134" s="4"/>
      <c r="E7134" s="4" t="str">
        <f t="array" ref="E7134">XLOOKUP(A7134,'Fintech, Regulatory Arbitrage, '!A:A,'Fintech, Regulatory Arbitrage, '!C:C,"")</f>
        <v/>
      </c>
    </row>
    <row r="7135">
      <c r="A7135" s="1" t="s">
        <v>7155</v>
      </c>
      <c r="B7135" s="2">
        <v>1.0</v>
      </c>
      <c r="C7135" s="4"/>
      <c r="E7135" s="4" t="str">
        <f t="array" ref="E7135">XLOOKUP(A7135,'Fintech, Regulatory Arbitrage, '!A:A,'Fintech, Regulatory Arbitrage, '!C:C,"")</f>
        <v/>
      </c>
    </row>
    <row r="7136">
      <c r="A7136" s="1" t="s">
        <v>7156</v>
      </c>
      <c r="B7136" s="2">
        <v>1.0</v>
      </c>
      <c r="C7136" s="4"/>
      <c r="E7136" s="4" t="str">
        <f t="array" ref="E7136">XLOOKUP(A7136,'Fintech, Regulatory Arbitrage, '!A:A,'Fintech, Regulatory Arbitrage, '!C:C,"")</f>
        <v/>
      </c>
    </row>
    <row r="7137">
      <c r="A7137" s="1" t="s">
        <v>7157</v>
      </c>
      <c r="B7137" s="2">
        <v>1.0</v>
      </c>
      <c r="C7137" s="4"/>
      <c r="E7137" s="4" t="str">
        <f t="array" ref="E7137">XLOOKUP(A7137,'Fintech, Regulatory Arbitrage, '!A:A,'Fintech, Regulatory Arbitrage, '!C:C,"")</f>
        <v/>
      </c>
    </row>
    <row r="7138">
      <c r="A7138" s="1" t="s">
        <v>7158</v>
      </c>
      <c r="B7138" s="2">
        <v>1.0</v>
      </c>
      <c r="C7138" s="4"/>
      <c r="E7138" s="4" t="str">
        <f t="array" ref="E7138">XLOOKUP(A7138,'Fintech, Regulatory Arbitrage, '!A:A,'Fintech, Regulatory Arbitrage, '!C:C,"")</f>
        <v/>
      </c>
    </row>
    <row r="7139">
      <c r="A7139" s="1" t="s">
        <v>7159</v>
      </c>
      <c r="B7139" s="2">
        <v>1.0</v>
      </c>
      <c r="C7139" s="4"/>
      <c r="E7139" s="4" t="str">
        <f t="array" ref="E7139">XLOOKUP(A7139,'Fintech, Regulatory Arbitrage, '!A:A,'Fintech, Regulatory Arbitrage, '!C:C,"")</f>
        <v/>
      </c>
    </row>
    <row r="7140">
      <c r="A7140" s="1" t="s">
        <v>7160</v>
      </c>
      <c r="B7140" s="2">
        <v>1.0</v>
      </c>
      <c r="C7140" s="4"/>
      <c r="E7140" s="4" t="str">
        <f t="array" ref="E7140">XLOOKUP(A7140,'Fintech, Regulatory Arbitrage, '!A:A,'Fintech, Regulatory Arbitrage, '!C:C,"")</f>
        <v/>
      </c>
    </row>
    <row r="7141">
      <c r="A7141" s="1" t="s">
        <v>7161</v>
      </c>
      <c r="B7141" s="2">
        <v>1.0</v>
      </c>
      <c r="C7141" s="4"/>
      <c r="E7141" s="4" t="str">
        <f t="array" ref="E7141">XLOOKUP(A7141,'Fintech, Regulatory Arbitrage, '!A:A,'Fintech, Regulatory Arbitrage, '!C:C,"")</f>
        <v/>
      </c>
    </row>
    <row r="7142">
      <c r="A7142" s="1" t="s">
        <v>7162</v>
      </c>
      <c r="B7142" s="2">
        <v>1.0</v>
      </c>
      <c r="C7142" s="4"/>
      <c r="E7142" s="4" t="str">
        <f t="array" ref="E7142">XLOOKUP(A7142,'Fintech, Regulatory Arbitrage, '!A:A,'Fintech, Regulatory Arbitrage, '!C:C,"")</f>
        <v/>
      </c>
    </row>
    <row r="7143">
      <c r="A7143" s="1" t="s">
        <v>7163</v>
      </c>
      <c r="B7143" s="2">
        <v>1.0</v>
      </c>
      <c r="C7143" s="4"/>
      <c r="E7143" s="4" t="str">
        <f t="array" ref="E7143">XLOOKUP(A7143,'Fintech, Regulatory Arbitrage, '!A:A,'Fintech, Regulatory Arbitrage, '!C:C,"")</f>
        <v/>
      </c>
    </row>
    <row r="7144">
      <c r="A7144" s="1" t="s">
        <v>7164</v>
      </c>
      <c r="B7144" s="2">
        <v>1.0</v>
      </c>
      <c r="C7144" s="4"/>
      <c r="E7144" s="4" t="str">
        <f t="array" ref="E7144">XLOOKUP(A7144,'Fintech, Regulatory Arbitrage, '!A:A,'Fintech, Regulatory Arbitrage, '!C:C,"")</f>
        <v/>
      </c>
    </row>
    <row r="7145">
      <c r="A7145" s="1" t="s">
        <v>7165</v>
      </c>
      <c r="B7145" s="2">
        <v>1.0</v>
      </c>
      <c r="C7145" s="4"/>
      <c r="E7145" s="4" t="str">
        <f t="array" ref="E7145">XLOOKUP(A7145,'Fintech, Regulatory Arbitrage, '!A:A,'Fintech, Regulatory Arbitrage, '!C:C,"")</f>
        <v/>
      </c>
    </row>
    <row r="7146">
      <c r="A7146" s="1" t="s">
        <v>7166</v>
      </c>
      <c r="B7146" s="2">
        <v>1.0</v>
      </c>
      <c r="C7146" s="4"/>
      <c r="E7146" s="4" t="str">
        <f t="array" ref="E7146">XLOOKUP(A7146,'Fintech, Regulatory Arbitrage, '!A:A,'Fintech, Regulatory Arbitrage, '!C:C,"")</f>
        <v/>
      </c>
    </row>
    <row r="7147">
      <c r="A7147" s="1" t="s">
        <v>7167</v>
      </c>
      <c r="B7147" s="2">
        <v>1.0</v>
      </c>
      <c r="C7147" s="4"/>
      <c r="E7147" s="4" t="str">
        <f t="array" ref="E7147">XLOOKUP(A7147,'Fintech, Regulatory Arbitrage, '!A:A,'Fintech, Regulatory Arbitrage, '!C:C,"")</f>
        <v/>
      </c>
    </row>
    <row r="7148">
      <c r="A7148" s="1" t="s">
        <v>7168</v>
      </c>
      <c r="B7148" s="2">
        <v>1.0</v>
      </c>
      <c r="C7148" s="4"/>
      <c r="E7148" s="4" t="str">
        <f t="array" ref="E7148">XLOOKUP(A7148,'Fintech, Regulatory Arbitrage, '!A:A,'Fintech, Regulatory Arbitrage, '!C:C,"")</f>
        <v/>
      </c>
    </row>
    <row r="7149">
      <c r="A7149" s="1" t="s">
        <v>7169</v>
      </c>
      <c r="B7149" s="2">
        <v>1.0</v>
      </c>
      <c r="C7149" s="4"/>
      <c r="E7149" s="4" t="str">
        <f t="array" ref="E7149">XLOOKUP(A7149,'Fintech, Regulatory Arbitrage, '!A:A,'Fintech, Regulatory Arbitrage, '!C:C,"")</f>
        <v/>
      </c>
    </row>
    <row r="7150">
      <c r="A7150" s="1" t="s">
        <v>7170</v>
      </c>
      <c r="B7150" s="2">
        <v>1.0</v>
      </c>
      <c r="C7150" s="4"/>
      <c r="E7150" s="4" t="str">
        <f t="array" ref="E7150">XLOOKUP(A7150,'Fintech, Regulatory Arbitrage, '!A:A,'Fintech, Regulatory Arbitrage, '!C:C,"")</f>
        <v/>
      </c>
    </row>
    <row r="7151">
      <c r="A7151" s="1" t="s">
        <v>7171</v>
      </c>
      <c r="B7151" s="2">
        <v>1.0</v>
      </c>
      <c r="C7151" s="4"/>
      <c r="E7151" s="4" t="str">
        <f t="array" ref="E7151">XLOOKUP(A7151,'Fintech, Regulatory Arbitrage, '!A:A,'Fintech, Regulatory Arbitrage, '!C:C,"")</f>
        <v/>
      </c>
    </row>
    <row r="7152">
      <c r="A7152" s="1" t="s">
        <v>7172</v>
      </c>
      <c r="B7152" s="2">
        <v>1.0</v>
      </c>
      <c r="C7152" s="4"/>
      <c r="E7152" s="4" t="str">
        <f t="array" ref="E7152">XLOOKUP(A7152,'Fintech, Regulatory Arbitrage, '!A:A,'Fintech, Regulatory Arbitrage, '!C:C,"")</f>
        <v/>
      </c>
    </row>
    <row r="7153">
      <c r="A7153" s="1" t="s">
        <v>7173</v>
      </c>
      <c r="B7153" s="2">
        <v>1.0</v>
      </c>
      <c r="C7153" s="4"/>
      <c r="E7153" s="4" t="str">
        <f t="array" ref="E7153">XLOOKUP(A7153,'Fintech, Regulatory Arbitrage, '!A:A,'Fintech, Regulatory Arbitrage, '!C:C,"")</f>
        <v/>
      </c>
    </row>
    <row r="7154">
      <c r="A7154" s="1" t="s">
        <v>7174</v>
      </c>
      <c r="B7154" s="2">
        <v>1.0</v>
      </c>
      <c r="C7154" s="4"/>
      <c r="E7154" s="4" t="str">
        <f t="array" ref="E7154">XLOOKUP(A7154,'Fintech, Regulatory Arbitrage, '!A:A,'Fintech, Regulatory Arbitrage, '!C:C,"")</f>
        <v/>
      </c>
    </row>
    <row r="7155">
      <c r="A7155" s="1" t="s">
        <v>7175</v>
      </c>
      <c r="B7155" s="2">
        <v>1.0</v>
      </c>
      <c r="C7155" s="4"/>
      <c r="E7155" s="4" t="str">
        <f t="array" ref="E7155">XLOOKUP(A7155,'Fintech, Regulatory Arbitrage, '!A:A,'Fintech, Regulatory Arbitrage, '!C:C,"")</f>
        <v/>
      </c>
    </row>
    <row r="7156">
      <c r="A7156" s="1" t="s">
        <v>7176</v>
      </c>
      <c r="B7156" s="2">
        <v>1.0</v>
      </c>
      <c r="C7156" s="4"/>
      <c r="E7156" s="4" t="str">
        <f t="array" ref="E7156">XLOOKUP(A7156,'Fintech, Regulatory Arbitrage, '!A:A,'Fintech, Regulatory Arbitrage, '!C:C,"")</f>
        <v/>
      </c>
    </row>
    <row r="7157">
      <c r="A7157" s="1" t="s">
        <v>7177</v>
      </c>
      <c r="B7157" s="2">
        <v>1.0</v>
      </c>
      <c r="C7157" s="4"/>
      <c r="E7157" s="4" t="str">
        <f t="array" ref="E7157">XLOOKUP(A7157,'Fintech, Regulatory Arbitrage, '!A:A,'Fintech, Regulatory Arbitrage, '!C:C,"")</f>
        <v/>
      </c>
    </row>
    <row r="7158">
      <c r="A7158" s="1" t="s">
        <v>7178</v>
      </c>
      <c r="B7158" s="2">
        <v>1.0</v>
      </c>
      <c r="C7158" s="4"/>
      <c r="E7158" s="4" t="str">
        <f t="array" ref="E7158">XLOOKUP(A7158,'Fintech, Regulatory Arbitrage, '!A:A,'Fintech, Regulatory Arbitrage, '!C:C,"")</f>
        <v/>
      </c>
    </row>
    <row r="7159">
      <c r="A7159" s="1" t="s">
        <v>7179</v>
      </c>
      <c r="B7159" s="2">
        <v>1.0</v>
      </c>
      <c r="C7159" s="4"/>
      <c r="E7159" s="4" t="str">
        <f t="array" ref="E7159">XLOOKUP(A7159,'Fintech, Regulatory Arbitrage, '!A:A,'Fintech, Regulatory Arbitrage, '!C:C,"")</f>
        <v/>
      </c>
    </row>
    <row r="7160">
      <c r="A7160" s="1" t="s">
        <v>7180</v>
      </c>
      <c r="B7160" s="2">
        <v>1.0</v>
      </c>
      <c r="C7160" s="4"/>
      <c r="E7160" s="4" t="str">
        <f t="array" ref="E7160">XLOOKUP(A7160,'Fintech, Regulatory Arbitrage, '!A:A,'Fintech, Regulatory Arbitrage, '!C:C,"")</f>
        <v/>
      </c>
    </row>
    <row r="7161">
      <c r="A7161" s="1" t="s">
        <v>7181</v>
      </c>
      <c r="B7161" s="2">
        <v>1.0</v>
      </c>
      <c r="C7161" s="4"/>
      <c r="E7161" s="4" t="str">
        <f t="array" ref="E7161">XLOOKUP(A7161,'Fintech, Regulatory Arbitrage, '!A:A,'Fintech, Regulatory Arbitrage, '!C:C,"")</f>
        <v/>
      </c>
    </row>
    <row r="7162">
      <c r="A7162" s="1" t="s">
        <v>7182</v>
      </c>
      <c r="B7162" s="2">
        <v>1.0</v>
      </c>
      <c r="C7162" s="4"/>
      <c r="E7162" s="4" t="str">
        <f t="array" ref="E7162">XLOOKUP(A7162,'Fintech, Regulatory Arbitrage, '!A:A,'Fintech, Regulatory Arbitrage, '!C:C,"")</f>
        <v/>
      </c>
    </row>
    <row r="7163">
      <c r="A7163" s="1" t="s">
        <v>7183</v>
      </c>
      <c r="B7163" s="2">
        <v>1.0</v>
      </c>
      <c r="C7163" s="4"/>
      <c r="E7163" s="4" t="str">
        <f t="array" ref="E7163">XLOOKUP(A7163,'Fintech, Regulatory Arbitrage, '!A:A,'Fintech, Regulatory Arbitrage, '!C:C,"")</f>
        <v/>
      </c>
    </row>
    <row r="7164">
      <c r="A7164" s="1" t="s">
        <v>7184</v>
      </c>
      <c r="B7164" s="2">
        <v>1.0</v>
      </c>
      <c r="C7164" s="4"/>
      <c r="E7164" s="4" t="str">
        <f t="array" ref="E7164">XLOOKUP(A7164,'Fintech, Regulatory Arbitrage, '!A:A,'Fintech, Regulatory Arbitrage, '!C:C,"")</f>
        <v/>
      </c>
    </row>
    <row r="7165">
      <c r="A7165" s="1" t="s">
        <v>7185</v>
      </c>
      <c r="B7165" s="2">
        <v>1.0</v>
      </c>
      <c r="C7165" s="4"/>
      <c r="E7165" s="4" t="str">
        <f t="array" ref="E7165">XLOOKUP(A7165,'Fintech, Regulatory Arbitrage, '!A:A,'Fintech, Regulatory Arbitrage, '!C:C,"")</f>
        <v/>
      </c>
    </row>
    <row r="7166">
      <c r="A7166" s="1" t="s">
        <v>7186</v>
      </c>
      <c r="B7166" s="2">
        <v>1.0</v>
      </c>
      <c r="C7166" s="4"/>
      <c r="E7166" s="4" t="str">
        <f t="array" ref="E7166">XLOOKUP(A7166,'Fintech, Regulatory Arbitrage, '!A:A,'Fintech, Regulatory Arbitrage, '!C:C,"")</f>
        <v/>
      </c>
    </row>
    <row r="7167">
      <c r="A7167" s="1" t="s">
        <v>7187</v>
      </c>
      <c r="B7167" s="2">
        <v>1.0</v>
      </c>
      <c r="C7167" s="4"/>
      <c r="E7167" s="4" t="str">
        <f t="array" ref="E7167">XLOOKUP(A7167,'Fintech, Regulatory Arbitrage, '!A:A,'Fintech, Regulatory Arbitrage, '!C:C,"")</f>
        <v/>
      </c>
    </row>
    <row r="7168">
      <c r="A7168" s="1" t="s">
        <v>7188</v>
      </c>
      <c r="B7168" s="2">
        <v>1.0</v>
      </c>
      <c r="C7168" s="4"/>
      <c r="E7168" s="4" t="str">
        <f t="array" ref="E7168">XLOOKUP(A7168,'Fintech, Regulatory Arbitrage, '!A:A,'Fintech, Regulatory Arbitrage, '!C:C,"")</f>
        <v/>
      </c>
    </row>
    <row r="7169">
      <c r="A7169" s="1" t="s">
        <v>7189</v>
      </c>
      <c r="B7169" s="2">
        <v>1.0</v>
      </c>
      <c r="C7169" s="4"/>
      <c r="E7169" s="4" t="str">
        <f t="array" ref="E7169">XLOOKUP(A7169,'Fintech, Regulatory Arbitrage, '!A:A,'Fintech, Regulatory Arbitrage, '!C:C,"")</f>
        <v/>
      </c>
    </row>
    <row r="7170">
      <c r="A7170" s="1" t="s">
        <v>7190</v>
      </c>
      <c r="B7170" s="2">
        <v>1.0</v>
      </c>
      <c r="C7170" s="4"/>
      <c r="E7170" s="4" t="str">
        <f t="array" ref="E7170">XLOOKUP(A7170,'Fintech, Regulatory Arbitrage, '!A:A,'Fintech, Regulatory Arbitrage, '!C:C,"")</f>
        <v/>
      </c>
    </row>
    <row r="7171">
      <c r="A7171" s="1" t="s">
        <v>7191</v>
      </c>
      <c r="B7171" s="2">
        <v>1.0</v>
      </c>
      <c r="C7171" s="4"/>
      <c r="E7171" s="4" t="str">
        <f t="array" ref="E7171">XLOOKUP(A7171,'Fintech, Regulatory Arbitrage, '!A:A,'Fintech, Regulatory Arbitrage, '!C:C,"")</f>
        <v/>
      </c>
    </row>
    <row r="7172">
      <c r="A7172" s="1" t="s">
        <v>7192</v>
      </c>
      <c r="B7172" s="2">
        <v>1.0</v>
      </c>
      <c r="C7172" s="4"/>
      <c r="E7172" s="4" t="str">
        <f t="array" ref="E7172">XLOOKUP(A7172,'Fintech, Regulatory Arbitrage, '!A:A,'Fintech, Regulatory Arbitrage, '!C:C,"")</f>
        <v/>
      </c>
    </row>
    <row r="7173">
      <c r="A7173" s="1" t="s">
        <v>7193</v>
      </c>
      <c r="B7173" s="2">
        <v>1.0</v>
      </c>
      <c r="C7173" s="4"/>
      <c r="E7173" s="4" t="str">
        <f t="array" ref="E7173">XLOOKUP(A7173,'Fintech, Regulatory Arbitrage, '!A:A,'Fintech, Regulatory Arbitrage, '!C:C,"")</f>
        <v/>
      </c>
    </row>
    <row r="7174">
      <c r="A7174" s="1" t="s">
        <v>7194</v>
      </c>
      <c r="B7174" s="2">
        <v>1.0</v>
      </c>
      <c r="C7174" s="4"/>
      <c r="E7174" s="4" t="str">
        <f t="array" ref="E7174">XLOOKUP(A7174,'Fintech, Regulatory Arbitrage, '!A:A,'Fintech, Regulatory Arbitrage, '!C:C,"")</f>
        <v/>
      </c>
    </row>
    <row r="7175">
      <c r="A7175" s="1" t="s">
        <v>7195</v>
      </c>
      <c r="B7175" s="2">
        <v>1.0</v>
      </c>
      <c r="C7175" s="4"/>
      <c r="E7175" s="4" t="str">
        <f t="array" ref="E7175">XLOOKUP(A7175,'Fintech, Regulatory Arbitrage, '!A:A,'Fintech, Regulatory Arbitrage, '!C:C,"")</f>
        <v/>
      </c>
    </row>
    <row r="7176">
      <c r="A7176" s="1" t="s">
        <v>7196</v>
      </c>
      <c r="B7176" s="2">
        <v>1.0</v>
      </c>
      <c r="C7176" s="4"/>
      <c r="E7176" s="4" t="str">
        <f t="array" ref="E7176">XLOOKUP(A7176,'Fintech, Regulatory Arbitrage, '!A:A,'Fintech, Regulatory Arbitrage, '!C:C,"")</f>
        <v/>
      </c>
    </row>
    <row r="7177">
      <c r="A7177" s="1" t="s">
        <v>7197</v>
      </c>
      <c r="B7177" s="2">
        <v>1.0</v>
      </c>
      <c r="C7177" s="4"/>
      <c r="E7177" s="4" t="str">
        <f t="array" ref="E7177">XLOOKUP(A7177,'Fintech, Regulatory Arbitrage, '!A:A,'Fintech, Regulatory Arbitrage, '!C:C,"")</f>
        <v/>
      </c>
    </row>
    <row r="7178">
      <c r="A7178" s="1" t="s">
        <v>7198</v>
      </c>
      <c r="B7178" s="2">
        <v>1.0</v>
      </c>
      <c r="C7178" s="4"/>
      <c r="E7178" s="4" t="str">
        <f t="array" ref="E7178">XLOOKUP(A7178,'Fintech, Regulatory Arbitrage, '!A:A,'Fintech, Regulatory Arbitrage, '!C:C,"")</f>
        <v/>
      </c>
    </row>
    <row r="7179">
      <c r="A7179" s="1" t="s">
        <v>7199</v>
      </c>
      <c r="B7179" s="2">
        <v>1.0</v>
      </c>
      <c r="C7179" s="4"/>
      <c r="E7179" s="4" t="str">
        <f t="array" ref="E7179">XLOOKUP(A7179,'Fintech, Regulatory Arbitrage, '!A:A,'Fintech, Regulatory Arbitrage, '!C:C,"")</f>
        <v/>
      </c>
    </row>
    <row r="7180">
      <c r="A7180" s="1" t="s">
        <v>7200</v>
      </c>
      <c r="B7180" s="2">
        <v>1.0</v>
      </c>
      <c r="C7180" s="4"/>
      <c r="E7180" s="4" t="str">
        <f t="array" ref="E7180">XLOOKUP(A7180,'Fintech, Regulatory Arbitrage, '!A:A,'Fintech, Regulatory Arbitrage, '!C:C,"")</f>
        <v/>
      </c>
    </row>
    <row r="7181">
      <c r="A7181" s="1" t="s">
        <v>7201</v>
      </c>
      <c r="B7181" s="2">
        <v>1.0</v>
      </c>
      <c r="C7181" s="4"/>
      <c r="E7181" s="4" t="str">
        <f t="array" ref="E7181">XLOOKUP(A7181,'Fintech, Regulatory Arbitrage, '!A:A,'Fintech, Regulatory Arbitrage, '!C:C,"")</f>
        <v/>
      </c>
    </row>
    <row r="7182">
      <c r="A7182" s="1" t="s">
        <v>7202</v>
      </c>
      <c r="B7182" s="2">
        <v>1.0</v>
      </c>
      <c r="C7182" s="4"/>
      <c r="E7182" s="4" t="str">
        <f t="array" ref="E7182">XLOOKUP(A7182,'Fintech, Regulatory Arbitrage, '!A:A,'Fintech, Regulatory Arbitrage, '!C:C,"")</f>
        <v/>
      </c>
    </row>
    <row r="7183">
      <c r="A7183" s="1" t="s">
        <v>7203</v>
      </c>
      <c r="B7183" s="2">
        <v>1.0</v>
      </c>
      <c r="C7183" s="4"/>
      <c r="E7183" s="4" t="str">
        <f t="array" ref="E7183">XLOOKUP(A7183,'Fintech, Regulatory Arbitrage, '!A:A,'Fintech, Regulatory Arbitrage, '!C:C,"")</f>
        <v/>
      </c>
    </row>
    <row r="7184">
      <c r="A7184" s="1" t="s">
        <v>7204</v>
      </c>
      <c r="B7184" s="2">
        <v>1.0</v>
      </c>
      <c r="C7184" s="4"/>
      <c r="E7184" s="4" t="str">
        <f t="array" ref="E7184">XLOOKUP(A7184,'Fintech, Regulatory Arbitrage, '!A:A,'Fintech, Regulatory Arbitrage, '!C:C,"")</f>
        <v/>
      </c>
    </row>
    <row r="7185">
      <c r="A7185" s="1" t="s">
        <v>7205</v>
      </c>
      <c r="B7185" s="2">
        <v>1.0</v>
      </c>
      <c r="C7185" s="4"/>
      <c r="E7185" s="4" t="str">
        <f t="array" ref="E7185">XLOOKUP(A7185,'Fintech, Regulatory Arbitrage, '!A:A,'Fintech, Regulatory Arbitrage, '!C:C,"")</f>
        <v/>
      </c>
    </row>
    <row r="7186">
      <c r="A7186" s="1" t="s">
        <v>7206</v>
      </c>
      <c r="B7186" s="2">
        <v>1.0</v>
      </c>
      <c r="C7186" s="4"/>
      <c r="E7186" s="4" t="str">
        <f t="array" ref="E7186">XLOOKUP(A7186,'Fintech, Regulatory Arbitrage, '!A:A,'Fintech, Regulatory Arbitrage, '!C:C,"")</f>
        <v/>
      </c>
    </row>
    <row r="7187">
      <c r="A7187" s="1" t="s">
        <v>7207</v>
      </c>
      <c r="B7187" s="2">
        <v>1.0</v>
      </c>
      <c r="C7187" s="4"/>
      <c r="E7187" s="4" t="str">
        <f t="array" ref="E7187">XLOOKUP(A7187,'Fintech, Regulatory Arbitrage, '!A:A,'Fintech, Regulatory Arbitrage, '!C:C,"")</f>
        <v/>
      </c>
    </row>
    <row r="7188">
      <c r="A7188" s="1" t="s">
        <v>7208</v>
      </c>
      <c r="B7188" s="2">
        <v>1.0</v>
      </c>
      <c r="C7188" s="4"/>
      <c r="E7188" s="4" t="str">
        <f t="array" ref="E7188">XLOOKUP(A7188,'Fintech, Regulatory Arbitrage, '!A:A,'Fintech, Regulatory Arbitrage, '!C:C,"")</f>
        <v/>
      </c>
    </row>
    <row r="7189">
      <c r="A7189" s="1" t="s">
        <v>7209</v>
      </c>
      <c r="B7189" s="2">
        <v>1.0</v>
      </c>
      <c r="C7189" s="4"/>
      <c r="E7189" s="4" t="str">
        <f t="array" ref="E7189">XLOOKUP(A7189,'Fintech, Regulatory Arbitrage, '!A:A,'Fintech, Regulatory Arbitrage, '!C:C,"")</f>
        <v/>
      </c>
    </row>
    <row r="7190">
      <c r="A7190" s="1" t="s">
        <v>7210</v>
      </c>
      <c r="B7190" s="2">
        <v>1.0</v>
      </c>
      <c r="C7190" s="4"/>
      <c r="E7190" s="4" t="str">
        <f t="array" ref="E7190">XLOOKUP(A7190,'Fintech, Regulatory Arbitrage, '!A:A,'Fintech, Regulatory Arbitrage, '!C:C,"")</f>
        <v/>
      </c>
    </row>
    <row r="7191">
      <c r="A7191" s="1" t="s">
        <v>7211</v>
      </c>
      <c r="B7191" s="2">
        <v>1.0</v>
      </c>
      <c r="C7191" s="4"/>
      <c r="E7191" s="4" t="str">
        <f t="array" ref="E7191">XLOOKUP(A7191,'Fintech, Regulatory Arbitrage, '!A:A,'Fintech, Regulatory Arbitrage, '!C:C,"")</f>
        <v/>
      </c>
    </row>
    <row r="7192">
      <c r="A7192" s="1" t="s">
        <v>7212</v>
      </c>
      <c r="B7192" s="2">
        <v>1.0</v>
      </c>
      <c r="C7192" s="4"/>
      <c r="E7192" s="4" t="str">
        <f t="array" ref="E7192">XLOOKUP(A7192,'Fintech, Regulatory Arbitrage, '!A:A,'Fintech, Regulatory Arbitrage, '!C:C,"")</f>
        <v/>
      </c>
    </row>
    <row r="7193">
      <c r="A7193" s="1" t="s">
        <v>7213</v>
      </c>
      <c r="B7193" s="2">
        <v>1.0</v>
      </c>
      <c r="C7193" s="4"/>
      <c r="E7193" s="4" t="str">
        <f t="array" ref="E7193">XLOOKUP(A7193,'Fintech, Regulatory Arbitrage, '!A:A,'Fintech, Regulatory Arbitrage, '!C:C,"")</f>
        <v/>
      </c>
    </row>
    <row r="7194">
      <c r="A7194" s="1" t="s">
        <v>7214</v>
      </c>
      <c r="B7194" s="2">
        <v>1.0</v>
      </c>
      <c r="C7194" s="4"/>
      <c r="E7194" s="4" t="str">
        <f t="array" ref="E7194">XLOOKUP(A7194,'Fintech, Regulatory Arbitrage, '!A:A,'Fintech, Regulatory Arbitrage, '!C:C,"")</f>
        <v/>
      </c>
    </row>
    <row r="7195">
      <c r="A7195" s="1" t="s">
        <v>7215</v>
      </c>
      <c r="B7195" s="2">
        <v>1.0</v>
      </c>
      <c r="C7195" s="4"/>
      <c r="E7195" s="4" t="str">
        <f t="array" ref="E7195">XLOOKUP(A7195,'Fintech, Regulatory Arbitrage, '!A:A,'Fintech, Regulatory Arbitrage, '!C:C,"")</f>
        <v/>
      </c>
    </row>
    <row r="7196">
      <c r="A7196" s="1" t="s">
        <v>7216</v>
      </c>
      <c r="B7196" s="2">
        <v>1.0</v>
      </c>
      <c r="C7196" s="4"/>
      <c r="E7196" s="4" t="str">
        <f t="array" ref="E7196">XLOOKUP(A7196,'Fintech, Regulatory Arbitrage, '!A:A,'Fintech, Regulatory Arbitrage, '!C:C,"")</f>
        <v/>
      </c>
    </row>
    <row r="7197">
      <c r="A7197" s="1" t="s">
        <v>7217</v>
      </c>
      <c r="B7197" s="2">
        <v>1.0</v>
      </c>
      <c r="C7197" s="4"/>
      <c r="E7197" s="4" t="str">
        <f t="array" ref="E7197">XLOOKUP(A7197,'Fintech, Regulatory Arbitrage, '!A:A,'Fintech, Regulatory Arbitrage, '!C:C,"")</f>
        <v/>
      </c>
    </row>
    <row r="7198">
      <c r="A7198" s="1" t="s">
        <v>7218</v>
      </c>
      <c r="B7198" s="2">
        <v>1.0</v>
      </c>
      <c r="C7198" s="4"/>
      <c r="E7198" s="4" t="str">
        <f t="array" ref="E7198">XLOOKUP(A7198,'Fintech, Regulatory Arbitrage, '!A:A,'Fintech, Regulatory Arbitrage, '!C:C,"")</f>
        <v/>
      </c>
    </row>
    <row r="7199">
      <c r="A7199" s="1" t="s">
        <v>7219</v>
      </c>
      <c r="B7199" s="2">
        <v>1.0</v>
      </c>
      <c r="C7199" s="4"/>
      <c r="E7199" s="4" t="str">
        <f t="array" ref="E7199">XLOOKUP(A7199,'Fintech, Regulatory Arbitrage, '!A:A,'Fintech, Regulatory Arbitrage, '!C:C,"")</f>
        <v/>
      </c>
    </row>
    <row r="7200">
      <c r="A7200" s="1" t="s">
        <v>7220</v>
      </c>
      <c r="B7200" s="2">
        <v>1.0</v>
      </c>
      <c r="C7200" s="4"/>
      <c r="E7200" s="4" t="str">
        <f t="array" ref="E7200">XLOOKUP(A7200,'Fintech, Regulatory Arbitrage, '!A:A,'Fintech, Regulatory Arbitrage, '!C:C,"")</f>
        <v/>
      </c>
    </row>
    <row r="7201">
      <c r="A7201" s="1" t="s">
        <v>7221</v>
      </c>
      <c r="B7201" s="2">
        <v>1.0</v>
      </c>
      <c r="C7201" s="4"/>
      <c r="E7201" s="4" t="str">
        <f t="array" ref="E7201">XLOOKUP(A7201,'Fintech, Regulatory Arbitrage, '!A:A,'Fintech, Regulatory Arbitrage, '!C:C,"")</f>
        <v/>
      </c>
    </row>
    <row r="7202">
      <c r="A7202" s="1" t="s">
        <v>7222</v>
      </c>
      <c r="B7202" s="2">
        <v>1.0</v>
      </c>
      <c r="C7202" s="4"/>
      <c r="E7202" s="4" t="str">
        <f t="array" ref="E7202">XLOOKUP(A7202,'Fintech, Regulatory Arbitrage, '!A:A,'Fintech, Regulatory Arbitrage, '!C:C,"")</f>
        <v/>
      </c>
    </row>
    <row r="7203">
      <c r="A7203" s="1" t="s">
        <v>7223</v>
      </c>
      <c r="B7203" s="2">
        <v>1.0</v>
      </c>
      <c r="C7203" s="4"/>
      <c r="E7203" s="4" t="str">
        <f t="array" ref="E7203">XLOOKUP(A7203,'Fintech, Regulatory Arbitrage, '!A:A,'Fintech, Regulatory Arbitrage, '!C:C,"")</f>
        <v/>
      </c>
    </row>
    <row r="7204">
      <c r="A7204" s="1" t="s">
        <v>7224</v>
      </c>
      <c r="B7204" s="2">
        <v>1.0</v>
      </c>
      <c r="C7204" s="4"/>
      <c r="E7204" s="4" t="str">
        <f t="array" ref="E7204">XLOOKUP(A7204,'Fintech, Regulatory Arbitrage, '!A:A,'Fintech, Regulatory Arbitrage, '!C:C,"")</f>
        <v/>
      </c>
    </row>
    <row r="7205">
      <c r="A7205" s="1" t="s">
        <v>7225</v>
      </c>
      <c r="B7205" s="2">
        <v>1.0</v>
      </c>
      <c r="C7205" s="4"/>
      <c r="E7205" s="4" t="str">
        <f t="array" ref="E7205">XLOOKUP(A7205,'Fintech, Regulatory Arbitrage, '!A:A,'Fintech, Regulatory Arbitrage, '!C:C,"")</f>
        <v/>
      </c>
    </row>
    <row r="7206">
      <c r="A7206" s="1" t="s">
        <v>7226</v>
      </c>
      <c r="B7206" s="2">
        <v>1.0</v>
      </c>
      <c r="C7206" s="4"/>
      <c r="E7206" s="4" t="str">
        <f t="array" ref="E7206">XLOOKUP(A7206,'Fintech, Regulatory Arbitrage, '!A:A,'Fintech, Regulatory Arbitrage, '!C:C,"")</f>
        <v/>
      </c>
    </row>
    <row r="7207">
      <c r="A7207" s="1" t="s">
        <v>7227</v>
      </c>
      <c r="B7207" s="2">
        <v>1.0</v>
      </c>
      <c r="C7207" s="4"/>
      <c r="E7207" s="4" t="str">
        <f t="array" ref="E7207">XLOOKUP(A7207,'Fintech, Regulatory Arbitrage, '!A:A,'Fintech, Regulatory Arbitrage, '!C:C,"")</f>
        <v/>
      </c>
    </row>
    <row r="7208">
      <c r="A7208" s="1" t="s">
        <v>7228</v>
      </c>
      <c r="B7208" s="2">
        <v>1.0</v>
      </c>
      <c r="C7208" s="4"/>
      <c r="E7208" s="4" t="str">
        <f t="array" ref="E7208">XLOOKUP(A7208,'Fintech, Regulatory Arbitrage, '!A:A,'Fintech, Regulatory Arbitrage, '!C:C,"")</f>
        <v/>
      </c>
    </row>
    <row r="7209">
      <c r="A7209" s="1" t="s">
        <v>7229</v>
      </c>
      <c r="B7209" s="2">
        <v>1.0</v>
      </c>
      <c r="C7209" s="4"/>
      <c r="E7209" s="4" t="str">
        <f t="array" ref="E7209">XLOOKUP(A7209,'Fintech, Regulatory Arbitrage, '!A:A,'Fintech, Regulatory Arbitrage, '!C:C,"")</f>
        <v/>
      </c>
    </row>
    <row r="7210">
      <c r="A7210" s="1" t="s">
        <v>7230</v>
      </c>
      <c r="B7210" s="2">
        <v>1.0</v>
      </c>
      <c r="C7210" s="4"/>
      <c r="E7210" s="4" t="str">
        <f t="array" ref="E7210">XLOOKUP(A7210,'Fintech, Regulatory Arbitrage, '!A:A,'Fintech, Regulatory Arbitrage, '!C:C,"")</f>
        <v/>
      </c>
    </row>
    <row r="7211">
      <c r="A7211" s="1" t="s">
        <v>7231</v>
      </c>
      <c r="B7211" s="2">
        <v>1.0</v>
      </c>
      <c r="C7211" s="4"/>
      <c r="E7211" s="4" t="str">
        <f t="array" ref="E7211">XLOOKUP(A7211,'Fintech, Regulatory Arbitrage, '!A:A,'Fintech, Regulatory Arbitrage, '!C:C,"")</f>
        <v/>
      </c>
    </row>
    <row r="7212">
      <c r="A7212" s="1" t="s">
        <v>7232</v>
      </c>
      <c r="B7212" s="2">
        <v>1.0</v>
      </c>
      <c r="C7212" s="4"/>
      <c r="E7212" s="4" t="str">
        <f t="array" ref="E7212">XLOOKUP(A7212,'Fintech, Regulatory Arbitrage, '!A:A,'Fintech, Regulatory Arbitrage, '!C:C,"")</f>
        <v/>
      </c>
    </row>
    <row r="7213">
      <c r="A7213" s="1" t="s">
        <v>7233</v>
      </c>
      <c r="B7213" s="2">
        <v>1.0</v>
      </c>
      <c r="C7213" s="4"/>
      <c r="E7213" s="4" t="str">
        <f t="array" ref="E7213">XLOOKUP(A7213,'Fintech, Regulatory Arbitrage, '!A:A,'Fintech, Regulatory Arbitrage, '!C:C,"")</f>
        <v/>
      </c>
    </row>
    <row r="7214">
      <c r="A7214" s="1" t="s">
        <v>7234</v>
      </c>
      <c r="B7214" s="2">
        <v>1.0</v>
      </c>
      <c r="C7214" s="4"/>
      <c r="E7214" s="4" t="str">
        <f t="array" ref="E7214">XLOOKUP(A7214,'Fintech, Regulatory Arbitrage, '!A:A,'Fintech, Regulatory Arbitrage, '!C:C,"")</f>
        <v/>
      </c>
    </row>
    <row r="7215">
      <c r="A7215" s="1" t="s">
        <v>7235</v>
      </c>
      <c r="B7215" s="2">
        <v>1.0</v>
      </c>
      <c r="C7215" s="4"/>
      <c r="E7215" s="4" t="str">
        <f t="array" ref="E7215">XLOOKUP(A7215,'Fintech, Regulatory Arbitrage, '!A:A,'Fintech, Regulatory Arbitrage, '!C:C,"")</f>
        <v/>
      </c>
    </row>
    <row r="7216">
      <c r="A7216" s="1" t="s">
        <v>7236</v>
      </c>
      <c r="B7216" s="2">
        <v>1.0</v>
      </c>
      <c r="C7216" s="4"/>
      <c r="E7216" s="4" t="str">
        <f t="array" ref="E7216">XLOOKUP(A7216,'Fintech, Regulatory Arbitrage, '!A:A,'Fintech, Regulatory Arbitrage, '!C:C,"")</f>
        <v/>
      </c>
    </row>
    <row r="7217">
      <c r="A7217" s="1" t="s">
        <v>7237</v>
      </c>
      <c r="B7217" s="2">
        <v>1.0</v>
      </c>
      <c r="C7217" s="4"/>
      <c r="E7217" s="4" t="str">
        <f t="array" ref="E7217">XLOOKUP(A7217,'Fintech, Regulatory Arbitrage, '!A:A,'Fintech, Regulatory Arbitrage, '!C:C,"")</f>
        <v/>
      </c>
    </row>
    <row r="7218">
      <c r="A7218" s="1" t="s">
        <v>7238</v>
      </c>
      <c r="B7218" s="2">
        <v>1.0</v>
      </c>
      <c r="C7218" s="4"/>
      <c r="E7218" s="4" t="str">
        <f t="array" ref="E7218">XLOOKUP(A7218,'Fintech, Regulatory Arbitrage, '!A:A,'Fintech, Regulatory Arbitrage, '!C:C,"")</f>
        <v/>
      </c>
    </row>
    <row r="7219">
      <c r="A7219" s="1" t="s">
        <v>7239</v>
      </c>
      <c r="B7219" s="2">
        <v>1.0</v>
      </c>
      <c r="C7219" s="4"/>
      <c r="E7219" s="4" t="str">
        <f t="array" ref="E7219">XLOOKUP(A7219,'Fintech, Regulatory Arbitrage, '!A:A,'Fintech, Regulatory Arbitrage, '!C:C,"")</f>
        <v/>
      </c>
    </row>
    <row r="7220">
      <c r="A7220" s="1" t="s">
        <v>7240</v>
      </c>
      <c r="B7220" s="2">
        <v>1.0</v>
      </c>
      <c r="C7220" s="4"/>
      <c r="E7220" s="4" t="str">
        <f t="array" ref="E7220">XLOOKUP(A7220,'Fintech, Regulatory Arbitrage, '!A:A,'Fintech, Regulatory Arbitrage, '!C:C,"")</f>
        <v/>
      </c>
    </row>
    <row r="7221">
      <c r="A7221" s="1" t="s">
        <v>7241</v>
      </c>
      <c r="B7221" s="2">
        <v>1.0</v>
      </c>
      <c r="C7221" s="4"/>
      <c r="E7221" s="4" t="str">
        <f t="array" ref="E7221">XLOOKUP(A7221,'Fintech, Regulatory Arbitrage, '!A:A,'Fintech, Regulatory Arbitrage, '!C:C,"")</f>
        <v/>
      </c>
    </row>
    <row r="7222">
      <c r="A7222" s="1" t="s">
        <v>7242</v>
      </c>
      <c r="B7222" s="2">
        <v>1.0</v>
      </c>
      <c r="C7222" s="4"/>
      <c r="E7222" s="4" t="str">
        <f t="array" ref="E7222">XLOOKUP(A7222,'Fintech, Regulatory Arbitrage, '!A:A,'Fintech, Regulatory Arbitrage, '!C:C,"")</f>
        <v/>
      </c>
    </row>
    <row r="7223">
      <c r="A7223" s="1" t="s">
        <v>7243</v>
      </c>
      <c r="B7223" s="2">
        <v>1.0</v>
      </c>
      <c r="C7223" s="4"/>
      <c r="E7223" s="4" t="str">
        <f t="array" ref="E7223">XLOOKUP(A7223,'Fintech, Regulatory Arbitrage, '!A:A,'Fintech, Regulatory Arbitrage, '!C:C,"")</f>
        <v/>
      </c>
    </row>
    <row r="7224">
      <c r="A7224" s="1" t="s">
        <v>7244</v>
      </c>
      <c r="B7224" s="2">
        <v>1.0</v>
      </c>
      <c r="C7224" s="4"/>
      <c r="E7224" s="4" t="str">
        <f t="array" ref="E7224">XLOOKUP(A7224,'Fintech, Regulatory Arbitrage, '!A:A,'Fintech, Regulatory Arbitrage, '!C:C,"")</f>
        <v/>
      </c>
    </row>
    <row r="7225">
      <c r="A7225" s="1" t="s">
        <v>7245</v>
      </c>
      <c r="B7225" s="2">
        <v>1.0</v>
      </c>
      <c r="C7225" s="4"/>
      <c r="E7225" s="4" t="str">
        <f t="array" ref="E7225">XLOOKUP(A7225,'Fintech, Regulatory Arbitrage, '!A:A,'Fintech, Regulatory Arbitrage, '!C:C,"")</f>
        <v/>
      </c>
    </row>
    <row r="7226">
      <c r="A7226" s="1" t="s">
        <v>7246</v>
      </c>
      <c r="B7226" s="2">
        <v>1.0</v>
      </c>
      <c r="C7226" s="4"/>
      <c r="E7226" s="4" t="str">
        <f t="array" ref="E7226">XLOOKUP(A7226,'Fintech, Regulatory Arbitrage, '!A:A,'Fintech, Regulatory Arbitrage, '!C:C,"")</f>
        <v/>
      </c>
    </row>
    <row r="7227">
      <c r="A7227" s="1" t="s">
        <v>7247</v>
      </c>
      <c r="B7227" s="2">
        <v>1.0</v>
      </c>
      <c r="C7227" s="4"/>
      <c r="E7227" s="4" t="str">
        <f t="array" ref="E7227">XLOOKUP(A7227,'Fintech, Regulatory Arbitrage, '!A:A,'Fintech, Regulatory Arbitrage, '!C:C,"")</f>
        <v/>
      </c>
    </row>
    <row r="7228">
      <c r="A7228" s="1" t="s">
        <v>7248</v>
      </c>
      <c r="B7228" s="2">
        <v>1.0</v>
      </c>
      <c r="C7228" s="4"/>
      <c r="E7228" s="4" t="str">
        <f t="array" ref="E7228">XLOOKUP(A7228,'Fintech, Regulatory Arbitrage, '!A:A,'Fintech, Regulatory Arbitrage, '!C:C,"")</f>
        <v/>
      </c>
    </row>
    <row r="7229">
      <c r="A7229" s="1" t="s">
        <v>7249</v>
      </c>
      <c r="B7229" s="2">
        <v>1.0</v>
      </c>
      <c r="C7229" s="4"/>
      <c r="E7229" s="4" t="str">
        <f t="array" ref="E7229">XLOOKUP(A7229,'Fintech, Regulatory Arbitrage, '!A:A,'Fintech, Regulatory Arbitrage, '!C:C,"")</f>
        <v/>
      </c>
    </row>
    <row r="7230">
      <c r="A7230" s="1" t="s">
        <v>7250</v>
      </c>
      <c r="B7230" s="2">
        <v>1.0</v>
      </c>
      <c r="C7230" s="4"/>
      <c r="E7230" s="4" t="str">
        <f t="array" ref="E7230">XLOOKUP(A7230,'Fintech, Regulatory Arbitrage, '!A:A,'Fintech, Regulatory Arbitrage, '!C:C,"")</f>
        <v/>
      </c>
    </row>
    <row r="7231">
      <c r="A7231" s="1" t="s">
        <v>7251</v>
      </c>
      <c r="B7231" s="2">
        <v>1.0</v>
      </c>
      <c r="C7231" s="4"/>
      <c r="E7231" s="4" t="str">
        <f t="array" ref="E7231">XLOOKUP(A7231,'Fintech, Regulatory Arbitrage, '!A:A,'Fintech, Regulatory Arbitrage, '!C:C,"")</f>
        <v/>
      </c>
    </row>
    <row r="7232">
      <c r="A7232" s="1" t="s">
        <v>7252</v>
      </c>
      <c r="B7232" s="2">
        <v>1.0</v>
      </c>
      <c r="C7232" s="4"/>
      <c r="E7232" s="4" t="str">
        <f t="array" ref="E7232">XLOOKUP(A7232,'Fintech, Regulatory Arbitrage, '!A:A,'Fintech, Regulatory Arbitrage, '!C:C,"")</f>
        <v/>
      </c>
    </row>
    <row r="7233">
      <c r="A7233" s="1" t="s">
        <v>7253</v>
      </c>
      <c r="B7233" s="2">
        <v>1.0</v>
      </c>
      <c r="C7233" s="4"/>
      <c r="E7233" s="4" t="str">
        <f t="array" ref="E7233">XLOOKUP(A7233,'Fintech, Regulatory Arbitrage, '!A:A,'Fintech, Regulatory Arbitrage, '!C:C,"")</f>
        <v/>
      </c>
    </row>
    <row r="7234">
      <c r="A7234" s="1" t="s">
        <v>7254</v>
      </c>
      <c r="B7234" s="2">
        <v>1.0</v>
      </c>
      <c r="C7234" s="4"/>
      <c r="E7234" s="4" t="str">
        <f t="array" ref="E7234">XLOOKUP(A7234,'Fintech, Regulatory Arbitrage, '!A:A,'Fintech, Regulatory Arbitrage, '!C:C,"")</f>
        <v/>
      </c>
    </row>
    <row r="7235">
      <c r="A7235" s="1" t="s">
        <v>7255</v>
      </c>
      <c r="B7235" s="2">
        <v>1.0</v>
      </c>
      <c r="C7235" s="4"/>
      <c r="E7235" s="4" t="str">
        <f t="array" ref="E7235">XLOOKUP(A7235,'Fintech, Regulatory Arbitrage, '!A:A,'Fintech, Regulatory Arbitrage, '!C:C,"")</f>
        <v/>
      </c>
    </row>
    <row r="7236">
      <c r="A7236" s="1" t="s">
        <v>7256</v>
      </c>
      <c r="B7236" s="2">
        <v>1.0</v>
      </c>
      <c r="C7236" s="4"/>
      <c r="E7236" s="4" t="str">
        <f t="array" ref="E7236">XLOOKUP(A7236,'Fintech, Regulatory Arbitrage, '!A:A,'Fintech, Regulatory Arbitrage, '!C:C,"")</f>
        <v/>
      </c>
    </row>
    <row r="7237">
      <c r="A7237" s="1" t="s">
        <v>7257</v>
      </c>
      <c r="B7237" s="2">
        <v>1.0</v>
      </c>
      <c r="C7237" s="4"/>
      <c r="E7237" s="4" t="str">
        <f t="array" ref="E7237">XLOOKUP(A7237,'Fintech, Regulatory Arbitrage, '!A:A,'Fintech, Regulatory Arbitrage, '!C:C,"")</f>
        <v/>
      </c>
    </row>
    <row r="7238">
      <c r="A7238" s="1" t="s">
        <v>7258</v>
      </c>
      <c r="B7238" s="2">
        <v>1.0</v>
      </c>
      <c r="C7238" s="4"/>
      <c r="E7238" s="4" t="str">
        <f t="array" ref="E7238">XLOOKUP(A7238,'Fintech, Regulatory Arbitrage, '!A:A,'Fintech, Regulatory Arbitrage, '!C:C,"")</f>
        <v/>
      </c>
    </row>
    <row r="7239">
      <c r="A7239" s="1" t="s">
        <v>7259</v>
      </c>
      <c r="B7239" s="2">
        <v>1.0</v>
      </c>
      <c r="C7239" s="4"/>
      <c r="E7239" s="4" t="str">
        <f t="array" ref="E7239">XLOOKUP(A7239,'Fintech, Regulatory Arbitrage, '!A:A,'Fintech, Regulatory Arbitrage, '!C:C,"")</f>
        <v/>
      </c>
    </row>
    <row r="7240">
      <c r="A7240" s="1" t="s">
        <v>7260</v>
      </c>
      <c r="B7240" s="2">
        <v>1.0</v>
      </c>
      <c r="C7240" s="4"/>
      <c r="E7240" s="4" t="str">
        <f t="array" ref="E7240">XLOOKUP(A7240,'Fintech, Regulatory Arbitrage, '!A:A,'Fintech, Regulatory Arbitrage, '!C:C,"")</f>
        <v/>
      </c>
    </row>
    <row r="7241">
      <c r="A7241" s="1" t="s">
        <v>7261</v>
      </c>
      <c r="B7241" s="2">
        <v>1.0</v>
      </c>
      <c r="C7241" s="4"/>
      <c r="E7241" s="4" t="str">
        <f t="array" ref="E7241">XLOOKUP(A7241,'Fintech, Regulatory Arbitrage, '!A:A,'Fintech, Regulatory Arbitrage, '!C:C,"")</f>
        <v/>
      </c>
    </row>
    <row r="7242">
      <c r="A7242" s="1" t="s">
        <v>7262</v>
      </c>
      <c r="B7242" s="2">
        <v>1.0</v>
      </c>
      <c r="C7242" s="4"/>
      <c r="E7242" s="4" t="str">
        <f t="array" ref="E7242">XLOOKUP(A7242,'Fintech, Regulatory Arbitrage, '!A:A,'Fintech, Regulatory Arbitrage, '!C:C,"")</f>
        <v/>
      </c>
    </row>
    <row r="7243">
      <c r="A7243" s="1" t="s">
        <v>7263</v>
      </c>
      <c r="B7243" s="2">
        <v>1.0</v>
      </c>
      <c r="C7243" s="4"/>
      <c r="E7243" s="4" t="str">
        <f t="array" ref="E7243">XLOOKUP(A7243,'Fintech, Regulatory Arbitrage, '!A:A,'Fintech, Regulatory Arbitrage, '!C:C,"")</f>
        <v/>
      </c>
    </row>
    <row r="7244">
      <c r="A7244" s="1" t="s">
        <v>7264</v>
      </c>
      <c r="B7244" s="2">
        <v>1.0</v>
      </c>
      <c r="C7244" s="4"/>
      <c r="E7244" s="4" t="str">
        <f t="array" ref="E7244">XLOOKUP(A7244,'Fintech, Regulatory Arbitrage, '!A:A,'Fintech, Regulatory Arbitrage, '!C:C,"")</f>
        <v/>
      </c>
    </row>
    <row r="7245">
      <c r="A7245" s="1" t="s">
        <v>7265</v>
      </c>
      <c r="B7245" s="2">
        <v>1.0</v>
      </c>
      <c r="C7245" s="4"/>
      <c r="E7245" s="4" t="str">
        <f t="array" ref="E7245">XLOOKUP(A7245,'Fintech, Regulatory Arbitrage, '!A:A,'Fintech, Regulatory Arbitrage, '!C:C,"")</f>
        <v/>
      </c>
    </row>
    <row r="7246">
      <c r="A7246" s="1" t="s">
        <v>7266</v>
      </c>
      <c r="B7246" s="2">
        <v>1.0</v>
      </c>
      <c r="C7246" s="4"/>
      <c r="E7246" s="4" t="str">
        <f t="array" ref="E7246">XLOOKUP(A7246,'Fintech, Regulatory Arbitrage, '!A:A,'Fintech, Regulatory Arbitrage, '!C:C,"")</f>
        <v/>
      </c>
    </row>
    <row r="7247">
      <c r="A7247" s="1" t="s">
        <v>7267</v>
      </c>
      <c r="B7247" s="2">
        <v>1.0</v>
      </c>
      <c r="C7247" s="4"/>
      <c r="E7247" s="4" t="str">
        <f t="array" ref="E7247">XLOOKUP(A7247,'Fintech, Regulatory Arbitrage, '!A:A,'Fintech, Regulatory Arbitrage, '!C:C,"")</f>
        <v/>
      </c>
    </row>
    <row r="7248">
      <c r="A7248" s="1" t="s">
        <v>7268</v>
      </c>
      <c r="B7248" s="2">
        <v>1.0</v>
      </c>
      <c r="C7248" s="4"/>
      <c r="E7248" s="4" t="str">
        <f t="array" ref="E7248">XLOOKUP(A7248,'Fintech, Regulatory Arbitrage, '!A:A,'Fintech, Regulatory Arbitrage, '!C:C,"")</f>
        <v/>
      </c>
    </row>
    <row r="7249">
      <c r="A7249" s="1" t="s">
        <v>7269</v>
      </c>
      <c r="B7249" s="2">
        <v>1.0</v>
      </c>
      <c r="C7249" s="4"/>
      <c r="E7249" s="4" t="str">
        <f t="array" ref="E7249">XLOOKUP(A7249,'Fintech, Regulatory Arbitrage, '!A:A,'Fintech, Regulatory Arbitrage, '!C:C,"")</f>
        <v/>
      </c>
    </row>
    <row r="7250">
      <c r="A7250" s="1" t="s">
        <v>7270</v>
      </c>
      <c r="B7250" s="2">
        <v>1.0</v>
      </c>
      <c r="C7250" s="4"/>
      <c r="E7250" s="4" t="str">
        <f t="array" ref="E7250">XLOOKUP(A7250,'Fintech, Regulatory Arbitrage, '!A:A,'Fintech, Regulatory Arbitrage, '!C:C,"")</f>
        <v/>
      </c>
    </row>
    <row r="7251">
      <c r="A7251" s="1" t="s">
        <v>7271</v>
      </c>
      <c r="B7251" s="2">
        <v>1.0</v>
      </c>
      <c r="C7251" s="4"/>
      <c r="E7251" s="4" t="str">
        <f t="array" ref="E7251">XLOOKUP(A7251,'Fintech, Regulatory Arbitrage, '!A:A,'Fintech, Regulatory Arbitrage, '!C:C,"")</f>
        <v/>
      </c>
    </row>
    <row r="7252">
      <c r="A7252" s="1" t="s">
        <v>7272</v>
      </c>
      <c r="B7252" s="2">
        <v>1.0</v>
      </c>
      <c r="C7252" s="4"/>
      <c r="E7252" s="4" t="str">
        <f t="array" ref="E7252">XLOOKUP(A7252,'Fintech, Regulatory Arbitrage, '!A:A,'Fintech, Regulatory Arbitrage, '!C:C,"")</f>
        <v/>
      </c>
    </row>
    <row r="7253">
      <c r="A7253" s="1" t="s">
        <v>7273</v>
      </c>
      <c r="B7253" s="2">
        <v>1.0</v>
      </c>
      <c r="C7253" s="4"/>
      <c r="E7253" s="4" t="str">
        <f t="array" ref="E7253">XLOOKUP(A7253,'Fintech, Regulatory Arbitrage, '!A:A,'Fintech, Regulatory Arbitrage, '!C:C,"")</f>
        <v/>
      </c>
    </row>
    <row r="7254">
      <c r="A7254" s="1" t="s">
        <v>7274</v>
      </c>
      <c r="B7254" s="2">
        <v>1.0</v>
      </c>
      <c r="C7254" s="4"/>
      <c r="E7254" s="4" t="str">
        <f t="array" ref="E7254">XLOOKUP(A7254,'Fintech, Regulatory Arbitrage, '!A:A,'Fintech, Regulatory Arbitrage, '!C:C,"")</f>
        <v/>
      </c>
    </row>
    <row r="7255">
      <c r="A7255" s="1" t="s">
        <v>7275</v>
      </c>
      <c r="B7255" s="2">
        <v>1.0</v>
      </c>
      <c r="C7255" s="4"/>
      <c r="E7255" s="4" t="str">
        <f t="array" ref="E7255">XLOOKUP(A7255,'Fintech, Regulatory Arbitrage, '!A:A,'Fintech, Regulatory Arbitrage, '!C:C,"")</f>
        <v/>
      </c>
    </row>
    <row r="7256">
      <c r="A7256" s="1" t="s">
        <v>7276</v>
      </c>
      <c r="B7256" s="2">
        <v>1.0</v>
      </c>
      <c r="C7256" s="4"/>
      <c r="E7256" s="4" t="str">
        <f t="array" ref="E7256">XLOOKUP(A7256,'Fintech, Regulatory Arbitrage, '!A:A,'Fintech, Regulatory Arbitrage, '!C:C,"")</f>
        <v/>
      </c>
    </row>
    <row r="7257">
      <c r="A7257" s="1" t="s">
        <v>7277</v>
      </c>
      <c r="B7257" s="2">
        <v>1.0</v>
      </c>
      <c r="C7257" s="4"/>
      <c r="E7257" s="4" t="str">
        <f t="array" ref="E7257">XLOOKUP(A7257,'Fintech, Regulatory Arbitrage, '!A:A,'Fintech, Regulatory Arbitrage, '!C:C,"")</f>
        <v/>
      </c>
    </row>
    <row r="7258">
      <c r="A7258" s="1" t="s">
        <v>7278</v>
      </c>
      <c r="B7258" s="2">
        <v>1.0</v>
      </c>
      <c r="C7258" s="4"/>
      <c r="E7258" s="4" t="str">
        <f t="array" ref="E7258">XLOOKUP(A7258,'Fintech, Regulatory Arbitrage, '!A:A,'Fintech, Regulatory Arbitrage, '!C:C,"")</f>
        <v/>
      </c>
    </row>
    <row r="7259">
      <c r="A7259" s="1" t="s">
        <v>7279</v>
      </c>
      <c r="B7259" s="2">
        <v>1.0</v>
      </c>
      <c r="C7259" s="4"/>
      <c r="E7259" s="4" t="str">
        <f t="array" ref="E7259">XLOOKUP(A7259,'Fintech, Regulatory Arbitrage, '!A:A,'Fintech, Regulatory Arbitrage, '!C:C,"")</f>
        <v/>
      </c>
    </row>
    <row r="7260">
      <c r="A7260" s="1" t="s">
        <v>7280</v>
      </c>
      <c r="B7260" s="2">
        <v>1.0</v>
      </c>
      <c r="C7260" s="4"/>
      <c r="E7260" s="4" t="str">
        <f t="array" ref="E7260">XLOOKUP(A7260,'Fintech, Regulatory Arbitrage, '!A:A,'Fintech, Regulatory Arbitrage, '!C:C,"")</f>
        <v/>
      </c>
    </row>
    <row r="7261">
      <c r="A7261" s="1" t="s">
        <v>7281</v>
      </c>
      <c r="B7261" s="2">
        <v>1.0</v>
      </c>
      <c r="C7261" s="4"/>
      <c r="E7261" s="4" t="str">
        <f t="array" ref="E7261">XLOOKUP(A7261,'Fintech, Regulatory Arbitrage, '!A:A,'Fintech, Regulatory Arbitrage, '!C:C,"")</f>
        <v/>
      </c>
    </row>
    <row r="7262">
      <c r="A7262" s="1" t="s">
        <v>7282</v>
      </c>
      <c r="B7262" s="2">
        <v>1.0</v>
      </c>
      <c r="C7262" s="4"/>
      <c r="E7262" s="4" t="str">
        <f t="array" ref="E7262">XLOOKUP(A7262,'Fintech, Regulatory Arbitrage, '!A:A,'Fintech, Regulatory Arbitrage, '!C:C,"")</f>
        <v/>
      </c>
    </row>
    <row r="7263">
      <c r="A7263" s="1" t="s">
        <v>7283</v>
      </c>
      <c r="B7263" s="2">
        <v>1.0</v>
      </c>
      <c r="C7263" s="4"/>
      <c r="E7263" s="4" t="str">
        <f t="array" ref="E7263">XLOOKUP(A7263,'Fintech, Regulatory Arbitrage, '!A:A,'Fintech, Regulatory Arbitrage, '!C:C,"")</f>
        <v/>
      </c>
    </row>
    <row r="7264">
      <c r="A7264" s="1" t="s">
        <v>7284</v>
      </c>
      <c r="B7264" s="2">
        <v>1.0</v>
      </c>
      <c r="C7264" s="4"/>
      <c r="E7264" s="4" t="str">
        <f t="array" ref="E7264">XLOOKUP(A7264,'Fintech, Regulatory Arbitrage, '!A:A,'Fintech, Regulatory Arbitrage, '!C:C,"")</f>
        <v/>
      </c>
    </row>
    <row r="7265">
      <c r="A7265" s="1" t="s">
        <v>7285</v>
      </c>
      <c r="B7265" s="2">
        <v>1.0</v>
      </c>
      <c r="C7265" s="4"/>
      <c r="E7265" s="4" t="str">
        <f t="array" ref="E7265">XLOOKUP(A7265,'Fintech, Regulatory Arbitrage, '!A:A,'Fintech, Regulatory Arbitrage, '!C:C,"")</f>
        <v/>
      </c>
    </row>
    <row r="7266">
      <c r="A7266" s="1" t="s">
        <v>7286</v>
      </c>
      <c r="B7266" s="2">
        <v>1.0</v>
      </c>
      <c r="C7266" s="4"/>
      <c r="E7266" s="4" t="str">
        <f t="array" ref="E7266">XLOOKUP(A7266,'Fintech, Regulatory Arbitrage, '!A:A,'Fintech, Regulatory Arbitrage, '!C:C,"")</f>
        <v/>
      </c>
    </row>
    <row r="7267">
      <c r="A7267" s="1" t="s">
        <v>7287</v>
      </c>
      <c r="B7267" s="2">
        <v>1.0</v>
      </c>
      <c r="C7267" s="4"/>
      <c r="E7267" s="4" t="str">
        <f t="array" ref="E7267">XLOOKUP(A7267,'Fintech, Regulatory Arbitrage, '!A:A,'Fintech, Regulatory Arbitrage, '!C:C,"")</f>
        <v/>
      </c>
    </row>
    <row r="7268">
      <c r="A7268" s="1" t="s">
        <v>7288</v>
      </c>
      <c r="B7268" s="2">
        <v>1.0</v>
      </c>
      <c r="C7268" s="4"/>
      <c r="E7268" s="4" t="str">
        <f t="array" ref="E7268">XLOOKUP(A7268,'Fintech, Regulatory Arbitrage, '!A:A,'Fintech, Regulatory Arbitrage, '!C:C,"")</f>
        <v/>
      </c>
    </row>
    <row r="7269">
      <c r="A7269" s="1" t="s">
        <v>7289</v>
      </c>
      <c r="B7269" s="2">
        <v>1.0</v>
      </c>
      <c r="C7269" s="4"/>
      <c r="E7269" s="4" t="str">
        <f t="array" ref="E7269">XLOOKUP(A7269,'Fintech, Regulatory Arbitrage, '!A:A,'Fintech, Regulatory Arbitrage, '!C:C,"")</f>
        <v/>
      </c>
    </row>
    <row r="7270">
      <c r="A7270" s="1" t="s">
        <v>7290</v>
      </c>
      <c r="B7270" s="2">
        <v>1.0</v>
      </c>
      <c r="C7270" s="4"/>
      <c r="E7270" s="4" t="str">
        <f t="array" ref="E7270">XLOOKUP(A7270,'Fintech, Regulatory Arbitrage, '!A:A,'Fintech, Regulatory Arbitrage, '!C:C,"")</f>
        <v/>
      </c>
    </row>
    <row r="7271">
      <c r="A7271" s="1" t="s">
        <v>7291</v>
      </c>
      <c r="B7271" s="2">
        <v>1.0</v>
      </c>
      <c r="C7271" s="4"/>
      <c r="E7271" s="4" t="str">
        <f t="array" ref="E7271">XLOOKUP(A7271,'Fintech, Regulatory Arbitrage, '!A:A,'Fintech, Regulatory Arbitrage, '!C:C,"")</f>
        <v/>
      </c>
    </row>
    <row r="7272">
      <c r="A7272" s="1" t="s">
        <v>7292</v>
      </c>
      <c r="B7272" s="2">
        <v>1.0</v>
      </c>
      <c r="C7272" s="4"/>
      <c r="E7272" s="4" t="str">
        <f t="array" ref="E7272">XLOOKUP(A7272,'Fintech, Regulatory Arbitrage, '!A:A,'Fintech, Regulatory Arbitrage, '!C:C,"")</f>
        <v/>
      </c>
    </row>
    <row r="7273">
      <c r="A7273" s="1" t="s">
        <v>7293</v>
      </c>
      <c r="B7273" s="2">
        <v>1.0</v>
      </c>
      <c r="C7273" s="4"/>
      <c r="E7273" s="4" t="str">
        <f t="array" ref="E7273">XLOOKUP(A7273,'Fintech, Regulatory Arbitrage, '!A:A,'Fintech, Regulatory Arbitrage, '!C:C,"")</f>
        <v/>
      </c>
    </row>
    <row r="7274">
      <c r="A7274" s="1" t="s">
        <v>7294</v>
      </c>
      <c r="B7274" s="2">
        <v>1.0</v>
      </c>
      <c r="C7274" s="4"/>
      <c r="E7274" s="4" t="str">
        <f t="array" ref="E7274">XLOOKUP(A7274,'Fintech, Regulatory Arbitrage, '!A:A,'Fintech, Regulatory Arbitrage, '!C:C,"")</f>
        <v/>
      </c>
    </row>
    <row r="7275">
      <c r="A7275" s="1" t="s">
        <v>7295</v>
      </c>
      <c r="B7275" s="2">
        <v>1.0</v>
      </c>
      <c r="C7275" s="4"/>
      <c r="E7275" s="4" t="str">
        <f t="array" ref="E7275">XLOOKUP(A7275,'Fintech, Regulatory Arbitrage, '!A:A,'Fintech, Regulatory Arbitrage, '!C:C,"")</f>
        <v/>
      </c>
    </row>
    <row r="7276">
      <c r="A7276" s="1" t="s">
        <v>7296</v>
      </c>
      <c r="B7276" s="2">
        <v>1.0</v>
      </c>
      <c r="C7276" s="4"/>
      <c r="E7276" s="4" t="str">
        <f t="array" ref="E7276">XLOOKUP(A7276,'Fintech, Regulatory Arbitrage, '!A:A,'Fintech, Regulatory Arbitrage, '!C:C,"")</f>
        <v/>
      </c>
    </row>
    <row r="7277">
      <c r="A7277" s="1" t="s">
        <v>7297</v>
      </c>
      <c r="B7277" s="2">
        <v>1.0</v>
      </c>
      <c r="C7277" s="4"/>
      <c r="E7277" s="4" t="str">
        <f t="array" ref="E7277">XLOOKUP(A7277,'Fintech, Regulatory Arbitrage, '!A:A,'Fintech, Regulatory Arbitrage, '!C:C,"")</f>
        <v/>
      </c>
    </row>
    <row r="7278">
      <c r="A7278" s="1" t="s">
        <v>7298</v>
      </c>
      <c r="B7278" s="2">
        <v>1.0</v>
      </c>
      <c r="C7278" s="4"/>
      <c r="E7278" s="4" t="str">
        <f t="array" ref="E7278">XLOOKUP(A7278,'Fintech, Regulatory Arbitrage, '!A:A,'Fintech, Regulatory Arbitrage, '!C:C,"")</f>
        <v/>
      </c>
    </row>
    <row r="7279">
      <c r="A7279" s="1" t="s">
        <v>7299</v>
      </c>
      <c r="B7279" s="2">
        <v>1.0</v>
      </c>
      <c r="C7279" s="4"/>
      <c r="E7279" s="4" t="str">
        <f t="array" ref="E7279">XLOOKUP(A7279,'Fintech, Regulatory Arbitrage, '!A:A,'Fintech, Regulatory Arbitrage, '!C:C,"")</f>
        <v/>
      </c>
    </row>
    <row r="7280">
      <c r="A7280" s="1" t="s">
        <v>7300</v>
      </c>
      <c r="B7280" s="2">
        <v>1.0</v>
      </c>
      <c r="C7280" s="4"/>
      <c r="E7280" s="4" t="str">
        <f t="array" ref="E7280">XLOOKUP(A7280,'Fintech, Regulatory Arbitrage, '!A:A,'Fintech, Regulatory Arbitrage, '!C:C,"")</f>
        <v/>
      </c>
    </row>
    <row r="7281">
      <c r="A7281" s="1" t="s">
        <v>7301</v>
      </c>
      <c r="B7281" s="2">
        <v>1.0</v>
      </c>
      <c r="C7281" s="4"/>
      <c r="E7281" s="4" t="str">
        <f t="array" ref="E7281">XLOOKUP(A7281,'Fintech, Regulatory Arbitrage, '!A:A,'Fintech, Regulatory Arbitrage, '!C:C,"")</f>
        <v/>
      </c>
    </row>
    <row r="7282">
      <c r="A7282" s="1" t="s">
        <v>7302</v>
      </c>
      <c r="B7282" s="2">
        <v>1.0</v>
      </c>
      <c r="C7282" s="4"/>
      <c r="E7282" s="4" t="str">
        <f t="array" ref="E7282">XLOOKUP(A7282,'Fintech, Regulatory Arbitrage, '!A:A,'Fintech, Regulatory Arbitrage, '!C:C,"")</f>
        <v/>
      </c>
    </row>
    <row r="7283">
      <c r="A7283" s="1" t="s">
        <v>7303</v>
      </c>
      <c r="B7283" s="2">
        <v>1.0</v>
      </c>
      <c r="C7283" s="4"/>
      <c r="E7283" s="4" t="str">
        <f t="array" ref="E7283">XLOOKUP(A7283,'Fintech, Regulatory Arbitrage, '!A:A,'Fintech, Regulatory Arbitrage, '!C:C,"")</f>
        <v/>
      </c>
    </row>
    <row r="7284">
      <c r="A7284" s="1" t="s">
        <v>7304</v>
      </c>
      <c r="B7284" s="2">
        <v>1.0</v>
      </c>
      <c r="C7284" s="4"/>
      <c r="E7284" s="4" t="str">
        <f t="array" ref="E7284">XLOOKUP(A7284,'Fintech, Regulatory Arbitrage, '!A:A,'Fintech, Regulatory Arbitrage, '!C:C,"")</f>
        <v/>
      </c>
    </row>
    <row r="7285">
      <c r="A7285" s="1" t="s">
        <v>7305</v>
      </c>
      <c r="B7285" s="2">
        <v>1.0</v>
      </c>
      <c r="C7285" s="4"/>
      <c r="E7285" s="4" t="str">
        <f t="array" ref="E7285">XLOOKUP(A7285,'Fintech, Regulatory Arbitrage, '!A:A,'Fintech, Regulatory Arbitrage, '!C:C,"")</f>
        <v/>
      </c>
    </row>
    <row r="7286">
      <c r="A7286" s="1" t="s">
        <v>7306</v>
      </c>
      <c r="B7286" s="2">
        <v>1.0</v>
      </c>
      <c r="C7286" s="4"/>
      <c r="E7286" s="4" t="str">
        <f t="array" ref="E7286">XLOOKUP(A7286,'Fintech, Regulatory Arbitrage, '!A:A,'Fintech, Regulatory Arbitrage, '!C:C,"")</f>
        <v/>
      </c>
    </row>
    <row r="7287">
      <c r="A7287" s="1" t="s">
        <v>7307</v>
      </c>
      <c r="B7287" s="2">
        <v>1.0</v>
      </c>
      <c r="C7287" s="4"/>
      <c r="E7287" s="4" t="str">
        <f t="array" ref="E7287">XLOOKUP(A7287,'Fintech, Regulatory Arbitrage, '!A:A,'Fintech, Regulatory Arbitrage, '!C:C,"")</f>
        <v/>
      </c>
    </row>
    <row r="7288">
      <c r="A7288" s="1" t="s">
        <v>7308</v>
      </c>
      <c r="B7288" s="2">
        <v>1.0</v>
      </c>
      <c r="C7288" s="4"/>
      <c r="E7288" s="4" t="str">
        <f t="array" ref="E7288">XLOOKUP(A7288,'Fintech, Regulatory Arbitrage, '!A:A,'Fintech, Regulatory Arbitrage, '!C:C,"")</f>
        <v/>
      </c>
    </row>
    <row r="7289">
      <c r="A7289" s="1" t="s">
        <v>7309</v>
      </c>
      <c r="B7289" s="2">
        <v>1.0</v>
      </c>
      <c r="C7289" s="4"/>
      <c r="E7289" s="4" t="str">
        <f t="array" ref="E7289">XLOOKUP(A7289,'Fintech, Regulatory Arbitrage, '!A:A,'Fintech, Regulatory Arbitrage, '!C:C,"")</f>
        <v/>
      </c>
    </row>
    <row r="7290">
      <c r="A7290" s="1" t="s">
        <v>7310</v>
      </c>
      <c r="B7290" s="2">
        <v>1.0</v>
      </c>
      <c r="C7290" s="4"/>
      <c r="E7290" s="4" t="str">
        <f t="array" ref="E7290">XLOOKUP(A7290,'Fintech, Regulatory Arbitrage, '!A:A,'Fintech, Regulatory Arbitrage, '!C:C,"")</f>
        <v/>
      </c>
    </row>
    <row r="7291">
      <c r="A7291" s="1" t="s">
        <v>7311</v>
      </c>
      <c r="B7291" s="2">
        <v>1.0</v>
      </c>
      <c r="C7291" s="4"/>
      <c r="E7291" s="4" t="str">
        <f t="array" ref="E7291">XLOOKUP(A7291,'Fintech, Regulatory Arbitrage, '!A:A,'Fintech, Regulatory Arbitrage, '!C:C,"")</f>
        <v/>
      </c>
    </row>
    <row r="7292">
      <c r="A7292" s="1" t="s">
        <v>7312</v>
      </c>
      <c r="B7292" s="2">
        <v>1.0</v>
      </c>
      <c r="C7292" s="4"/>
      <c r="E7292" s="4" t="str">
        <f t="array" ref="E7292">XLOOKUP(A7292,'Fintech, Regulatory Arbitrage, '!A:A,'Fintech, Regulatory Arbitrage, '!C:C,"")</f>
        <v/>
      </c>
    </row>
    <row r="7293">
      <c r="A7293" s="1" t="s">
        <v>7313</v>
      </c>
      <c r="B7293" s="2">
        <v>1.0</v>
      </c>
      <c r="C7293" s="4"/>
      <c r="E7293" s="4" t="str">
        <f t="array" ref="E7293">XLOOKUP(A7293,'Fintech, Regulatory Arbitrage, '!A:A,'Fintech, Regulatory Arbitrage, '!C:C,"")</f>
        <v/>
      </c>
    </row>
    <row r="7294">
      <c r="A7294" s="1" t="s">
        <v>7314</v>
      </c>
      <c r="B7294" s="2">
        <v>1.0</v>
      </c>
      <c r="C7294" s="4"/>
      <c r="E7294" s="4" t="str">
        <f t="array" ref="E7294">XLOOKUP(A7294,'Fintech, Regulatory Arbitrage, '!A:A,'Fintech, Regulatory Arbitrage, '!C:C,"")</f>
        <v/>
      </c>
    </row>
    <row r="7295">
      <c r="A7295" s="1" t="s">
        <v>7315</v>
      </c>
      <c r="B7295" s="2">
        <v>1.0</v>
      </c>
      <c r="C7295" s="4"/>
      <c r="E7295" s="4" t="str">
        <f t="array" ref="E7295">XLOOKUP(A7295,'Fintech, Regulatory Arbitrage, '!A:A,'Fintech, Regulatory Arbitrage, '!C:C,"")</f>
        <v/>
      </c>
    </row>
    <row r="7296">
      <c r="A7296" s="1" t="s">
        <v>7316</v>
      </c>
      <c r="B7296" s="2">
        <v>1.0</v>
      </c>
      <c r="C7296" s="4"/>
      <c r="E7296" s="4" t="str">
        <f t="array" ref="E7296">XLOOKUP(A7296,'Fintech, Regulatory Arbitrage, '!A:A,'Fintech, Regulatory Arbitrage, '!C:C,"")</f>
        <v/>
      </c>
    </row>
    <row r="7297">
      <c r="A7297" s="1" t="s">
        <v>7317</v>
      </c>
      <c r="B7297" s="2">
        <v>1.0</v>
      </c>
      <c r="C7297" s="4"/>
      <c r="E7297" s="4" t="str">
        <f t="array" ref="E7297">XLOOKUP(A7297,'Fintech, Regulatory Arbitrage, '!A:A,'Fintech, Regulatory Arbitrage, '!C:C,"")</f>
        <v/>
      </c>
    </row>
    <row r="7298">
      <c r="A7298" s="1" t="s">
        <v>7318</v>
      </c>
      <c r="B7298" s="2">
        <v>1.0</v>
      </c>
      <c r="C7298" s="4"/>
      <c r="E7298" s="4" t="str">
        <f t="array" ref="E7298">XLOOKUP(A7298,'Fintech, Regulatory Arbitrage, '!A:A,'Fintech, Regulatory Arbitrage, '!C:C,"")</f>
        <v/>
      </c>
    </row>
    <row r="7299">
      <c r="A7299" s="1" t="s">
        <v>7319</v>
      </c>
      <c r="B7299" s="2">
        <v>1.0</v>
      </c>
      <c r="C7299" s="4"/>
      <c r="E7299" s="4" t="str">
        <f t="array" ref="E7299">XLOOKUP(A7299,'Fintech, Regulatory Arbitrage, '!A:A,'Fintech, Regulatory Arbitrage, '!C:C,"")</f>
        <v/>
      </c>
    </row>
    <row r="7300">
      <c r="A7300" s="1" t="s">
        <v>7320</v>
      </c>
      <c r="B7300" s="2">
        <v>1.0</v>
      </c>
      <c r="C7300" s="4"/>
      <c r="E7300" s="4" t="str">
        <f t="array" ref="E7300">XLOOKUP(A7300,'Fintech, Regulatory Arbitrage, '!A:A,'Fintech, Regulatory Arbitrage, '!C:C,"")</f>
        <v/>
      </c>
    </row>
    <row r="7301">
      <c r="A7301" s="1" t="s">
        <v>7321</v>
      </c>
      <c r="B7301" s="2">
        <v>1.0</v>
      </c>
      <c r="C7301" s="4"/>
      <c r="E7301" s="4" t="str">
        <f t="array" ref="E7301">XLOOKUP(A7301,'Fintech, Regulatory Arbitrage, '!A:A,'Fintech, Regulatory Arbitrage, '!C:C,"")</f>
        <v/>
      </c>
    </row>
    <row r="7302">
      <c r="A7302" s="1" t="s">
        <v>7322</v>
      </c>
      <c r="B7302" s="2">
        <v>1.0</v>
      </c>
      <c r="C7302" s="4"/>
      <c r="E7302" s="4" t="str">
        <f t="array" ref="E7302">XLOOKUP(A7302,'Fintech, Regulatory Arbitrage, '!A:A,'Fintech, Regulatory Arbitrage, '!C:C,"")</f>
        <v/>
      </c>
    </row>
    <row r="7303">
      <c r="A7303" s="1" t="s">
        <v>7323</v>
      </c>
      <c r="B7303" s="2">
        <v>1.0</v>
      </c>
      <c r="C7303" s="4"/>
      <c r="E7303" s="4" t="str">
        <f t="array" ref="E7303">XLOOKUP(A7303,'Fintech, Regulatory Arbitrage, '!A:A,'Fintech, Regulatory Arbitrage, '!C:C,"")</f>
        <v/>
      </c>
    </row>
    <row r="7304">
      <c r="A7304" s="1" t="s">
        <v>7324</v>
      </c>
      <c r="B7304" s="2">
        <v>1.0</v>
      </c>
      <c r="C7304" s="4"/>
      <c r="E7304" s="4" t="str">
        <f t="array" ref="E7304">XLOOKUP(A7304,'Fintech, Regulatory Arbitrage, '!A:A,'Fintech, Regulatory Arbitrage, '!C:C,"")</f>
        <v/>
      </c>
    </row>
    <row r="7305">
      <c r="A7305" s="1" t="s">
        <v>7325</v>
      </c>
      <c r="B7305" s="2">
        <v>1.0</v>
      </c>
      <c r="C7305" s="4"/>
      <c r="E7305" s="4" t="str">
        <f t="array" ref="E7305">XLOOKUP(A7305,'Fintech, Regulatory Arbitrage, '!A:A,'Fintech, Regulatory Arbitrage, '!C:C,"")</f>
        <v/>
      </c>
    </row>
    <row r="7306">
      <c r="A7306" s="1" t="s">
        <v>7326</v>
      </c>
      <c r="B7306" s="2">
        <v>1.0</v>
      </c>
      <c r="C7306" s="4"/>
      <c r="E7306" s="4" t="str">
        <f t="array" ref="E7306">XLOOKUP(A7306,'Fintech, Regulatory Arbitrage, '!A:A,'Fintech, Regulatory Arbitrage, '!C:C,"")</f>
        <v/>
      </c>
    </row>
    <row r="7307">
      <c r="A7307" s="1" t="s">
        <v>7327</v>
      </c>
      <c r="B7307" s="2">
        <v>1.0</v>
      </c>
      <c r="C7307" s="4"/>
      <c r="E7307" s="4" t="str">
        <f t="array" ref="E7307">XLOOKUP(A7307,'Fintech, Regulatory Arbitrage, '!A:A,'Fintech, Regulatory Arbitrage, '!C:C,"")</f>
        <v/>
      </c>
    </row>
    <row r="7308">
      <c r="A7308" s="1" t="s">
        <v>7328</v>
      </c>
      <c r="B7308" s="2">
        <v>1.0</v>
      </c>
      <c r="C7308" s="4"/>
      <c r="E7308" s="4" t="str">
        <f t="array" ref="E7308">XLOOKUP(A7308,'Fintech, Regulatory Arbitrage, '!A:A,'Fintech, Regulatory Arbitrage, '!C:C,"")</f>
        <v/>
      </c>
    </row>
    <row r="7309">
      <c r="A7309" s="1" t="s">
        <v>7329</v>
      </c>
      <c r="B7309" s="2">
        <v>1.0</v>
      </c>
      <c r="C7309" s="4"/>
      <c r="E7309" s="4" t="str">
        <f t="array" ref="E7309">XLOOKUP(A7309,'Fintech, Regulatory Arbitrage, '!A:A,'Fintech, Regulatory Arbitrage, '!C:C,"")</f>
        <v/>
      </c>
    </row>
    <row r="7310">
      <c r="A7310" s="1" t="s">
        <v>7330</v>
      </c>
      <c r="B7310" s="2">
        <v>1.0</v>
      </c>
      <c r="C7310" s="4"/>
      <c r="E7310" s="4" t="str">
        <f t="array" ref="E7310">XLOOKUP(A7310,'Fintech, Regulatory Arbitrage, '!A:A,'Fintech, Regulatory Arbitrage, '!C:C,"")</f>
        <v/>
      </c>
    </row>
    <row r="7311">
      <c r="A7311" s="1" t="s">
        <v>7331</v>
      </c>
      <c r="B7311" s="2">
        <v>1.0</v>
      </c>
      <c r="C7311" s="4"/>
      <c r="E7311" s="4" t="str">
        <f t="array" ref="E7311">XLOOKUP(A7311,'Fintech, Regulatory Arbitrage, '!A:A,'Fintech, Regulatory Arbitrage, '!C:C,"")</f>
        <v/>
      </c>
    </row>
    <row r="7312">
      <c r="A7312" s="1" t="s">
        <v>7332</v>
      </c>
      <c r="B7312" s="2">
        <v>1.0</v>
      </c>
      <c r="C7312" s="4"/>
      <c r="E7312" s="4" t="str">
        <f t="array" ref="E7312">XLOOKUP(A7312,'Fintech, Regulatory Arbitrage, '!A:A,'Fintech, Regulatory Arbitrage, '!C:C,"")</f>
        <v/>
      </c>
    </row>
    <row r="7313">
      <c r="A7313" s="1" t="s">
        <v>7333</v>
      </c>
      <c r="B7313" s="2">
        <v>1.0</v>
      </c>
      <c r="C7313" s="4"/>
      <c r="E7313" s="4" t="str">
        <f t="array" ref="E7313">XLOOKUP(A7313,'Fintech, Regulatory Arbitrage, '!A:A,'Fintech, Regulatory Arbitrage, '!C:C,"")</f>
        <v/>
      </c>
    </row>
    <row r="7314">
      <c r="A7314" s="1" t="s">
        <v>7334</v>
      </c>
      <c r="B7314" s="2">
        <v>1.0</v>
      </c>
      <c r="C7314" s="4"/>
      <c r="E7314" s="4" t="str">
        <f t="array" ref="E7314">XLOOKUP(A7314,'Fintech, Regulatory Arbitrage, '!A:A,'Fintech, Regulatory Arbitrage, '!C:C,"")</f>
        <v/>
      </c>
    </row>
    <row r="7315">
      <c r="A7315" s="1" t="s">
        <v>7335</v>
      </c>
      <c r="B7315" s="2">
        <v>1.0</v>
      </c>
      <c r="C7315" s="4"/>
      <c r="E7315" s="4" t="str">
        <f t="array" ref="E7315">XLOOKUP(A7315,'Fintech, Regulatory Arbitrage, '!A:A,'Fintech, Regulatory Arbitrage, '!C:C,"")</f>
        <v/>
      </c>
    </row>
    <row r="7316">
      <c r="A7316" s="1" t="s">
        <v>7336</v>
      </c>
      <c r="B7316" s="2">
        <v>1.0</v>
      </c>
      <c r="C7316" s="4"/>
      <c r="E7316" s="4" t="str">
        <f t="array" ref="E7316">XLOOKUP(A7316,'Fintech, Regulatory Arbitrage, '!A:A,'Fintech, Regulatory Arbitrage, '!C:C,"")</f>
        <v/>
      </c>
    </row>
    <row r="7317">
      <c r="A7317" s="1" t="s">
        <v>7337</v>
      </c>
      <c r="B7317" s="2">
        <v>1.0</v>
      </c>
      <c r="C7317" s="4"/>
      <c r="E7317" s="4" t="str">
        <f t="array" ref="E7317">XLOOKUP(A7317,'Fintech, Regulatory Arbitrage, '!A:A,'Fintech, Regulatory Arbitrage, '!C:C,"")</f>
        <v/>
      </c>
    </row>
    <row r="7318">
      <c r="A7318" s="1" t="s">
        <v>7338</v>
      </c>
      <c r="B7318" s="2">
        <v>1.0</v>
      </c>
      <c r="C7318" s="4"/>
      <c r="E7318" s="4" t="str">
        <f t="array" ref="E7318">XLOOKUP(A7318,'Fintech, Regulatory Arbitrage, '!A:A,'Fintech, Regulatory Arbitrage, '!C:C,"")</f>
        <v/>
      </c>
    </row>
    <row r="7319">
      <c r="A7319" s="1" t="s">
        <v>7339</v>
      </c>
      <c r="B7319" s="2">
        <v>1.0</v>
      </c>
      <c r="C7319" s="4"/>
      <c r="E7319" s="4" t="str">
        <f t="array" ref="E7319">XLOOKUP(A7319,'Fintech, Regulatory Arbitrage, '!A:A,'Fintech, Regulatory Arbitrage, '!C:C,"")</f>
        <v/>
      </c>
    </row>
    <row r="7320">
      <c r="A7320" s="1" t="s">
        <v>7340</v>
      </c>
      <c r="B7320" s="2">
        <v>1.0</v>
      </c>
      <c r="C7320" s="4"/>
      <c r="E7320" s="4" t="str">
        <f t="array" ref="E7320">XLOOKUP(A7320,'Fintech, Regulatory Arbitrage, '!A:A,'Fintech, Regulatory Arbitrage, '!C:C,"")</f>
        <v/>
      </c>
    </row>
    <row r="7321">
      <c r="A7321" s="1" t="s">
        <v>7341</v>
      </c>
      <c r="B7321" s="2">
        <v>1.0</v>
      </c>
      <c r="C7321" s="4"/>
      <c r="E7321" s="4" t="str">
        <f t="array" ref="E7321">XLOOKUP(A7321,'Fintech, Regulatory Arbitrage, '!A:A,'Fintech, Regulatory Arbitrage, '!C:C,"")</f>
        <v/>
      </c>
    </row>
    <row r="7322">
      <c r="A7322" s="1" t="s">
        <v>7342</v>
      </c>
      <c r="B7322" s="2">
        <v>1.0</v>
      </c>
      <c r="C7322" s="4"/>
      <c r="E7322" s="4" t="str">
        <f t="array" ref="E7322">XLOOKUP(A7322,'Fintech, Regulatory Arbitrage, '!A:A,'Fintech, Regulatory Arbitrage, '!C:C,"")</f>
        <v/>
      </c>
    </row>
    <row r="7323">
      <c r="A7323" s="1" t="s">
        <v>7343</v>
      </c>
      <c r="B7323" s="2">
        <v>1.0</v>
      </c>
      <c r="C7323" s="4"/>
      <c r="E7323" s="4" t="str">
        <f t="array" ref="E7323">XLOOKUP(A7323,'Fintech, Regulatory Arbitrage, '!A:A,'Fintech, Regulatory Arbitrage, '!C:C,"")</f>
        <v/>
      </c>
    </row>
    <row r="7324">
      <c r="A7324" s="1" t="s">
        <v>7344</v>
      </c>
      <c r="B7324" s="2">
        <v>1.0</v>
      </c>
      <c r="C7324" s="4"/>
      <c r="E7324" s="4" t="str">
        <f t="array" ref="E7324">XLOOKUP(A7324,'Fintech, Regulatory Arbitrage, '!A:A,'Fintech, Regulatory Arbitrage, '!C:C,"")</f>
        <v/>
      </c>
    </row>
    <row r="7325">
      <c r="A7325" s="1" t="s">
        <v>7345</v>
      </c>
      <c r="B7325" s="2">
        <v>1.0</v>
      </c>
      <c r="C7325" s="4"/>
      <c r="E7325" s="4" t="str">
        <f t="array" ref="E7325">XLOOKUP(A7325,'Fintech, Regulatory Arbitrage, '!A:A,'Fintech, Regulatory Arbitrage, '!C:C,"")</f>
        <v/>
      </c>
    </row>
    <row r="7326">
      <c r="A7326" s="1" t="s">
        <v>7346</v>
      </c>
      <c r="B7326" s="2">
        <v>1.0</v>
      </c>
      <c r="C7326" s="4"/>
      <c r="E7326" s="4" t="str">
        <f t="array" ref="E7326">XLOOKUP(A7326,'Fintech, Regulatory Arbitrage, '!A:A,'Fintech, Regulatory Arbitrage, '!C:C,"")</f>
        <v/>
      </c>
    </row>
    <row r="7327">
      <c r="A7327" s="1" t="s">
        <v>7347</v>
      </c>
      <c r="B7327" s="2">
        <v>1.0</v>
      </c>
      <c r="C7327" s="4"/>
      <c r="E7327" s="4" t="str">
        <f t="array" ref="E7327">XLOOKUP(A7327,'Fintech, Regulatory Arbitrage, '!A:A,'Fintech, Regulatory Arbitrage, '!C:C,"")</f>
        <v/>
      </c>
    </row>
    <row r="7328">
      <c r="A7328" s="1" t="s">
        <v>7348</v>
      </c>
      <c r="B7328" s="2">
        <v>1.0</v>
      </c>
      <c r="C7328" s="4"/>
      <c r="E7328" s="4" t="str">
        <f t="array" ref="E7328">XLOOKUP(A7328,'Fintech, Regulatory Arbitrage, '!A:A,'Fintech, Regulatory Arbitrage, '!C:C,"")</f>
        <v/>
      </c>
    </row>
    <row r="7329">
      <c r="A7329" s="1" t="s">
        <v>7349</v>
      </c>
      <c r="B7329" s="2">
        <v>1.0</v>
      </c>
      <c r="C7329" s="4"/>
      <c r="E7329" s="4" t="str">
        <f t="array" ref="E7329">XLOOKUP(A7329,'Fintech, Regulatory Arbitrage, '!A:A,'Fintech, Regulatory Arbitrage, '!C:C,"")</f>
        <v/>
      </c>
    </row>
    <row r="7330">
      <c r="A7330" s="1" t="s">
        <v>7350</v>
      </c>
      <c r="B7330" s="2">
        <v>1.0</v>
      </c>
      <c r="C7330" s="4"/>
      <c r="E7330" s="4" t="str">
        <f t="array" ref="E7330">XLOOKUP(A7330,'Fintech, Regulatory Arbitrage, '!A:A,'Fintech, Regulatory Arbitrage, '!C:C,"")</f>
        <v/>
      </c>
    </row>
    <row r="7331">
      <c r="A7331" s="1" t="s">
        <v>7351</v>
      </c>
      <c r="B7331" s="2">
        <v>1.0</v>
      </c>
      <c r="C7331" s="4"/>
      <c r="E7331" s="4" t="str">
        <f t="array" ref="E7331">XLOOKUP(A7331,'Fintech, Regulatory Arbitrage, '!A:A,'Fintech, Regulatory Arbitrage, '!C:C,"")</f>
        <v/>
      </c>
    </row>
    <row r="7332">
      <c r="A7332" s="1" t="s">
        <v>7352</v>
      </c>
      <c r="B7332" s="2">
        <v>1.0</v>
      </c>
      <c r="C7332" s="4"/>
      <c r="E7332" s="4" t="str">
        <f t="array" ref="E7332">XLOOKUP(A7332,'Fintech, Regulatory Arbitrage, '!A:A,'Fintech, Regulatory Arbitrage, '!C:C,"")</f>
        <v/>
      </c>
    </row>
    <row r="7333">
      <c r="A7333" s="1" t="s">
        <v>7353</v>
      </c>
      <c r="B7333" s="2">
        <v>1.0</v>
      </c>
      <c r="C7333" s="4"/>
      <c r="E7333" s="4" t="str">
        <f t="array" ref="E7333">XLOOKUP(A7333,'Fintech, Regulatory Arbitrage, '!A:A,'Fintech, Regulatory Arbitrage, '!C:C,"")</f>
        <v/>
      </c>
    </row>
    <row r="7334">
      <c r="A7334" s="1" t="s">
        <v>7354</v>
      </c>
      <c r="B7334" s="2">
        <v>1.0</v>
      </c>
      <c r="C7334" s="4"/>
      <c r="E7334" s="4" t="str">
        <f t="array" ref="E7334">XLOOKUP(A7334,'Fintech, Regulatory Arbitrage, '!A:A,'Fintech, Regulatory Arbitrage, '!C:C,"")</f>
        <v/>
      </c>
    </row>
    <row r="7335">
      <c r="A7335" s="1" t="s">
        <v>7355</v>
      </c>
      <c r="B7335" s="2">
        <v>1.0</v>
      </c>
      <c r="C7335" s="4"/>
      <c r="E7335" s="4" t="str">
        <f t="array" ref="E7335">XLOOKUP(A7335,'Fintech, Regulatory Arbitrage, '!A:A,'Fintech, Regulatory Arbitrage, '!C:C,"")</f>
        <v/>
      </c>
    </row>
    <row r="7336">
      <c r="A7336" s="1" t="s">
        <v>7356</v>
      </c>
      <c r="B7336" s="2">
        <v>1.0</v>
      </c>
      <c r="C7336" s="4"/>
      <c r="E7336" s="4" t="str">
        <f t="array" ref="E7336">XLOOKUP(A7336,'Fintech, Regulatory Arbitrage, '!A:A,'Fintech, Regulatory Arbitrage, '!C:C,"")</f>
        <v/>
      </c>
    </row>
    <row r="7337">
      <c r="A7337" s="1" t="s">
        <v>7357</v>
      </c>
      <c r="B7337" s="2">
        <v>1.0</v>
      </c>
      <c r="C7337" s="4"/>
      <c r="E7337" s="4" t="str">
        <f t="array" ref="E7337">XLOOKUP(A7337,'Fintech, Regulatory Arbitrage, '!A:A,'Fintech, Regulatory Arbitrage, '!C:C,"")</f>
        <v/>
      </c>
    </row>
    <row r="7338">
      <c r="A7338" s="1" t="s">
        <v>7358</v>
      </c>
      <c r="B7338" s="2">
        <v>1.0</v>
      </c>
      <c r="C7338" s="4"/>
      <c r="E7338" s="4" t="str">
        <f t="array" ref="E7338">XLOOKUP(A7338,'Fintech, Regulatory Arbitrage, '!A:A,'Fintech, Regulatory Arbitrage, '!C:C,"")</f>
        <v/>
      </c>
    </row>
    <row r="7339">
      <c r="A7339" s="1" t="s">
        <v>7359</v>
      </c>
      <c r="B7339" s="2">
        <v>1.0</v>
      </c>
      <c r="C7339" s="4"/>
      <c r="E7339" s="4" t="str">
        <f t="array" ref="E7339">XLOOKUP(A7339,'Fintech, Regulatory Arbitrage, '!A:A,'Fintech, Regulatory Arbitrage, '!C:C,"")</f>
        <v/>
      </c>
    </row>
    <row r="7340">
      <c r="A7340" s="1" t="s">
        <v>7360</v>
      </c>
      <c r="B7340" s="2">
        <v>1.0</v>
      </c>
      <c r="C7340" s="4"/>
      <c r="E7340" s="4" t="str">
        <f t="array" ref="E7340">XLOOKUP(A7340,'Fintech, Regulatory Arbitrage, '!A:A,'Fintech, Regulatory Arbitrage, '!C:C,"")</f>
        <v/>
      </c>
    </row>
    <row r="7341">
      <c r="A7341" s="1" t="s">
        <v>7361</v>
      </c>
      <c r="B7341" s="2">
        <v>1.0</v>
      </c>
      <c r="C7341" s="4"/>
      <c r="E7341" s="4" t="str">
        <f t="array" ref="E7341">XLOOKUP(A7341,'Fintech, Regulatory Arbitrage, '!A:A,'Fintech, Regulatory Arbitrage, '!C:C,"")</f>
        <v/>
      </c>
    </row>
    <row r="7342">
      <c r="A7342" s="1" t="s">
        <v>7362</v>
      </c>
      <c r="B7342" s="2">
        <v>1.0</v>
      </c>
      <c r="C7342" s="4"/>
      <c r="E7342" s="4" t="str">
        <f t="array" ref="E7342">XLOOKUP(A7342,'Fintech, Regulatory Arbitrage, '!A:A,'Fintech, Regulatory Arbitrage, '!C:C,"")</f>
        <v/>
      </c>
    </row>
    <row r="7343">
      <c r="A7343" s="1" t="s">
        <v>7363</v>
      </c>
      <c r="B7343" s="2">
        <v>1.0</v>
      </c>
      <c r="C7343" s="4"/>
      <c r="E7343" s="4" t="str">
        <f t="array" ref="E7343">XLOOKUP(A7343,'Fintech, Regulatory Arbitrage, '!A:A,'Fintech, Regulatory Arbitrage, '!C:C,"")</f>
        <v/>
      </c>
    </row>
    <row r="7344">
      <c r="A7344" s="1" t="s">
        <v>7364</v>
      </c>
      <c r="B7344" s="2">
        <v>1.0</v>
      </c>
      <c r="C7344" s="4"/>
      <c r="E7344" s="4" t="str">
        <f t="array" ref="E7344">XLOOKUP(A7344,'Fintech, Regulatory Arbitrage, '!A:A,'Fintech, Regulatory Arbitrage, '!C:C,"")</f>
        <v/>
      </c>
    </row>
    <row r="7345">
      <c r="A7345" s="1" t="s">
        <v>7365</v>
      </c>
      <c r="B7345" s="2">
        <v>1.0</v>
      </c>
      <c r="C7345" s="4"/>
      <c r="E7345" s="4" t="str">
        <f t="array" ref="E7345">XLOOKUP(A7345,'Fintech, Regulatory Arbitrage, '!A:A,'Fintech, Regulatory Arbitrage, '!C:C,"")</f>
        <v/>
      </c>
    </row>
    <row r="7346">
      <c r="A7346" s="1" t="s">
        <v>7366</v>
      </c>
      <c r="B7346" s="2">
        <v>1.0</v>
      </c>
      <c r="C7346" s="4"/>
      <c r="E7346" s="4" t="str">
        <f t="array" ref="E7346">XLOOKUP(A7346,'Fintech, Regulatory Arbitrage, '!A:A,'Fintech, Regulatory Arbitrage, '!C:C,"")</f>
        <v/>
      </c>
    </row>
    <row r="7347">
      <c r="A7347" s="1" t="s">
        <v>7367</v>
      </c>
      <c r="B7347" s="2">
        <v>1.0</v>
      </c>
      <c r="C7347" s="4"/>
      <c r="E7347" s="4" t="str">
        <f t="array" ref="E7347">XLOOKUP(A7347,'Fintech, Regulatory Arbitrage, '!A:A,'Fintech, Regulatory Arbitrage, '!C:C,"")</f>
        <v/>
      </c>
    </row>
    <row r="7348">
      <c r="A7348" s="1" t="s">
        <v>7368</v>
      </c>
      <c r="B7348" s="2">
        <v>1.0</v>
      </c>
      <c r="C7348" s="4"/>
      <c r="E7348" s="4" t="str">
        <f t="array" ref="E7348">XLOOKUP(A7348,'Fintech, Regulatory Arbitrage, '!A:A,'Fintech, Regulatory Arbitrage, '!C:C,"")</f>
        <v/>
      </c>
    </row>
    <row r="7349">
      <c r="A7349" s="1" t="s">
        <v>7369</v>
      </c>
      <c r="B7349" s="2">
        <v>1.0</v>
      </c>
      <c r="C7349" s="4"/>
      <c r="E7349" s="4" t="str">
        <f t="array" ref="E7349">XLOOKUP(A7349,'Fintech, Regulatory Arbitrage, '!A:A,'Fintech, Regulatory Arbitrage, '!C:C,"")</f>
        <v/>
      </c>
    </row>
    <row r="7350">
      <c r="A7350" s="1" t="s">
        <v>7370</v>
      </c>
      <c r="B7350" s="2">
        <v>1.0</v>
      </c>
      <c r="C7350" s="4"/>
      <c r="E7350" s="4" t="str">
        <f t="array" ref="E7350">XLOOKUP(A7350,'Fintech, Regulatory Arbitrage, '!A:A,'Fintech, Regulatory Arbitrage, '!C:C,"")</f>
        <v/>
      </c>
    </row>
    <row r="7351">
      <c r="A7351" s="1" t="s">
        <v>7371</v>
      </c>
      <c r="B7351" s="2">
        <v>1.0</v>
      </c>
      <c r="C7351" s="4"/>
      <c r="E7351" s="4" t="str">
        <f t="array" ref="E7351">XLOOKUP(A7351,'Fintech, Regulatory Arbitrage, '!A:A,'Fintech, Regulatory Arbitrage, '!C:C,"")</f>
        <v/>
      </c>
    </row>
    <row r="7352">
      <c r="A7352" s="1" t="s">
        <v>7372</v>
      </c>
      <c r="B7352" s="2">
        <v>1.0</v>
      </c>
      <c r="C7352" s="4"/>
      <c r="E7352" s="4" t="str">
        <f t="array" ref="E7352">XLOOKUP(A7352,'Fintech, Regulatory Arbitrage, '!A:A,'Fintech, Regulatory Arbitrage, '!C:C,"")</f>
        <v/>
      </c>
    </row>
    <row r="7353">
      <c r="A7353" s="1" t="s">
        <v>7373</v>
      </c>
      <c r="B7353" s="2">
        <v>1.0</v>
      </c>
      <c r="C7353" s="4"/>
      <c r="E7353" s="4" t="str">
        <f t="array" ref="E7353">XLOOKUP(A7353,'Fintech, Regulatory Arbitrage, '!A:A,'Fintech, Regulatory Arbitrage, '!C:C,"")</f>
        <v/>
      </c>
    </row>
    <row r="7354">
      <c r="A7354" s="1" t="s">
        <v>7374</v>
      </c>
      <c r="B7354" s="2">
        <v>1.0</v>
      </c>
      <c r="C7354" s="4"/>
      <c r="E7354" s="4" t="str">
        <f t="array" ref="E7354">XLOOKUP(A7354,'Fintech, Regulatory Arbitrage, '!A:A,'Fintech, Regulatory Arbitrage, '!C:C,"")</f>
        <v/>
      </c>
    </row>
    <row r="7355">
      <c r="A7355" s="1" t="s">
        <v>7375</v>
      </c>
      <c r="B7355" s="2">
        <v>1.0</v>
      </c>
      <c r="C7355" s="4"/>
      <c r="E7355" s="4" t="str">
        <f t="array" ref="E7355">XLOOKUP(A7355,'Fintech, Regulatory Arbitrage, '!A:A,'Fintech, Regulatory Arbitrage, '!C:C,"")</f>
        <v/>
      </c>
    </row>
    <row r="7356">
      <c r="A7356" s="1" t="s">
        <v>7376</v>
      </c>
      <c r="B7356" s="2">
        <v>1.0</v>
      </c>
      <c r="C7356" s="4"/>
      <c r="E7356" s="4" t="str">
        <f t="array" ref="E7356">XLOOKUP(A7356,'Fintech, Regulatory Arbitrage, '!A:A,'Fintech, Regulatory Arbitrage, '!C:C,"")</f>
        <v/>
      </c>
    </row>
    <row r="7357">
      <c r="A7357" s="1" t="s">
        <v>7377</v>
      </c>
      <c r="B7357" s="2">
        <v>1.0</v>
      </c>
      <c r="C7357" s="4"/>
      <c r="E7357" s="4" t="str">
        <f t="array" ref="E7357">XLOOKUP(A7357,'Fintech, Regulatory Arbitrage, '!A:A,'Fintech, Regulatory Arbitrage, '!C:C,"")</f>
        <v/>
      </c>
    </row>
    <row r="7358">
      <c r="A7358" s="1" t="s">
        <v>7378</v>
      </c>
      <c r="B7358" s="2">
        <v>1.0</v>
      </c>
      <c r="C7358" s="4"/>
      <c r="E7358" s="4" t="str">
        <f t="array" ref="E7358">XLOOKUP(A7358,'Fintech, Regulatory Arbitrage, '!A:A,'Fintech, Regulatory Arbitrage, '!C:C,"")</f>
        <v/>
      </c>
    </row>
    <row r="7359">
      <c r="A7359" s="1" t="s">
        <v>7379</v>
      </c>
      <c r="B7359" s="2">
        <v>1.0</v>
      </c>
      <c r="C7359" s="4"/>
      <c r="E7359" s="4" t="str">
        <f t="array" ref="E7359">XLOOKUP(A7359,'Fintech, Regulatory Arbitrage, '!A:A,'Fintech, Regulatory Arbitrage, '!C:C,"")</f>
        <v/>
      </c>
    </row>
    <row r="7360">
      <c r="A7360" s="1" t="s">
        <v>7380</v>
      </c>
      <c r="B7360" s="2">
        <v>1.0</v>
      </c>
      <c r="C7360" s="4"/>
      <c r="E7360" s="4" t="str">
        <f t="array" ref="E7360">XLOOKUP(A7360,'Fintech, Regulatory Arbitrage, '!A:A,'Fintech, Regulatory Arbitrage, '!C:C,"")</f>
        <v/>
      </c>
    </row>
    <row r="7361">
      <c r="A7361" s="1" t="s">
        <v>7381</v>
      </c>
      <c r="B7361" s="2">
        <v>1.0</v>
      </c>
      <c r="C7361" s="4"/>
      <c r="E7361" s="4" t="str">
        <f t="array" ref="E7361">XLOOKUP(A7361,'Fintech, Regulatory Arbitrage, '!A:A,'Fintech, Regulatory Arbitrage, '!C:C,"")</f>
        <v/>
      </c>
    </row>
    <row r="7362">
      <c r="A7362" s="1" t="s">
        <v>7382</v>
      </c>
      <c r="B7362" s="2">
        <v>1.0</v>
      </c>
      <c r="C7362" s="4"/>
      <c r="E7362" s="4" t="str">
        <f t="array" ref="E7362">XLOOKUP(A7362,'Fintech, Regulatory Arbitrage, '!A:A,'Fintech, Regulatory Arbitrage, '!C:C,"")</f>
        <v/>
      </c>
    </row>
    <row r="7363">
      <c r="A7363" s="1" t="s">
        <v>7383</v>
      </c>
      <c r="B7363" s="2">
        <v>1.0</v>
      </c>
      <c r="C7363" s="4"/>
      <c r="E7363" s="4" t="str">
        <f t="array" ref="E7363">XLOOKUP(A7363,'Fintech, Regulatory Arbitrage, '!A:A,'Fintech, Regulatory Arbitrage, '!C:C,"")</f>
        <v/>
      </c>
    </row>
    <row r="7364">
      <c r="A7364" s="1" t="s">
        <v>7384</v>
      </c>
      <c r="B7364" s="2">
        <v>1.0</v>
      </c>
      <c r="C7364" s="4"/>
      <c r="E7364" s="4" t="str">
        <f t="array" ref="E7364">XLOOKUP(A7364,'Fintech, Regulatory Arbitrage, '!A:A,'Fintech, Regulatory Arbitrage, '!C:C,"")</f>
        <v/>
      </c>
    </row>
    <row r="7365">
      <c r="A7365" s="1" t="s">
        <v>7385</v>
      </c>
      <c r="B7365" s="2">
        <v>1.0</v>
      </c>
      <c r="C7365" s="4"/>
      <c r="E7365" s="4" t="str">
        <f t="array" ref="E7365">XLOOKUP(A7365,'Fintech, Regulatory Arbitrage, '!A:A,'Fintech, Regulatory Arbitrage, '!C:C,"")</f>
        <v/>
      </c>
    </row>
    <row r="7366">
      <c r="A7366" s="1" t="s">
        <v>7386</v>
      </c>
      <c r="B7366" s="2">
        <v>1.0</v>
      </c>
      <c r="C7366" s="4"/>
      <c r="E7366" s="4" t="str">
        <f t="array" ref="E7366">XLOOKUP(A7366,'Fintech, Regulatory Arbitrage, '!A:A,'Fintech, Regulatory Arbitrage, '!C:C,"")</f>
        <v/>
      </c>
    </row>
    <row r="7367">
      <c r="A7367" s="1" t="s">
        <v>7387</v>
      </c>
      <c r="B7367" s="2">
        <v>1.0</v>
      </c>
      <c r="C7367" s="4"/>
      <c r="E7367" s="4" t="str">
        <f t="array" ref="E7367">XLOOKUP(A7367,'Fintech, Regulatory Arbitrage, '!A:A,'Fintech, Regulatory Arbitrage, '!C:C,"")</f>
        <v/>
      </c>
    </row>
    <row r="7368">
      <c r="A7368" s="1" t="s">
        <v>7388</v>
      </c>
      <c r="B7368" s="2">
        <v>1.0</v>
      </c>
      <c r="C7368" s="4"/>
      <c r="E7368" s="4" t="str">
        <f t="array" ref="E7368">XLOOKUP(A7368,'Fintech, Regulatory Arbitrage, '!A:A,'Fintech, Regulatory Arbitrage, '!C:C,"")</f>
        <v/>
      </c>
    </row>
    <row r="7369">
      <c r="A7369" s="1" t="s">
        <v>7389</v>
      </c>
      <c r="B7369" s="2">
        <v>1.0</v>
      </c>
      <c r="C7369" s="4"/>
      <c r="E7369" s="4" t="str">
        <f t="array" ref="E7369">XLOOKUP(A7369,'Fintech, Regulatory Arbitrage, '!A:A,'Fintech, Regulatory Arbitrage, '!C:C,"")</f>
        <v/>
      </c>
    </row>
    <row r="7370">
      <c r="A7370" s="1" t="s">
        <v>7390</v>
      </c>
      <c r="B7370" s="2">
        <v>1.0</v>
      </c>
      <c r="C7370" s="4"/>
      <c r="E7370" s="4" t="str">
        <f t="array" ref="E7370">XLOOKUP(A7370,'Fintech, Regulatory Arbitrage, '!A:A,'Fintech, Regulatory Arbitrage, '!C:C,"")</f>
        <v/>
      </c>
    </row>
    <row r="7371">
      <c r="A7371" s="1" t="s">
        <v>7391</v>
      </c>
      <c r="B7371" s="2">
        <v>1.0</v>
      </c>
      <c r="C7371" s="4"/>
      <c r="E7371" s="4" t="str">
        <f t="array" ref="E7371">XLOOKUP(A7371,'Fintech, Regulatory Arbitrage, '!A:A,'Fintech, Regulatory Arbitrage, '!C:C,"")</f>
        <v/>
      </c>
    </row>
    <row r="7372">
      <c r="A7372" s="1" t="s">
        <v>7392</v>
      </c>
      <c r="B7372" s="2">
        <v>1.0</v>
      </c>
      <c r="C7372" s="4"/>
      <c r="E7372" s="4" t="str">
        <f t="array" ref="E7372">XLOOKUP(A7372,'Fintech, Regulatory Arbitrage, '!A:A,'Fintech, Regulatory Arbitrage, '!C:C,"")</f>
        <v/>
      </c>
    </row>
    <row r="7373">
      <c r="A7373" s="1" t="s">
        <v>7393</v>
      </c>
      <c r="B7373" s="2">
        <v>1.0</v>
      </c>
      <c r="C7373" s="4"/>
      <c r="E7373" s="4" t="str">
        <f t="array" ref="E7373">XLOOKUP(A7373,'Fintech, Regulatory Arbitrage, '!A:A,'Fintech, Regulatory Arbitrage, '!C:C,"")</f>
        <v/>
      </c>
    </row>
    <row r="7374">
      <c r="A7374" s="1" t="s">
        <v>7394</v>
      </c>
      <c r="B7374" s="2">
        <v>1.0</v>
      </c>
      <c r="C7374" s="4"/>
      <c r="E7374" s="4" t="str">
        <f t="array" ref="E7374">XLOOKUP(A7374,'Fintech, Regulatory Arbitrage, '!A:A,'Fintech, Regulatory Arbitrage, '!C:C,"")</f>
        <v/>
      </c>
    </row>
    <row r="7375">
      <c r="A7375" s="1" t="s">
        <v>7395</v>
      </c>
      <c r="B7375" s="2">
        <v>1.0</v>
      </c>
      <c r="C7375" s="4"/>
      <c r="E7375" s="4" t="str">
        <f t="array" ref="E7375">XLOOKUP(A7375,'Fintech, Regulatory Arbitrage, '!A:A,'Fintech, Regulatory Arbitrage, '!C:C,"")</f>
        <v/>
      </c>
    </row>
    <row r="7376">
      <c r="A7376" s="1" t="s">
        <v>7396</v>
      </c>
      <c r="B7376" s="2">
        <v>1.0</v>
      </c>
      <c r="C7376" s="4"/>
      <c r="E7376" s="4" t="str">
        <f t="array" ref="E7376">XLOOKUP(A7376,'Fintech, Regulatory Arbitrage, '!A:A,'Fintech, Regulatory Arbitrage, '!C:C,"")</f>
        <v/>
      </c>
    </row>
    <row r="7377">
      <c r="A7377" s="1" t="s">
        <v>7397</v>
      </c>
      <c r="B7377" s="2">
        <v>1.0</v>
      </c>
      <c r="C7377" s="4"/>
      <c r="E7377" s="4" t="str">
        <f t="array" ref="E7377">XLOOKUP(A7377,'Fintech, Regulatory Arbitrage, '!A:A,'Fintech, Regulatory Arbitrage, '!C:C,"")</f>
        <v/>
      </c>
    </row>
    <row r="7378">
      <c r="A7378" s="1" t="s">
        <v>7398</v>
      </c>
      <c r="B7378" s="2">
        <v>1.0</v>
      </c>
      <c r="C7378" s="4"/>
      <c r="E7378" s="4" t="str">
        <f t="array" ref="E7378">XLOOKUP(A7378,'Fintech, Regulatory Arbitrage, '!A:A,'Fintech, Regulatory Arbitrage, '!C:C,"")</f>
        <v/>
      </c>
    </row>
    <row r="7379">
      <c r="A7379" s="1" t="s">
        <v>7399</v>
      </c>
      <c r="B7379" s="2">
        <v>1.0</v>
      </c>
      <c r="C7379" s="4"/>
      <c r="E7379" s="4" t="str">
        <f t="array" ref="E7379">XLOOKUP(A7379,'Fintech, Regulatory Arbitrage, '!A:A,'Fintech, Regulatory Arbitrage, '!C:C,"")</f>
        <v/>
      </c>
    </row>
    <row r="7380">
      <c r="A7380" s="1" t="s">
        <v>7400</v>
      </c>
      <c r="B7380" s="2">
        <v>1.0</v>
      </c>
      <c r="C7380" s="4"/>
      <c r="E7380" s="4" t="str">
        <f t="array" ref="E7380">XLOOKUP(A7380,'Fintech, Regulatory Arbitrage, '!A:A,'Fintech, Regulatory Arbitrage, '!C:C,"")</f>
        <v/>
      </c>
    </row>
    <row r="7381">
      <c r="A7381" s="1" t="s">
        <v>7401</v>
      </c>
      <c r="B7381" s="2">
        <v>1.0</v>
      </c>
      <c r="C7381" s="4"/>
      <c r="E7381" s="4" t="str">
        <f t="array" ref="E7381">XLOOKUP(A7381,'Fintech, Regulatory Arbitrage, '!A:A,'Fintech, Regulatory Arbitrage, '!C:C,"")</f>
        <v/>
      </c>
    </row>
    <row r="7382">
      <c r="A7382" s="1" t="s">
        <v>7402</v>
      </c>
      <c r="B7382" s="2">
        <v>1.0</v>
      </c>
      <c r="C7382" s="4"/>
      <c r="E7382" s="4" t="str">
        <f t="array" ref="E7382">XLOOKUP(A7382,'Fintech, Regulatory Arbitrage, '!A:A,'Fintech, Regulatory Arbitrage, '!C:C,"")</f>
        <v/>
      </c>
    </row>
    <row r="7383">
      <c r="A7383" s="1" t="s">
        <v>7403</v>
      </c>
      <c r="B7383" s="2">
        <v>1.0</v>
      </c>
      <c r="C7383" s="4"/>
      <c r="E7383" s="4" t="str">
        <f t="array" ref="E7383">XLOOKUP(A7383,'Fintech, Regulatory Arbitrage, '!A:A,'Fintech, Regulatory Arbitrage, '!C:C,"")</f>
        <v/>
      </c>
    </row>
    <row r="7384">
      <c r="A7384" s="1" t="s">
        <v>7404</v>
      </c>
      <c r="B7384" s="2">
        <v>1.0</v>
      </c>
      <c r="C7384" s="4"/>
      <c r="E7384" s="4" t="str">
        <f t="array" ref="E7384">XLOOKUP(A7384,'Fintech, Regulatory Arbitrage, '!A:A,'Fintech, Regulatory Arbitrage, '!C:C,"")</f>
        <v/>
      </c>
    </row>
    <row r="7385">
      <c r="A7385" s="1" t="s">
        <v>7405</v>
      </c>
      <c r="B7385" s="2">
        <v>1.0</v>
      </c>
      <c r="C7385" s="4"/>
      <c r="E7385" s="4" t="str">
        <f t="array" ref="E7385">XLOOKUP(A7385,'Fintech, Regulatory Arbitrage, '!A:A,'Fintech, Regulatory Arbitrage, '!C:C,"")</f>
        <v/>
      </c>
    </row>
    <row r="7386">
      <c r="A7386" s="1" t="s">
        <v>7406</v>
      </c>
      <c r="B7386" s="2">
        <v>1.0</v>
      </c>
      <c r="C7386" s="4"/>
      <c r="E7386" s="4" t="str">
        <f t="array" ref="E7386">XLOOKUP(A7386,'Fintech, Regulatory Arbitrage, '!A:A,'Fintech, Regulatory Arbitrage, '!C:C,"")</f>
        <v/>
      </c>
    </row>
    <row r="7387">
      <c r="A7387" s="1" t="s">
        <v>7407</v>
      </c>
      <c r="B7387" s="2">
        <v>1.0</v>
      </c>
      <c r="C7387" s="4"/>
      <c r="E7387" s="4" t="str">
        <f t="array" ref="E7387">XLOOKUP(A7387,'Fintech, Regulatory Arbitrage, '!A:A,'Fintech, Regulatory Arbitrage, '!C:C,"")</f>
        <v/>
      </c>
    </row>
    <row r="7388">
      <c r="A7388" s="1" t="s">
        <v>7408</v>
      </c>
      <c r="B7388" s="2">
        <v>1.0</v>
      </c>
      <c r="C7388" s="4"/>
      <c r="E7388" s="4" t="str">
        <f t="array" ref="E7388">XLOOKUP(A7388,'Fintech, Regulatory Arbitrage, '!A:A,'Fintech, Regulatory Arbitrage, '!C:C,"")</f>
        <v/>
      </c>
    </row>
    <row r="7389">
      <c r="A7389" s="1" t="s">
        <v>7409</v>
      </c>
      <c r="B7389" s="2">
        <v>1.0</v>
      </c>
      <c r="C7389" s="4"/>
      <c r="E7389" s="4" t="str">
        <f t="array" ref="E7389">XLOOKUP(A7389,'Fintech, Regulatory Arbitrage, '!A:A,'Fintech, Regulatory Arbitrage, '!C:C,"")</f>
        <v/>
      </c>
    </row>
    <row r="7390">
      <c r="A7390" s="1" t="s">
        <v>7410</v>
      </c>
      <c r="B7390" s="2">
        <v>1.0</v>
      </c>
      <c r="C7390" s="4"/>
      <c r="E7390" s="4" t="str">
        <f t="array" ref="E7390">XLOOKUP(A7390,'Fintech, Regulatory Arbitrage, '!A:A,'Fintech, Regulatory Arbitrage, '!C:C,"")</f>
        <v/>
      </c>
    </row>
    <row r="7391">
      <c r="A7391" s="1" t="s">
        <v>7411</v>
      </c>
      <c r="B7391" s="2">
        <v>1.0</v>
      </c>
      <c r="C7391" s="4"/>
      <c r="E7391" s="4" t="str">
        <f t="array" ref="E7391">XLOOKUP(A7391,'Fintech, Regulatory Arbitrage, '!A:A,'Fintech, Regulatory Arbitrage, '!C:C,"")</f>
        <v/>
      </c>
    </row>
    <row r="7392">
      <c r="A7392" s="1" t="s">
        <v>7412</v>
      </c>
      <c r="B7392" s="2">
        <v>1.0</v>
      </c>
      <c r="C7392" s="4"/>
      <c r="E7392" s="4" t="str">
        <f t="array" ref="E7392">XLOOKUP(A7392,'Fintech, Regulatory Arbitrage, '!A:A,'Fintech, Regulatory Arbitrage, '!C:C,"")</f>
        <v/>
      </c>
    </row>
    <row r="7393">
      <c r="A7393" s="1" t="s">
        <v>7413</v>
      </c>
      <c r="B7393" s="2">
        <v>1.0</v>
      </c>
      <c r="C7393" s="4"/>
      <c r="E7393" s="4" t="str">
        <f t="array" ref="E7393">XLOOKUP(A7393,'Fintech, Regulatory Arbitrage, '!A:A,'Fintech, Regulatory Arbitrage, '!C:C,"")</f>
        <v/>
      </c>
    </row>
    <row r="7394">
      <c r="A7394" s="1" t="s">
        <v>7414</v>
      </c>
      <c r="B7394" s="2">
        <v>1.0</v>
      </c>
      <c r="C7394" s="4"/>
      <c r="E7394" s="4" t="str">
        <f t="array" ref="E7394">XLOOKUP(A7394,'Fintech, Regulatory Arbitrage, '!A:A,'Fintech, Regulatory Arbitrage, '!C:C,"")</f>
        <v/>
      </c>
    </row>
    <row r="7395">
      <c r="A7395" s="1" t="s">
        <v>7415</v>
      </c>
      <c r="B7395" s="2">
        <v>1.0</v>
      </c>
      <c r="C7395" s="4"/>
      <c r="E7395" s="4" t="str">
        <f t="array" ref="E7395">XLOOKUP(A7395,'Fintech, Regulatory Arbitrage, '!A:A,'Fintech, Regulatory Arbitrage, '!C:C,"")</f>
        <v/>
      </c>
    </row>
    <row r="7396">
      <c r="A7396" s="1" t="s">
        <v>7416</v>
      </c>
      <c r="B7396" s="2">
        <v>1.0</v>
      </c>
      <c r="C7396" s="4"/>
      <c r="E7396" s="4" t="str">
        <f t="array" ref="E7396">XLOOKUP(A7396,'Fintech, Regulatory Arbitrage, '!A:A,'Fintech, Regulatory Arbitrage, '!C:C,"")</f>
        <v/>
      </c>
    </row>
    <row r="7397">
      <c r="A7397" s="1" t="s">
        <v>7417</v>
      </c>
      <c r="B7397" s="2">
        <v>1.0</v>
      </c>
      <c r="C7397" s="4"/>
      <c r="E7397" s="4" t="str">
        <f t="array" ref="E7397">XLOOKUP(A7397,'Fintech, Regulatory Arbitrage, '!A:A,'Fintech, Regulatory Arbitrage, '!C:C,"")</f>
        <v/>
      </c>
    </row>
    <row r="7398">
      <c r="A7398" s="1" t="s">
        <v>7418</v>
      </c>
      <c r="B7398" s="2">
        <v>1.0</v>
      </c>
      <c r="C7398" s="4"/>
      <c r="E7398" s="4" t="str">
        <f t="array" ref="E7398">XLOOKUP(A7398,'Fintech, Regulatory Arbitrage, '!A:A,'Fintech, Regulatory Arbitrage, '!C:C,"")</f>
        <v/>
      </c>
    </row>
    <row r="7399">
      <c r="A7399" s="1" t="s">
        <v>7419</v>
      </c>
      <c r="B7399" s="2">
        <v>1.0</v>
      </c>
      <c r="C7399" s="4"/>
      <c r="E7399" s="4" t="str">
        <f t="array" ref="E7399">XLOOKUP(A7399,'Fintech, Regulatory Arbitrage, '!A:A,'Fintech, Regulatory Arbitrage, '!C:C,"")</f>
        <v/>
      </c>
    </row>
    <row r="7400">
      <c r="A7400" s="1" t="s">
        <v>7420</v>
      </c>
      <c r="B7400" s="2">
        <v>1.0</v>
      </c>
      <c r="C7400" s="4"/>
      <c r="E7400" s="4" t="str">
        <f t="array" ref="E7400">XLOOKUP(A7400,'Fintech, Regulatory Arbitrage, '!A:A,'Fintech, Regulatory Arbitrage, '!C:C,"")</f>
        <v/>
      </c>
    </row>
    <row r="7401">
      <c r="A7401" s="1" t="s">
        <v>7421</v>
      </c>
      <c r="B7401" s="2">
        <v>1.0</v>
      </c>
      <c r="C7401" s="4"/>
      <c r="E7401" s="4" t="str">
        <f t="array" ref="E7401">XLOOKUP(A7401,'Fintech, Regulatory Arbitrage, '!A:A,'Fintech, Regulatory Arbitrage, '!C:C,"")</f>
        <v/>
      </c>
    </row>
    <row r="7402">
      <c r="A7402" s="1" t="s">
        <v>7422</v>
      </c>
      <c r="B7402" s="2">
        <v>1.0</v>
      </c>
      <c r="C7402" s="4"/>
      <c r="E7402" s="4" t="str">
        <f t="array" ref="E7402">XLOOKUP(A7402,'Fintech, Regulatory Arbitrage, '!A:A,'Fintech, Regulatory Arbitrage, '!C:C,"")</f>
        <v/>
      </c>
    </row>
    <row r="7403">
      <c r="A7403" s="1" t="s">
        <v>7423</v>
      </c>
      <c r="B7403" s="2">
        <v>1.0</v>
      </c>
      <c r="C7403" s="4"/>
      <c r="E7403" s="4" t="str">
        <f t="array" ref="E7403">XLOOKUP(A7403,'Fintech, Regulatory Arbitrage, '!A:A,'Fintech, Regulatory Arbitrage, '!C:C,"")</f>
        <v/>
      </c>
    </row>
    <row r="7404">
      <c r="A7404" s="1" t="s">
        <v>7424</v>
      </c>
      <c r="B7404" s="2">
        <v>1.0</v>
      </c>
      <c r="C7404" s="4"/>
      <c r="E7404" s="4" t="str">
        <f t="array" ref="E7404">XLOOKUP(A7404,'Fintech, Regulatory Arbitrage, '!A:A,'Fintech, Regulatory Arbitrage, '!C:C,"")</f>
        <v/>
      </c>
    </row>
    <row r="7405">
      <c r="A7405" s="1" t="s">
        <v>7425</v>
      </c>
      <c r="B7405" s="2">
        <v>1.0</v>
      </c>
      <c r="C7405" s="4"/>
      <c r="E7405" s="4" t="str">
        <f t="array" ref="E7405">XLOOKUP(A7405,'Fintech, Regulatory Arbitrage, '!A:A,'Fintech, Regulatory Arbitrage, '!C:C,"")</f>
        <v/>
      </c>
    </row>
    <row r="7406">
      <c r="A7406" s="1" t="s">
        <v>7426</v>
      </c>
      <c r="B7406" s="2">
        <v>1.0</v>
      </c>
      <c r="C7406" s="4"/>
      <c r="E7406" s="4" t="str">
        <f t="array" ref="E7406">XLOOKUP(A7406,'Fintech, Regulatory Arbitrage, '!A:A,'Fintech, Regulatory Arbitrage, '!C:C,"")</f>
        <v/>
      </c>
    </row>
    <row r="7407">
      <c r="A7407" s="1" t="s">
        <v>7427</v>
      </c>
      <c r="B7407" s="2">
        <v>1.0</v>
      </c>
      <c r="C7407" s="4"/>
      <c r="E7407" s="4" t="str">
        <f t="array" ref="E7407">XLOOKUP(A7407,'Fintech, Regulatory Arbitrage, '!A:A,'Fintech, Regulatory Arbitrage, '!C:C,"")</f>
        <v/>
      </c>
    </row>
    <row r="7408">
      <c r="A7408" s="1" t="s">
        <v>7428</v>
      </c>
      <c r="B7408" s="2">
        <v>1.0</v>
      </c>
      <c r="C7408" s="4"/>
      <c r="E7408" s="4" t="str">
        <f t="array" ref="E7408">XLOOKUP(A7408,'Fintech, Regulatory Arbitrage, '!A:A,'Fintech, Regulatory Arbitrage, '!C:C,"")</f>
        <v/>
      </c>
    </row>
    <row r="7409">
      <c r="A7409" s="1" t="s">
        <v>7429</v>
      </c>
      <c r="B7409" s="2">
        <v>1.0</v>
      </c>
      <c r="C7409" s="4"/>
      <c r="E7409" s="4" t="str">
        <f t="array" ref="E7409">XLOOKUP(A7409,'Fintech, Regulatory Arbitrage, '!A:A,'Fintech, Regulatory Arbitrage, '!C:C,"")</f>
        <v/>
      </c>
    </row>
    <row r="7410">
      <c r="A7410" s="1" t="s">
        <v>7430</v>
      </c>
      <c r="B7410" s="2">
        <v>1.0</v>
      </c>
      <c r="C7410" s="4"/>
      <c r="E7410" s="4" t="str">
        <f t="array" ref="E7410">XLOOKUP(A7410,'Fintech, Regulatory Arbitrage, '!A:A,'Fintech, Regulatory Arbitrage, '!C:C,"")</f>
        <v/>
      </c>
    </row>
    <row r="7411">
      <c r="A7411" s="1" t="s">
        <v>7431</v>
      </c>
      <c r="B7411" s="2">
        <v>1.0</v>
      </c>
      <c r="C7411" s="4"/>
      <c r="E7411" s="4" t="str">
        <f t="array" ref="E7411">XLOOKUP(A7411,'Fintech, Regulatory Arbitrage, '!A:A,'Fintech, Regulatory Arbitrage, '!C:C,"")</f>
        <v/>
      </c>
    </row>
    <row r="7412">
      <c r="A7412" s="1" t="s">
        <v>7432</v>
      </c>
      <c r="B7412" s="2">
        <v>1.0</v>
      </c>
      <c r="C7412" s="4"/>
      <c r="E7412" s="4" t="str">
        <f t="array" ref="E7412">XLOOKUP(A7412,'Fintech, Regulatory Arbitrage, '!A:A,'Fintech, Regulatory Arbitrage, '!C:C,"")</f>
        <v/>
      </c>
    </row>
    <row r="7413">
      <c r="A7413" s="1" t="s">
        <v>7433</v>
      </c>
      <c r="B7413" s="2">
        <v>1.0</v>
      </c>
      <c r="C7413" s="4"/>
      <c r="E7413" s="4" t="str">
        <f t="array" ref="E7413">XLOOKUP(A7413,'Fintech, Regulatory Arbitrage, '!A:A,'Fintech, Regulatory Arbitrage, '!C:C,"")</f>
        <v/>
      </c>
    </row>
    <row r="7414">
      <c r="A7414" s="1" t="s">
        <v>7434</v>
      </c>
      <c r="B7414" s="2">
        <v>1.0</v>
      </c>
      <c r="C7414" s="4"/>
      <c r="E7414" s="4" t="str">
        <f t="array" ref="E7414">XLOOKUP(A7414,'Fintech, Regulatory Arbitrage, '!A:A,'Fintech, Regulatory Arbitrage, '!C:C,"")</f>
        <v/>
      </c>
    </row>
    <row r="7415">
      <c r="A7415" s="1" t="s">
        <v>7435</v>
      </c>
      <c r="B7415" s="2">
        <v>1.0</v>
      </c>
      <c r="C7415" s="4"/>
      <c r="E7415" s="4" t="str">
        <f t="array" ref="E7415">XLOOKUP(A7415,'Fintech, Regulatory Arbitrage, '!A:A,'Fintech, Regulatory Arbitrage, '!C:C,"")</f>
        <v/>
      </c>
    </row>
    <row r="7416">
      <c r="A7416" s="1" t="s">
        <v>7436</v>
      </c>
      <c r="B7416" s="2">
        <v>1.0</v>
      </c>
      <c r="C7416" s="4"/>
      <c r="E7416" s="4" t="str">
        <f t="array" ref="E7416">XLOOKUP(A7416,'Fintech, Regulatory Arbitrage, '!A:A,'Fintech, Regulatory Arbitrage, '!C:C,"")</f>
        <v/>
      </c>
    </row>
    <row r="7417">
      <c r="A7417" s="1" t="s">
        <v>7437</v>
      </c>
      <c r="B7417" s="2">
        <v>1.0</v>
      </c>
      <c r="C7417" s="4"/>
      <c r="E7417" s="4" t="str">
        <f t="array" ref="E7417">XLOOKUP(A7417,'Fintech, Regulatory Arbitrage, '!A:A,'Fintech, Regulatory Arbitrage, '!C:C,"")</f>
        <v/>
      </c>
    </row>
    <row r="7418">
      <c r="A7418" s="1" t="s">
        <v>7438</v>
      </c>
      <c r="B7418" s="2">
        <v>1.0</v>
      </c>
      <c r="C7418" s="4"/>
      <c r="E7418" s="4" t="str">
        <f t="array" ref="E7418">XLOOKUP(A7418,'Fintech, Regulatory Arbitrage, '!A:A,'Fintech, Regulatory Arbitrage, '!C:C,"")</f>
        <v/>
      </c>
    </row>
    <row r="7419">
      <c r="A7419" s="1" t="s">
        <v>7439</v>
      </c>
      <c r="B7419" s="2">
        <v>1.0</v>
      </c>
      <c r="C7419" s="4"/>
      <c r="E7419" s="4" t="str">
        <f t="array" ref="E7419">XLOOKUP(A7419,'Fintech, Regulatory Arbitrage, '!A:A,'Fintech, Regulatory Arbitrage, '!C:C,"")</f>
        <v/>
      </c>
    </row>
    <row r="7420">
      <c r="A7420" s="1" t="s">
        <v>7440</v>
      </c>
      <c r="B7420" s="2">
        <v>1.0</v>
      </c>
      <c r="C7420" s="4"/>
      <c r="E7420" s="4" t="str">
        <f t="array" ref="E7420">XLOOKUP(A7420,'Fintech, Regulatory Arbitrage, '!A:A,'Fintech, Regulatory Arbitrage, '!C:C,"")</f>
        <v/>
      </c>
    </row>
    <row r="7421">
      <c r="A7421" s="1" t="s">
        <v>7441</v>
      </c>
      <c r="B7421" s="2">
        <v>1.0</v>
      </c>
      <c r="C7421" s="4"/>
      <c r="E7421" s="4" t="str">
        <f t="array" ref="E7421">XLOOKUP(A7421,'Fintech, Regulatory Arbitrage, '!A:A,'Fintech, Regulatory Arbitrage, '!C:C,"")</f>
        <v/>
      </c>
    </row>
    <row r="7422">
      <c r="A7422" s="1" t="s">
        <v>7442</v>
      </c>
      <c r="B7422" s="2">
        <v>1.0</v>
      </c>
      <c r="C7422" s="4"/>
      <c r="E7422" s="4" t="str">
        <f t="array" ref="E7422">XLOOKUP(A7422,'Fintech, Regulatory Arbitrage, '!A:A,'Fintech, Regulatory Arbitrage, '!C:C,"")</f>
        <v/>
      </c>
    </row>
    <row r="7423">
      <c r="A7423" s="1" t="s">
        <v>7443</v>
      </c>
      <c r="B7423" s="2">
        <v>1.0</v>
      </c>
      <c r="C7423" s="4"/>
      <c r="E7423" s="4" t="str">
        <f t="array" ref="E7423">XLOOKUP(A7423,'Fintech, Regulatory Arbitrage, '!A:A,'Fintech, Regulatory Arbitrage, '!C:C,"")</f>
        <v/>
      </c>
    </row>
    <row r="7424">
      <c r="A7424" s="1" t="s">
        <v>7444</v>
      </c>
      <c r="B7424" s="2">
        <v>1.0</v>
      </c>
      <c r="C7424" s="4"/>
      <c r="E7424" s="4" t="str">
        <f t="array" ref="E7424">XLOOKUP(A7424,'Fintech, Regulatory Arbitrage, '!A:A,'Fintech, Regulatory Arbitrage, '!C:C,"")</f>
        <v/>
      </c>
    </row>
    <row r="7425">
      <c r="A7425" s="1" t="s">
        <v>7445</v>
      </c>
      <c r="B7425" s="2">
        <v>1.0</v>
      </c>
      <c r="C7425" s="4"/>
      <c r="E7425" s="4" t="str">
        <f t="array" ref="E7425">XLOOKUP(A7425,'Fintech, Regulatory Arbitrage, '!A:A,'Fintech, Regulatory Arbitrage, '!C:C,"")</f>
        <v/>
      </c>
    </row>
    <row r="7426">
      <c r="A7426" s="1" t="s">
        <v>7446</v>
      </c>
      <c r="B7426" s="2">
        <v>1.0</v>
      </c>
      <c r="C7426" s="4"/>
      <c r="E7426" s="4" t="str">
        <f t="array" ref="E7426">XLOOKUP(A7426,'Fintech, Regulatory Arbitrage, '!A:A,'Fintech, Regulatory Arbitrage, '!C:C,"")</f>
        <v/>
      </c>
    </row>
    <row r="7427">
      <c r="A7427" s="1" t="s">
        <v>7447</v>
      </c>
      <c r="B7427" s="2">
        <v>1.0</v>
      </c>
      <c r="C7427" s="4"/>
      <c r="E7427" s="4" t="str">
        <f t="array" ref="E7427">XLOOKUP(A7427,'Fintech, Regulatory Arbitrage, '!A:A,'Fintech, Regulatory Arbitrage, '!C:C,"")</f>
        <v/>
      </c>
    </row>
    <row r="7428">
      <c r="A7428" s="1" t="s">
        <v>7448</v>
      </c>
      <c r="B7428" s="2">
        <v>1.0</v>
      </c>
      <c r="C7428" s="4"/>
      <c r="E7428" s="4" t="str">
        <f t="array" ref="E7428">XLOOKUP(A7428,'Fintech, Regulatory Arbitrage, '!A:A,'Fintech, Regulatory Arbitrage, '!C:C,"")</f>
        <v/>
      </c>
    </row>
    <row r="7429">
      <c r="A7429" s="1" t="s">
        <v>7449</v>
      </c>
      <c r="B7429" s="2">
        <v>1.0</v>
      </c>
      <c r="C7429" s="4"/>
      <c r="E7429" s="4" t="str">
        <f t="array" ref="E7429">XLOOKUP(A7429,'Fintech, Regulatory Arbitrage, '!A:A,'Fintech, Regulatory Arbitrage, '!C:C,"")</f>
        <v/>
      </c>
    </row>
    <row r="7430">
      <c r="A7430" s="1" t="s">
        <v>7450</v>
      </c>
      <c r="B7430" s="2">
        <v>1.0</v>
      </c>
      <c r="C7430" s="4"/>
      <c r="E7430" s="4" t="str">
        <f t="array" ref="E7430">XLOOKUP(A7430,'Fintech, Regulatory Arbitrage, '!A:A,'Fintech, Regulatory Arbitrage, '!C:C,"")</f>
        <v/>
      </c>
    </row>
    <row r="7431">
      <c r="A7431" s="1" t="s">
        <v>7451</v>
      </c>
      <c r="B7431" s="2">
        <v>1.0</v>
      </c>
      <c r="C7431" s="4"/>
      <c r="E7431" s="4" t="str">
        <f t="array" ref="E7431">XLOOKUP(A7431,'Fintech, Regulatory Arbitrage, '!A:A,'Fintech, Regulatory Arbitrage, '!C:C,"")</f>
        <v/>
      </c>
    </row>
    <row r="7432">
      <c r="A7432" s="1" t="s">
        <v>7452</v>
      </c>
      <c r="B7432" s="2">
        <v>1.0</v>
      </c>
      <c r="C7432" s="4"/>
      <c r="E7432" s="4" t="str">
        <f t="array" ref="E7432">XLOOKUP(A7432,'Fintech, Regulatory Arbitrage, '!A:A,'Fintech, Regulatory Arbitrage, '!C:C,"")</f>
        <v/>
      </c>
    </row>
    <row r="7433">
      <c r="A7433" s="1" t="s">
        <v>7453</v>
      </c>
      <c r="B7433" s="2">
        <v>1.0</v>
      </c>
      <c r="C7433" s="4"/>
      <c r="E7433" s="4" t="str">
        <f t="array" ref="E7433">XLOOKUP(A7433,'Fintech, Regulatory Arbitrage, '!A:A,'Fintech, Regulatory Arbitrage, '!C:C,"")</f>
        <v/>
      </c>
    </row>
    <row r="7434">
      <c r="A7434" s="1" t="s">
        <v>7454</v>
      </c>
      <c r="B7434" s="2">
        <v>1.0</v>
      </c>
      <c r="C7434" s="4"/>
      <c r="E7434" s="4" t="str">
        <f t="array" ref="E7434">XLOOKUP(A7434,'Fintech, Regulatory Arbitrage, '!A:A,'Fintech, Regulatory Arbitrage, '!C:C,"")</f>
        <v/>
      </c>
    </row>
    <row r="7435">
      <c r="A7435" s="1" t="s">
        <v>7455</v>
      </c>
      <c r="B7435" s="2">
        <v>1.0</v>
      </c>
      <c r="C7435" s="4"/>
      <c r="E7435" s="4" t="str">
        <f t="array" ref="E7435">XLOOKUP(A7435,'Fintech, Regulatory Arbitrage, '!A:A,'Fintech, Regulatory Arbitrage, '!C:C,"")</f>
        <v/>
      </c>
    </row>
    <row r="7436">
      <c r="A7436" s="1" t="s">
        <v>7456</v>
      </c>
      <c r="B7436" s="2">
        <v>1.0</v>
      </c>
      <c r="C7436" s="4"/>
      <c r="E7436" s="4" t="str">
        <f t="array" ref="E7436">XLOOKUP(A7436,'Fintech, Regulatory Arbitrage, '!A:A,'Fintech, Regulatory Arbitrage, '!C:C,"")</f>
        <v/>
      </c>
    </row>
    <row r="7437">
      <c r="A7437" s="1" t="s">
        <v>7457</v>
      </c>
      <c r="B7437" s="2">
        <v>1.0</v>
      </c>
      <c r="C7437" s="4"/>
      <c r="E7437" s="4" t="str">
        <f t="array" ref="E7437">XLOOKUP(A7437,'Fintech, Regulatory Arbitrage, '!A:A,'Fintech, Regulatory Arbitrage, '!C:C,"")</f>
        <v/>
      </c>
    </row>
    <row r="7438">
      <c r="A7438" s="1" t="s">
        <v>7458</v>
      </c>
      <c r="B7438" s="2">
        <v>1.0</v>
      </c>
      <c r="C7438" s="4"/>
      <c r="E7438" s="4" t="str">
        <f t="array" ref="E7438">XLOOKUP(A7438,'Fintech, Regulatory Arbitrage, '!A:A,'Fintech, Regulatory Arbitrage, '!C:C,"")</f>
        <v/>
      </c>
    </row>
    <row r="7439">
      <c r="A7439" s="1" t="s">
        <v>7459</v>
      </c>
      <c r="B7439" s="2">
        <v>1.0</v>
      </c>
      <c r="C7439" s="4"/>
      <c r="E7439" s="4" t="str">
        <f t="array" ref="E7439">XLOOKUP(A7439,'Fintech, Regulatory Arbitrage, '!A:A,'Fintech, Regulatory Arbitrage, '!C:C,"")</f>
        <v/>
      </c>
    </row>
    <row r="7440">
      <c r="A7440" s="1" t="s">
        <v>7460</v>
      </c>
      <c r="B7440" s="2">
        <v>1.0</v>
      </c>
      <c r="C7440" s="4"/>
      <c r="E7440" s="4" t="str">
        <f t="array" ref="E7440">XLOOKUP(A7440,'Fintech, Regulatory Arbitrage, '!A:A,'Fintech, Regulatory Arbitrage, '!C:C,"")</f>
        <v/>
      </c>
    </row>
    <row r="7441">
      <c r="A7441" s="1" t="s">
        <v>7461</v>
      </c>
      <c r="B7441" s="2">
        <v>1.0</v>
      </c>
      <c r="C7441" s="4"/>
      <c r="E7441" s="4" t="str">
        <f t="array" ref="E7441">XLOOKUP(A7441,'Fintech, Regulatory Arbitrage, '!A:A,'Fintech, Regulatory Arbitrage, '!C:C,"")</f>
        <v/>
      </c>
    </row>
    <row r="7442">
      <c r="A7442" s="1" t="s">
        <v>7462</v>
      </c>
      <c r="B7442" s="2">
        <v>1.0</v>
      </c>
      <c r="C7442" s="4"/>
      <c r="E7442" s="4" t="str">
        <f t="array" ref="E7442">XLOOKUP(A7442,'Fintech, Regulatory Arbitrage, '!A:A,'Fintech, Regulatory Arbitrage, '!C:C,"")</f>
        <v/>
      </c>
    </row>
    <row r="7443">
      <c r="A7443" s="1" t="s">
        <v>7463</v>
      </c>
      <c r="B7443" s="2">
        <v>1.0</v>
      </c>
      <c r="C7443" s="4"/>
      <c r="E7443" s="4" t="str">
        <f t="array" ref="E7443">XLOOKUP(A7443,'Fintech, Regulatory Arbitrage, '!A:A,'Fintech, Regulatory Arbitrage, '!C:C,"")</f>
        <v/>
      </c>
    </row>
    <row r="7444">
      <c r="A7444" s="1" t="s">
        <v>7464</v>
      </c>
      <c r="B7444" s="2">
        <v>1.0</v>
      </c>
      <c r="C7444" s="4"/>
      <c r="E7444" s="4" t="str">
        <f t="array" ref="E7444">XLOOKUP(A7444,'Fintech, Regulatory Arbitrage, '!A:A,'Fintech, Regulatory Arbitrage, '!C:C,"")</f>
        <v/>
      </c>
    </row>
    <row r="7445">
      <c r="A7445" s="1" t="s">
        <v>7465</v>
      </c>
      <c r="B7445" s="2">
        <v>1.0</v>
      </c>
      <c r="C7445" s="4"/>
      <c r="E7445" s="4" t="str">
        <f t="array" ref="E7445">XLOOKUP(A7445,'Fintech, Regulatory Arbitrage, '!A:A,'Fintech, Regulatory Arbitrage, '!C:C,"")</f>
        <v/>
      </c>
    </row>
    <row r="7446">
      <c r="A7446" s="1" t="s">
        <v>7466</v>
      </c>
      <c r="B7446" s="2">
        <v>1.0</v>
      </c>
      <c r="C7446" s="4"/>
      <c r="E7446" s="4" t="str">
        <f t="array" ref="E7446">XLOOKUP(A7446,'Fintech, Regulatory Arbitrage, '!A:A,'Fintech, Regulatory Arbitrage, '!C:C,"")</f>
        <v/>
      </c>
    </row>
    <row r="7447">
      <c r="A7447" s="1" t="s">
        <v>7467</v>
      </c>
      <c r="B7447" s="2">
        <v>1.0</v>
      </c>
      <c r="C7447" s="4"/>
      <c r="E7447" s="4" t="str">
        <f t="array" ref="E7447">XLOOKUP(A7447,'Fintech, Regulatory Arbitrage, '!A:A,'Fintech, Regulatory Arbitrage, '!C:C,"")</f>
        <v/>
      </c>
    </row>
    <row r="7448">
      <c r="A7448" s="1" t="s">
        <v>7468</v>
      </c>
      <c r="B7448" s="2">
        <v>1.0</v>
      </c>
      <c r="C7448" s="4"/>
      <c r="E7448" s="4" t="str">
        <f t="array" ref="E7448">XLOOKUP(A7448,'Fintech, Regulatory Arbitrage, '!A:A,'Fintech, Regulatory Arbitrage, '!C:C,"")</f>
        <v/>
      </c>
    </row>
    <row r="7449">
      <c r="A7449" s="1" t="s">
        <v>7469</v>
      </c>
      <c r="B7449" s="2">
        <v>1.0</v>
      </c>
      <c r="C7449" s="4"/>
      <c r="E7449" s="4" t="str">
        <f t="array" ref="E7449">XLOOKUP(A7449,'Fintech, Regulatory Arbitrage, '!A:A,'Fintech, Regulatory Arbitrage, '!C:C,"")</f>
        <v/>
      </c>
    </row>
    <row r="7450">
      <c r="A7450" s="1" t="s">
        <v>7470</v>
      </c>
      <c r="B7450" s="2">
        <v>1.0</v>
      </c>
      <c r="C7450" s="4"/>
      <c r="E7450" s="4" t="str">
        <f t="array" ref="E7450">XLOOKUP(A7450,'Fintech, Regulatory Arbitrage, '!A:A,'Fintech, Regulatory Arbitrage, '!C:C,"")</f>
        <v/>
      </c>
    </row>
    <row r="7451">
      <c r="A7451" s="1" t="s">
        <v>7471</v>
      </c>
      <c r="B7451" s="2">
        <v>1.0</v>
      </c>
      <c r="C7451" s="4"/>
      <c r="E7451" s="4" t="str">
        <f t="array" ref="E7451">XLOOKUP(A7451,'Fintech, Regulatory Arbitrage, '!A:A,'Fintech, Regulatory Arbitrage, '!C:C,"")</f>
        <v/>
      </c>
    </row>
    <row r="7452">
      <c r="A7452" s="1" t="s">
        <v>7472</v>
      </c>
      <c r="B7452" s="2">
        <v>1.0</v>
      </c>
      <c r="C7452" s="4"/>
      <c r="E7452" s="4" t="str">
        <f t="array" ref="E7452">XLOOKUP(A7452,'Fintech, Regulatory Arbitrage, '!A:A,'Fintech, Regulatory Arbitrage, '!C:C,"")</f>
        <v/>
      </c>
    </row>
    <row r="7453">
      <c r="A7453" s="1" t="s">
        <v>7473</v>
      </c>
      <c r="B7453" s="2">
        <v>1.0</v>
      </c>
      <c r="C7453" s="4"/>
      <c r="E7453" s="4" t="str">
        <f t="array" ref="E7453">XLOOKUP(A7453,'Fintech, Regulatory Arbitrage, '!A:A,'Fintech, Regulatory Arbitrage, '!C:C,"")</f>
        <v/>
      </c>
    </row>
    <row r="7454">
      <c r="A7454" s="1" t="s">
        <v>7474</v>
      </c>
      <c r="B7454" s="2">
        <v>1.0</v>
      </c>
      <c r="C7454" s="4"/>
      <c r="E7454" s="4" t="str">
        <f t="array" ref="E7454">XLOOKUP(A7454,'Fintech, Regulatory Arbitrage, '!A:A,'Fintech, Regulatory Arbitrage, '!C:C,"")</f>
        <v/>
      </c>
    </row>
    <row r="7455">
      <c r="A7455" s="1" t="s">
        <v>7475</v>
      </c>
      <c r="B7455" s="2">
        <v>1.0</v>
      </c>
      <c r="C7455" s="4"/>
      <c r="E7455" s="4" t="str">
        <f t="array" ref="E7455">XLOOKUP(A7455,'Fintech, Regulatory Arbitrage, '!A:A,'Fintech, Regulatory Arbitrage, '!C:C,"")</f>
        <v/>
      </c>
    </row>
    <row r="7456">
      <c r="A7456" s="1" t="s">
        <v>7476</v>
      </c>
      <c r="B7456" s="2">
        <v>1.0</v>
      </c>
      <c r="C7456" s="4"/>
      <c r="E7456" s="4" t="str">
        <f t="array" ref="E7456">XLOOKUP(A7456,'Fintech, Regulatory Arbitrage, '!A:A,'Fintech, Regulatory Arbitrage, '!C:C,"")</f>
        <v/>
      </c>
    </row>
    <row r="7457">
      <c r="A7457" s="1" t="s">
        <v>7477</v>
      </c>
      <c r="B7457" s="2">
        <v>1.0</v>
      </c>
      <c r="C7457" s="4"/>
      <c r="E7457" s="4" t="str">
        <f t="array" ref="E7457">XLOOKUP(A7457,'Fintech, Regulatory Arbitrage, '!A:A,'Fintech, Regulatory Arbitrage, '!C:C,"")</f>
        <v/>
      </c>
    </row>
    <row r="7458">
      <c r="A7458" s="1" t="s">
        <v>7478</v>
      </c>
      <c r="B7458" s="2">
        <v>1.0</v>
      </c>
      <c r="C7458" s="4"/>
      <c r="E7458" s="4" t="str">
        <f t="array" ref="E7458">XLOOKUP(A7458,'Fintech, Regulatory Arbitrage, '!A:A,'Fintech, Regulatory Arbitrage, '!C:C,"")</f>
        <v/>
      </c>
    </row>
    <row r="7459">
      <c r="A7459" s="1" t="s">
        <v>7479</v>
      </c>
      <c r="B7459" s="2">
        <v>1.0</v>
      </c>
      <c r="C7459" s="4"/>
      <c r="E7459" s="4" t="str">
        <f t="array" ref="E7459">XLOOKUP(A7459,'Fintech, Regulatory Arbitrage, '!A:A,'Fintech, Regulatory Arbitrage, '!C:C,"")</f>
        <v/>
      </c>
    </row>
    <row r="7460">
      <c r="A7460" s="1" t="s">
        <v>7480</v>
      </c>
      <c r="B7460" s="2">
        <v>1.0</v>
      </c>
      <c r="C7460" s="4"/>
      <c r="E7460" s="4" t="str">
        <f t="array" ref="E7460">XLOOKUP(A7460,'Fintech, Regulatory Arbitrage, '!A:A,'Fintech, Regulatory Arbitrage, '!C:C,"")</f>
        <v/>
      </c>
    </row>
    <row r="7461">
      <c r="A7461" s="1" t="s">
        <v>7481</v>
      </c>
      <c r="B7461" s="2">
        <v>1.0</v>
      </c>
      <c r="C7461" s="4"/>
      <c r="E7461" s="4" t="str">
        <f t="array" ref="E7461">XLOOKUP(A7461,'Fintech, Regulatory Arbitrage, '!A:A,'Fintech, Regulatory Arbitrage, '!C:C,"")</f>
        <v/>
      </c>
    </row>
    <row r="7462">
      <c r="A7462" s="1" t="s">
        <v>7482</v>
      </c>
      <c r="B7462" s="2">
        <v>1.0</v>
      </c>
      <c r="C7462" s="4"/>
      <c r="E7462" s="4" t="str">
        <f t="array" ref="E7462">XLOOKUP(A7462,'Fintech, Regulatory Arbitrage, '!A:A,'Fintech, Regulatory Arbitrage, '!C:C,"")</f>
        <v/>
      </c>
    </row>
    <row r="7463">
      <c r="A7463" s="1" t="s">
        <v>7483</v>
      </c>
      <c r="B7463" s="2">
        <v>1.0</v>
      </c>
      <c r="C7463" s="4"/>
      <c r="E7463" s="4" t="str">
        <f t="array" ref="E7463">XLOOKUP(A7463,'Fintech, Regulatory Arbitrage, '!A:A,'Fintech, Regulatory Arbitrage, '!C:C,"")</f>
        <v/>
      </c>
    </row>
    <row r="7464">
      <c r="A7464" s="1" t="s">
        <v>7484</v>
      </c>
      <c r="B7464" s="2">
        <v>1.0</v>
      </c>
      <c r="C7464" s="4"/>
      <c r="E7464" s="4" t="str">
        <f t="array" ref="E7464">XLOOKUP(A7464,'Fintech, Regulatory Arbitrage, '!A:A,'Fintech, Regulatory Arbitrage, '!C:C,"")</f>
        <v/>
      </c>
    </row>
    <row r="7465">
      <c r="A7465" s="1" t="s">
        <v>7485</v>
      </c>
      <c r="B7465" s="2">
        <v>1.0</v>
      </c>
      <c r="C7465" s="4"/>
      <c r="E7465" s="4" t="str">
        <f t="array" ref="E7465">XLOOKUP(A7465,'Fintech, Regulatory Arbitrage, '!A:A,'Fintech, Regulatory Arbitrage, '!C:C,"")</f>
        <v/>
      </c>
    </row>
    <row r="7466">
      <c r="A7466" s="1" t="s">
        <v>7486</v>
      </c>
      <c r="B7466" s="2">
        <v>1.0</v>
      </c>
      <c r="C7466" s="4"/>
      <c r="E7466" s="4" t="str">
        <f t="array" ref="E7466">XLOOKUP(A7466,'Fintech, Regulatory Arbitrage, '!A:A,'Fintech, Regulatory Arbitrage, '!C:C,"")</f>
        <v/>
      </c>
    </row>
    <row r="7467">
      <c r="A7467" s="1" t="s">
        <v>7487</v>
      </c>
      <c r="B7467" s="2">
        <v>1.0</v>
      </c>
      <c r="C7467" s="4"/>
      <c r="E7467" s="4" t="str">
        <f t="array" ref="E7467">XLOOKUP(A7467,'Fintech, Regulatory Arbitrage, '!A:A,'Fintech, Regulatory Arbitrage, '!C:C,"")</f>
        <v/>
      </c>
    </row>
    <row r="7468">
      <c r="A7468" s="1" t="s">
        <v>7488</v>
      </c>
      <c r="B7468" s="2">
        <v>1.0</v>
      </c>
      <c r="C7468" s="4"/>
      <c r="E7468" s="4" t="str">
        <f t="array" ref="E7468">XLOOKUP(A7468,'Fintech, Regulatory Arbitrage, '!A:A,'Fintech, Regulatory Arbitrage, '!C:C,"")</f>
        <v/>
      </c>
    </row>
    <row r="7469">
      <c r="A7469" s="1" t="s">
        <v>7489</v>
      </c>
      <c r="B7469" s="2">
        <v>1.0</v>
      </c>
      <c r="C7469" s="4"/>
      <c r="E7469" s="4" t="str">
        <f t="array" ref="E7469">XLOOKUP(A7469,'Fintech, Regulatory Arbitrage, '!A:A,'Fintech, Regulatory Arbitrage, '!C:C,"")</f>
        <v/>
      </c>
    </row>
    <row r="7470">
      <c r="A7470" s="1" t="s">
        <v>7490</v>
      </c>
      <c r="B7470" s="2">
        <v>1.0</v>
      </c>
      <c r="C7470" s="4"/>
      <c r="E7470" s="4" t="str">
        <f t="array" ref="E7470">XLOOKUP(A7470,'Fintech, Regulatory Arbitrage, '!A:A,'Fintech, Regulatory Arbitrage, '!C:C,"")</f>
        <v/>
      </c>
    </row>
    <row r="7471">
      <c r="A7471" s="1" t="s">
        <v>7491</v>
      </c>
      <c r="B7471" s="2">
        <v>1.0</v>
      </c>
      <c r="C7471" s="4"/>
      <c r="E7471" s="4" t="str">
        <f t="array" ref="E7471">XLOOKUP(A7471,'Fintech, Regulatory Arbitrage, '!A:A,'Fintech, Regulatory Arbitrage, '!C:C,"")</f>
        <v/>
      </c>
    </row>
    <row r="7472">
      <c r="A7472" s="1" t="s">
        <v>7492</v>
      </c>
      <c r="B7472" s="2">
        <v>1.0</v>
      </c>
      <c r="C7472" s="4"/>
      <c r="E7472" s="4" t="str">
        <f t="array" ref="E7472">XLOOKUP(A7472,'Fintech, Regulatory Arbitrage, '!A:A,'Fintech, Regulatory Arbitrage, '!C:C,"")</f>
        <v/>
      </c>
    </row>
    <row r="7473">
      <c r="A7473" s="1" t="s">
        <v>7493</v>
      </c>
      <c r="B7473" s="2">
        <v>1.0</v>
      </c>
      <c r="C7473" s="4"/>
      <c r="E7473" s="4" t="str">
        <f t="array" ref="E7473">XLOOKUP(A7473,'Fintech, Regulatory Arbitrage, '!A:A,'Fintech, Regulatory Arbitrage, '!C:C,"")</f>
        <v/>
      </c>
    </row>
    <row r="7474">
      <c r="A7474" s="1" t="s">
        <v>7494</v>
      </c>
      <c r="B7474" s="2">
        <v>1.0</v>
      </c>
      <c r="C7474" s="4"/>
      <c r="E7474" s="4" t="str">
        <f t="array" ref="E7474">XLOOKUP(A7474,'Fintech, Regulatory Arbitrage, '!A:A,'Fintech, Regulatory Arbitrage, '!C:C,"")</f>
        <v/>
      </c>
    </row>
    <row r="7475">
      <c r="A7475" s="1" t="s">
        <v>7495</v>
      </c>
      <c r="B7475" s="2">
        <v>1.0</v>
      </c>
      <c r="C7475" s="4"/>
      <c r="E7475" s="4" t="str">
        <f t="array" ref="E7475">XLOOKUP(A7475,'Fintech, Regulatory Arbitrage, '!A:A,'Fintech, Regulatory Arbitrage, '!C:C,"")</f>
        <v/>
      </c>
    </row>
    <row r="7476">
      <c r="A7476" s="1" t="s">
        <v>7496</v>
      </c>
      <c r="B7476" s="2">
        <v>1.0</v>
      </c>
      <c r="C7476" s="4"/>
      <c r="E7476" s="4" t="str">
        <f t="array" ref="E7476">XLOOKUP(A7476,'Fintech, Regulatory Arbitrage, '!A:A,'Fintech, Regulatory Arbitrage, '!C:C,"")</f>
        <v/>
      </c>
    </row>
    <row r="7477">
      <c r="A7477" s="1" t="s">
        <v>7497</v>
      </c>
      <c r="B7477" s="2">
        <v>1.0</v>
      </c>
      <c r="C7477" s="4"/>
      <c r="E7477" s="4" t="str">
        <f t="array" ref="E7477">XLOOKUP(A7477,'Fintech, Regulatory Arbitrage, '!A:A,'Fintech, Regulatory Arbitrage, '!C:C,"")</f>
        <v/>
      </c>
    </row>
    <row r="7478">
      <c r="A7478" s="1" t="s">
        <v>7498</v>
      </c>
      <c r="B7478" s="2">
        <v>1.0</v>
      </c>
      <c r="C7478" s="4"/>
      <c r="E7478" s="4" t="str">
        <f t="array" ref="E7478">XLOOKUP(A7478,'Fintech, Regulatory Arbitrage, '!A:A,'Fintech, Regulatory Arbitrage, '!C:C,"")</f>
        <v/>
      </c>
    </row>
    <row r="7479">
      <c r="A7479" s="1" t="s">
        <v>7499</v>
      </c>
      <c r="B7479" s="2">
        <v>1.0</v>
      </c>
      <c r="C7479" s="4"/>
      <c r="E7479" s="4" t="str">
        <f t="array" ref="E7479">XLOOKUP(A7479,'Fintech, Regulatory Arbitrage, '!A:A,'Fintech, Regulatory Arbitrage, '!C:C,"")</f>
        <v/>
      </c>
    </row>
    <row r="7480">
      <c r="A7480" s="1" t="s">
        <v>7500</v>
      </c>
      <c r="B7480" s="2">
        <v>1.0</v>
      </c>
      <c r="C7480" s="4"/>
      <c r="E7480" s="4" t="str">
        <f t="array" ref="E7480">XLOOKUP(A7480,'Fintech, Regulatory Arbitrage, '!A:A,'Fintech, Regulatory Arbitrage, '!C:C,"")</f>
        <v/>
      </c>
    </row>
    <row r="7481">
      <c r="A7481" s="1" t="s">
        <v>7501</v>
      </c>
      <c r="B7481" s="2">
        <v>1.0</v>
      </c>
      <c r="C7481" s="4"/>
      <c r="E7481" s="4" t="str">
        <f t="array" ref="E7481">XLOOKUP(A7481,'Fintech, Regulatory Arbitrage, '!A:A,'Fintech, Regulatory Arbitrage, '!C:C,"")</f>
        <v/>
      </c>
    </row>
    <row r="7482">
      <c r="A7482" s="1" t="s">
        <v>7502</v>
      </c>
      <c r="B7482" s="2">
        <v>1.0</v>
      </c>
      <c r="C7482" s="4"/>
      <c r="E7482" s="4" t="str">
        <f t="array" ref="E7482">XLOOKUP(A7482,'Fintech, Regulatory Arbitrage, '!A:A,'Fintech, Regulatory Arbitrage, '!C:C,"")</f>
        <v/>
      </c>
    </row>
    <row r="7483">
      <c r="A7483" s="1" t="s">
        <v>7503</v>
      </c>
      <c r="B7483" s="2">
        <v>1.0</v>
      </c>
      <c r="C7483" s="4"/>
      <c r="E7483" s="4" t="str">
        <f t="array" ref="E7483">XLOOKUP(A7483,'Fintech, Regulatory Arbitrage, '!A:A,'Fintech, Regulatory Arbitrage, '!C:C,"")</f>
        <v/>
      </c>
    </row>
    <row r="7484">
      <c r="A7484" s="1" t="s">
        <v>7504</v>
      </c>
      <c r="B7484" s="2">
        <v>1.0</v>
      </c>
      <c r="C7484" s="4"/>
      <c r="E7484" s="4" t="str">
        <f t="array" ref="E7484">XLOOKUP(A7484,'Fintech, Regulatory Arbitrage, '!A:A,'Fintech, Regulatory Arbitrage, '!C:C,"")</f>
        <v/>
      </c>
    </row>
    <row r="7485">
      <c r="A7485" s="1" t="s">
        <v>7505</v>
      </c>
      <c r="B7485" s="2">
        <v>1.0</v>
      </c>
      <c r="C7485" s="4"/>
      <c r="E7485" s="4" t="str">
        <f t="array" ref="E7485">XLOOKUP(A7485,'Fintech, Regulatory Arbitrage, '!A:A,'Fintech, Regulatory Arbitrage, '!C:C,"")</f>
        <v/>
      </c>
    </row>
    <row r="7486">
      <c r="A7486" s="1" t="s">
        <v>7506</v>
      </c>
      <c r="B7486" s="2">
        <v>1.0</v>
      </c>
      <c r="C7486" s="4"/>
      <c r="E7486" s="4" t="str">
        <f t="array" ref="E7486">XLOOKUP(A7486,'Fintech, Regulatory Arbitrage, '!A:A,'Fintech, Regulatory Arbitrage, '!C:C,"")</f>
        <v/>
      </c>
    </row>
    <row r="7487">
      <c r="A7487" s="1" t="s">
        <v>7507</v>
      </c>
      <c r="B7487" s="2">
        <v>1.0</v>
      </c>
      <c r="C7487" s="4"/>
      <c r="E7487" s="4" t="str">
        <f t="array" ref="E7487">XLOOKUP(A7487,'Fintech, Regulatory Arbitrage, '!A:A,'Fintech, Regulatory Arbitrage, '!C:C,"")</f>
        <v/>
      </c>
    </row>
    <row r="7488">
      <c r="A7488" s="1" t="s">
        <v>7508</v>
      </c>
      <c r="B7488" s="2">
        <v>1.0</v>
      </c>
      <c r="C7488" s="4"/>
      <c r="E7488" s="4" t="str">
        <f t="array" ref="E7488">XLOOKUP(A7488,'Fintech, Regulatory Arbitrage, '!A:A,'Fintech, Regulatory Arbitrage, '!C:C,"")</f>
        <v/>
      </c>
    </row>
    <row r="7489">
      <c r="A7489" s="1" t="s">
        <v>7509</v>
      </c>
      <c r="B7489" s="2">
        <v>1.0</v>
      </c>
      <c r="C7489" s="4"/>
      <c r="E7489" s="4" t="str">
        <f t="array" ref="E7489">XLOOKUP(A7489,'Fintech, Regulatory Arbitrage, '!A:A,'Fintech, Regulatory Arbitrage, '!C:C,"")</f>
        <v/>
      </c>
    </row>
    <row r="7490">
      <c r="A7490" s="1" t="s">
        <v>7510</v>
      </c>
      <c r="B7490" s="2">
        <v>1.0</v>
      </c>
      <c r="C7490" s="4"/>
      <c r="E7490" s="4" t="str">
        <f t="array" ref="E7490">XLOOKUP(A7490,'Fintech, Regulatory Arbitrage, '!A:A,'Fintech, Regulatory Arbitrage, '!C:C,"")</f>
        <v/>
      </c>
    </row>
    <row r="7491">
      <c r="A7491" s="1" t="s">
        <v>7511</v>
      </c>
      <c r="B7491" s="2">
        <v>1.0</v>
      </c>
      <c r="C7491" s="4"/>
      <c r="E7491" s="4" t="str">
        <f t="array" ref="E7491">XLOOKUP(A7491,'Fintech, Regulatory Arbitrage, '!A:A,'Fintech, Regulatory Arbitrage, '!C:C,"")</f>
        <v/>
      </c>
    </row>
    <row r="7492">
      <c r="A7492" s="1" t="s">
        <v>7512</v>
      </c>
      <c r="B7492" s="2">
        <v>1.0</v>
      </c>
      <c r="C7492" s="4"/>
      <c r="E7492" s="4" t="str">
        <f t="array" ref="E7492">XLOOKUP(A7492,'Fintech, Regulatory Arbitrage, '!A:A,'Fintech, Regulatory Arbitrage, '!C:C,"")</f>
        <v/>
      </c>
    </row>
    <row r="7493">
      <c r="A7493" s="1" t="s">
        <v>7513</v>
      </c>
      <c r="B7493" s="2">
        <v>1.0</v>
      </c>
      <c r="C7493" s="4"/>
      <c r="E7493" s="4" t="str">
        <f t="array" ref="E7493">XLOOKUP(A7493,'Fintech, Regulatory Arbitrage, '!A:A,'Fintech, Regulatory Arbitrage, '!C:C,"")</f>
        <v/>
      </c>
    </row>
    <row r="7494">
      <c r="A7494" s="1" t="s">
        <v>7514</v>
      </c>
      <c r="B7494" s="2">
        <v>1.0</v>
      </c>
      <c r="C7494" s="4"/>
      <c r="E7494" s="4" t="str">
        <f t="array" ref="E7494">XLOOKUP(A7494,'Fintech, Regulatory Arbitrage, '!A:A,'Fintech, Regulatory Arbitrage, '!C:C,"")</f>
        <v/>
      </c>
    </row>
    <row r="7495">
      <c r="A7495" s="1" t="s">
        <v>7515</v>
      </c>
      <c r="B7495" s="2">
        <v>1.0</v>
      </c>
      <c r="C7495" s="4"/>
      <c r="E7495" s="4" t="str">
        <f t="array" ref="E7495">XLOOKUP(A7495,'Fintech, Regulatory Arbitrage, '!A:A,'Fintech, Regulatory Arbitrage, '!C:C,"")</f>
        <v/>
      </c>
    </row>
    <row r="7496">
      <c r="A7496" s="1" t="s">
        <v>7516</v>
      </c>
      <c r="B7496" s="2">
        <v>1.0</v>
      </c>
      <c r="C7496" s="4"/>
      <c r="E7496" s="4" t="str">
        <f t="array" ref="E7496">XLOOKUP(A7496,'Fintech, Regulatory Arbitrage, '!A:A,'Fintech, Regulatory Arbitrage, '!C:C,"")</f>
        <v/>
      </c>
    </row>
    <row r="7497">
      <c r="A7497" s="1" t="s">
        <v>7517</v>
      </c>
      <c r="B7497" s="2">
        <v>1.0</v>
      </c>
      <c r="C7497" s="4"/>
      <c r="E7497" s="4" t="str">
        <f t="array" ref="E7497">XLOOKUP(A7497,'Fintech, Regulatory Arbitrage, '!A:A,'Fintech, Regulatory Arbitrage, '!C:C,"")</f>
        <v/>
      </c>
    </row>
    <row r="7498">
      <c r="A7498" s="1" t="s">
        <v>7518</v>
      </c>
      <c r="B7498" s="2">
        <v>1.0</v>
      </c>
      <c r="C7498" s="4"/>
      <c r="E7498" s="4" t="str">
        <f t="array" ref="E7498">XLOOKUP(A7498,'Fintech, Regulatory Arbitrage, '!A:A,'Fintech, Regulatory Arbitrage, '!C:C,"")</f>
        <v/>
      </c>
    </row>
    <row r="7499">
      <c r="A7499" s="1" t="s">
        <v>7519</v>
      </c>
      <c r="B7499" s="2">
        <v>1.0</v>
      </c>
      <c r="C7499" s="4"/>
      <c r="E7499" s="4" t="str">
        <f t="array" ref="E7499">XLOOKUP(A7499,'Fintech, Regulatory Arbitrage, '!A:A,'Fintech, Regulatory Arbitrage, '!C:C,"")</f>
        <v/>
      </c>
    </row>
    <row r="7500">
      <c r="A7500" s="1" t="s">
        <v>7520</v>
      </c>
      <c r="B7500" s="2">
        <v>1.0</v>
      </c>
      <c r="C7500" s="4"/>
      <c r="E7500" s="4" t="str">
        <f t="array" ref="E7500">XLOOKUP(A7500,'Fintech, Regulatory Arbitrage, '!A:A,'Fintech, Regulatory Arbitrage, '!C:C,"")</f>
        <v/>
      </c>
    </row>
    <row r="7501">
      <c r="A7501" s="1" t="s">
        <v>7521</v>
      </c>
      <c r="B7501" s="2">
        <v>1.0</v>
      </c>
      <c r="C7501" s="4"/>
      <c r="E7501" s="4" t="str">
        <f t="array" ref="E7501">XLOOKUP(A7501,'Fintech, Regulatory Arbitrage, '!A:A,'Fintech, Regulatory Arbitrage, '!C:C,"")</f>
        <v/>
      </c>
    </row>
    <row r="7502">
      <c r="A7502" s="1" t="s">
        <v>7522</v>
      </c>
      <c r="B7502" s="2">
        <v>1.0</v>
      </c>
      <c r="C7502" s="4"/>
      <c r="E7502" s="4" t="str">
        <f t="array" ref="E7502">XLOOKUP(A7502,'Fintech, Regulatory Arbitrage, '!A:A,'Fintech, Regulatory Arbitrage, '!C:C,"")</f>
        <v/>
      </c>
    </row>
    <row r="7503">
      <c r="A7503" s="1" t="s">
        <v>7523</v>
      </c>
      <c r="B7503" s="2">
        <v>1.0</v>
      </c>
      <c r="C7503" s="4"/>
      <c r="E7503" s="4" t="str">
        <f t="array" ref="E7503">XLOOKUP(A7503,'Fintech, Regulatory Arbitrage, '!A:A,'Fintech, Regulatory Arbitrage, '!C:C,"")</f>
        <v/>
      </c>
    </row>
    <row r="7504">
      <c r="A7504" s="1" t="s">
        <v>7524</v>
      </c>
      <c r="B7504" s="2">
        <v>1.0</v>
      </c>
      <c r="C7504" s="4"/>
      <c r="E7504" s="4" t="str">
        <f t="array" ref="E7504">XLOOKUP(A7504,'Fintech, Regulatory Arbitrage, '!A:A,'Fintech, Regulatory Arbitrage, '!C:C,"")</f>
        <v/>
      </c>
    </row>
    <row r="7505">
      <c r="A7505" s="1" t="s">
        <v>7525</v>
      </c>
      <c r="B7505" s="2">
        <v>1.0</v>
      </c>
      <c r="C7505" s="4"/>
      <c r="E7505" s="4" t="str">
        <f t="array" ref="E7505">XLOOKUP(A7505,'Fintech, Regulatory Arbitrage, '!A:A,'Fintech, Regulatory Arbitrage, '!C:C,"")</f>
        <v/>
      </c>
    </row>
    <row r="7506">
      <c r="A7506" s="1" t="s">
        <v>7526</v>
      </c>
      <c r="B7506" s="2">
        <v>1.0</v>
      </c>
      <c r="C7506" s="4"/>
      <c r="E7506" s="4" t="str">
        <f t="array" ref="E7506">XLOOKUP(A7506,'Fintech, Regulatory Arbitrage, '!A:A,'Fintech, Regulatory Arbitrage, '!C:C,"")</f>
        <v/>
      </c>
    </row>
    <row r="7507">
      <c r="A7507" s="1" t="s">
        <v>7527</v>
      </c>
      <c r="B7507" s="2">
        <v>1.0</v>
      </c>
      <c r="C7507" s="4"/>
      <c r="E7507" s="4" t="str">
        <f t="array" ref="E7507">XLOOKUP(A7507,'Fintech, Regulatory Arbitrage, '!A:A,'Fintech, Regulatory Arbitrage, '!C:C,"")</f>
        <v/>
      </c>
    </row>
    <row r="7508">
      <c r="A7508" s="1" t="s">
        <v>7528</v>
      </c>
      <c r="B7508" s="2">
        <v>1.0</v>
      </c>
      <c r="C7508" s="4"/>
      <c r="E7508" s="4" t="str">
        <f t="array" ref="E7508">XLOOKUP(A7508,'Fintech, Regulatory Arbitrage, '!A:A,'Fintech, Regulatory Arbitrage, '!C:C,"")</f>
        <v/>
      </c>
    </row>
    <row r="7509">
      <c r="A7509" s="1" t="s">
        <v>7529</v>
      </c>
      <c r="B7509" s="2">
        <v>1.0</v>
      </c>
      <c r="C7509" s="4"/>
      <c r="E7509" s="4" t="str">
        <f t="array" ref="E7509">XLOOKUP(A7509,'Fintech, Regulatory Arbitrage, '!A:A,'Fintech, Regulatory Arbitrage, '!C:C,"")</f>
        <v/>
      </c>
    </row>
    <row r="7510">
      <c r="A7510" s="1" t="s">
        <v>7530</v>
      </c>
      <c r="B7510" s="2">
        <v>1.0</v>
      </c>
      <c r="C7510" s="4"/>
      <c r="E7510" s="4" t="str">
        <f t="array" ref="E7510">XLOOKUP(A7510,'Fintech, Regulatory Arbitrage, '!A:A,'Fintech, Regulatory Arbitrage, '!C:C,"")</f>
        <v/>
      </c>
    </row>
    <row r="7511">
      <c r="A7511" s="1" t="s">
        <v>7531</v>
      </c>
      <c r="B7511" s="2">
        <v>1.0</v>
      </c>
      <c r="C7511" s="4"/>
      <c r="E7511" s="4" t="str">
        <f t="array" ref="E7511">XLOOKUP(A7511,'Fintech, Regulatory Arbitrage, '!A:A,'Fintech, Regulatory Arbitrage, '!C:C,"")</f>
        <v/>
      </c>
    </row>
    <row r="7512">
      <c r="A7512" s="1" t="s">
        <v>7532</v>
      </c>
      <c r="B7512" s="2">
        <v>1.0</v>
      </c>
      <c r="C7512" s="4"/>
      <c r="E7512" s="4" t="str">
        <f t="array" ref="E7512">XLOOKUP(A7512,'Fintech, Regulatory Arbitrage, '!A:A,'Fintech, Regulatory Arbitrage, '!C:C,"")</f>
        <v/>
      </c>
    </row>
    <row r="7513">
      <c r="A7513" s="1" t="s">
        <v>7533</v>
      </c>
      <c r="B7513" s="2">
        <v>1.0</v>
      </c>
      <c r="C7513" s="4"/>
      <c r="E7513" s="4" t="str">
        <f t="array" ref="E7513">XLOOKUP(A7513,'Fintech, Regulatory Arbitrage, '!A:A,'Fintech, Regulatory Arbitrage, '!C:C,"")</f>
        <v/>
      </c>
    </row>
    <row r="7514">
      <c r="A7514" s="1" t="s">
        <v>7534</v>
      </c>
      <c r="B7514" s="2">
        <v>1.0</v>
      </c>
      <c r="C7514" s="4"/>
      <c r="E7514" s="4" t="str">
        <f t="array" ref="E7514">XLOOKUP(A7514,'Fintech, Regulatory Arbitrage, '!A:A,'Fintech, Regulatory Arbitrage, '!C:C,"")</f>
        <v/>
      </c>
    </row>
    <row r="7515">
      <c r="A7515" s="1" t="s">
        <v>7535</v>
      </c>
      <c r="B7515" s="2">
        <v>1.0</v>
      </c>
      <c r="C7515" s="4"/>
      <c r="E7515" s="4" t="str">
        <f t="array" ref="E7515">XLOOKUP(A7515,'Fintech, Regulatory Arbitrage, '!A:A,'Fintech, Regulatory Arbitrage, '!C:C,"")</f>
        <v/>
      </c>
    </row>
    <row r="7516">
      <c r="A7516" s="1" t="s">
        <v>7536</v>
      </c>
      <c r="B7516" s="2">
        <v>1.0</v>
      </c>
      <c r="C7516" s="4"/>
      <c r="E7516" s="4" t="str">
        <f t="array" ref="E7516">XLOOKUP(A7516,'Fintech, Regulatory Arbitrage, '!A:A,'Fintech, Regulatory Arbitrage, '!C:C,"")</f>
        <v/>
      </c>
    </row>
    <row r="7517">
      <c r="A7517" s="1" t="s">
        <v>7537</v>
      </c>
      <c r="B7517" s="2">
        <v>1.0</v>
      </c>
      <c r="C7517" s="4"/>
      <c r="E7517" s="4" t="str">
        <f t="array" ref="E7517">XLOOKUP(A7517,'Fintech, Regulatory Arbitrage, '!A:A,'Fintech, Regulatory Arbitrage, '!C:C,"")</f>
        <v/>
      </c>
    </row>
    <row r="7518">
      <c r="A7518" s="1" t="s">
        <v>7538</v>
      </c>
      <c r="B7518" s="2">
        <v>1.0</v>
      </c>
      <c r="C7518" s="4"/>
      <c r="E7518" s="4" t="str">
        <f t="array" ref="E7518">XLOOKUP(A7518,'Fintech, Regulatory Arbitrage, '!A:A,'Fintech, Regulatory Arbitrage, '!C:C,"")</f>
        <v/>
      </c>
    </row>
    <row r="7519">
      <c r="A7519" s="1" t="s">
        <v>7539</v>
      </c>
      <c r="B7519" s="2">
        <v>1.0</v>
      </c>
      <c r="C7519" s="4"/>
      <c r="E7519" s="4" t="str">
        <f t="array" ref="E7519">XLOOKUP(A7519,'Fintech, Regulatory Arbitrage, '!A:A,'Fintech, Regulatory Arbitrage, '!C:C,"")</f>
        <v/>
      </c>
    </row>
    <row r="7520">
      <c r="A7520" s="1" t="s">
        <v>7540</v>
      </c>
      <c r="B7520" s="2">
        <v>1.0</v>
      </c>
      <c r="C7520" s="4"/>
      <c r="E7520" s="4" t="str">
        <f t="array" ref="E7520">XLOOKUP(A7520,'Fintech, Regulatory Arbitrage, '!A:A,'Fintech, Regulatory Arbitrage, '!C:C,"")</f>
        <v/>
      </c>
    </row>
    <row r="7521">
      <c r="A7521" s="1" t="s">
        <v>7541</v>
      </c>
      <c r="B7521" s="2">
        <v>1.0</v>
      </c>
      <c r="C7521" s="4"/>
      <c r="E7521" s="4" t="str">
        <f t="array" ref="E7521">XLOOKUP(A7521,'Fintech, Regulatory Arbitrage, '!A:A,'Fintech, Regulatory Arbitrage, '!C:C,"")</f>
        <v/>
      </c>
    </row>
    <row r="7522">
      <c r="A7522" s="1" t="s">
        <v>7542</v>
      </c>
      <c r="B7522" s="2">
        <v>1.0</v>
      </c>
      <c r="C7522" s="4"/>
      <c r="E7522" s="4" t="str">
        <f t="array" ref="E7522">XLOOKUP(A7522,'Fintech, Regulatory Arbitrage, '!A:A,'Fintech, Regulatory Arbitrage, '!C:C,"")</f>
        <v/>
      </c>
    </row>
    <row r="7523">
      <c r="A7523" s="1" t="s">
        <v>7543</v>
      </c>
      <c r="B7523" s="2">
        <v>1.0</v>
      </c>
      <c r="C7523" s="4"/>
      <c r="E7523" s="4" t="str">
        <f t="array" ref="E7523">XLOOKUP(A7523,'Fintech, Regulatory Arbitrage, '!A:A,'Fintech, Regulatory Arbitrage, '!C:C,"")</f>
        <v/>
      </c>
    </row>
    <row r="7524">
      <c r="A7524" s="1" t="s">
        <v>7544</v>
      </c>
      <c r="B7524" s="2">
        <v>1.0</v>
      </c>
      <c r="C7524" s="4"/>
      <c r="E7524" s="4" t="str">
        <f t="array" ref="E7524">XLOOKUP(A7524,'Fintech, Regulatory Arbitrage, '!A:A,'Fintech, Regulatory Arbitrage, '!C:C,"")</f>
        <v/>
      </c>
    </row>
    <row r="7525">
      <c r="A7525" s="1" t="s">
        <v>7545</v>
      </c>
      <c r="B7525" s="2">
        <v>1.0</v>
      </c>
      <c r="C7525" s="4"/>
      <c r="E7525" s="4" t="str">
        <f t="array" ref="E7525">XLOOKUP(A7525,'Fintech, Regulatory Arbitrage, '!A:A,'Fintech, Regulatory Arbitrage, '!C:C,"")</f>
        <v/>
      </c>
    </row>
    <row r="7526">
      <c r="A7526" s="1" t="s">
        <v>7546</v>
      </c>
      <c r="B7526" s="2">
        <v>1.0</v>
      </c>
      <c r="C7526" s="4"/>
      <c r="E7526" s="4" t="str">
        <f t="array" ref="E7526">XLOOKUP(A7526,'Fintech, Regulatory Arbitrage, '!A:A,'Fintech, Regulatory Arbitrage, '!C:C,"")</f>
        <v/>
      </c>
    </row>
    <row r="7527">
      <c r="A7527" s="1" t="s">
        <v>7547</v>
      </c>
      <c r="B7527" s="2">
        <v>1.0</v>
      </c>
      <c r="C7527" s="4"/>
      <c r="E7527" s="4" t="str">
        <f t="array" ref="E7527">XLOOKUP(A7527,'Fintech, Regulatory Arbitrage, '!A:A,'Fintech, Regulatory Arbitrage, '!C:C,"")</f>
        <v/>
      </c>
    </row>
    <row r="7528">
      <c r="A7528" s="1" t="s">
        <v>7548</v>
      </c>
      <c r="B7528" s="2">
        <v>1.0</v>
      </c>
      <c r="C7528" s="4"/>
      <c r="E7528" s="4" t="str">
        <f t="array" ref="E7528">XLOOKUP(A7528,'Fintech, Regulatory Arbitrage, '!A:A,'Fintech, Regulatory Arbitrage, '!C:C,"")</f>
        <v/>
      </c>
    </row>
    <row r="7529">
      <c r="A7529" s="1" t="s">
        <v>7549</v>
      </c>
      <c r="B7529" s="2">
        <v>1.0</v>
      </c>
      <c r="C7529" s="4"/>
      <c r="E7529" s="4" t="str">
        <f t="array" ref="E7529">XLOOKUP(A7529,'Fintech, Regulatory Arbitrage, '!A:A,'Fintech, Regulatory Arbitrage, '!C:C,"")</f>
        <v/>
      </c>
    </row>
    <row r="7530">
      <c r="A7530" s="1" t="s">
        <v>7550</v>
      </c>
      <c r="B7530" s="2">
        <v>1.0</v>
      </c>
      <c r="C7530" s="4"/>
      <c r="E7530" s="4" t="str">
        <f t="array" ref="E7530">XLOOKUP(A7530,'Fintech, Regulatory Arbitrage, '!A:A,'Fintech, Regulatory Arbitrage, '!C:C,"")</f>
        <v/>
      </c>
    </row>
    <row r="7531">
      <c r="A7531" s="1" t="s">
        <v>7551</v>
      </c>
      <c r="B7531" s="2">
        <v>1.0</v>
      </c>
      <c r="C7531" s="4"/>
      <c r="E7531" s="4" t="str">
        <f t="array" ref="E7531">XLOOKUP(A7531,'Fintech, Regulatory Arbitrage, '!A:A,'Fintech, Regulatory Arbitrage, '!C:C,"")</f>
        <v/>
      </c>
    </row>
    <row r="7532">
      <c r="A7532" s="1" t="s">
        <v>7552</v>
      </c>
      <c r="B7532" s="2">
        <v>1.0</v>
      </c>
      <c r="C7532" s="4"/>
      <c r="E7532" s="4" t="str">
        <f t="array" ref="E7532">XLOOKUP(A7532,'Fintech, Regulatory Arbitrage, '!A:A,'Fintech, Regulatory Arbitrage, '!C:C,"")</f>
        <v/>
      </c>
    </row>
    <row r="7533">
      <c r="A7533" s="1" t="s">
        <v>7553</v>
      </c>
      <c r="B7533" s="2">
        <v>1.0</v>
      </c>
      <c r="C7533" s="4"/>
      <c r="E7533" s="4" t="str">
        <f t="array" ref="E7533">XLOOKUP(A7533,'Fintech, Regulatory Arbitrage, '!A:A,'Fintech, Regulatory Arbitrage, '!C:C,"")</f>
        <v/>
      </c>
    </row>
    <row r="7534">
      <c r="A7534" s="1" t="s">
        <v>7554</v>
      </c>
      <c r="B7534" s="2">
        <v>1.0</v>
      </c>
      <c r="C7534" s="4"/>
      <c r="E7534" s="4" t="str">
        <f t="array" ref="E7534">XLOOKUP(A7534,'Fintech, Regulatory Arbitrage, '!A:A,'Fintech, Regulatory Arbitrage, '!C:C,"")</f>
        <v/>
      </c>
    </row>
    <row r="7535">
      <c r="A7535" s="1" t="s">
        <v>7555</v>
      </c>
      <c r="B7535" s="2">
        <v>1.0</v>
      </c>
      <c r="C7535" s="4"/>
      <c r="E7535" s="4" t="str">
        <f t="array" ref="E7535">XLOOKUP(A7535,'Fintech, Regulatory Arbitrage, '!A:A,'Fintech, Regulatory Arbitrage, '!C:C,"")</f>
        <v/>
      </c>
    </row>
    <row r="7536">
      <c r="A7536" s="1" t="s">
        <v>7556</v>
      </c>
      <c r="B7536" s="2">
        <v>1.0</v>
      </c>
      <c r="C7536" s="4"/>
      <c r="E7536" s="4" t="str">
        <f t="array" ref="E7536">XLOOKUP(A7536,'Fintech, Regulatory Arbitrage, '!A:A,'Fintech, Regulatory Arbitrage, '!C:C,"")</f>
        <v/>
      </c>
    </row>
    <row r="7537">
      <c r="A7537" s="1" t="s">
        <v>7557</v>
      </c>
      <c r="B7537" s="2">
        <v>1.0</v>
      </c>
      <c r="C7537" s="4"/>
      <c r="E7537" s="4" t="str">
        <f t="array" ref="E7537">XLOOKUP(A7537,'Fintech, Regulatory Arbitrage, '!A:A,'Fintech, Regulatory Arbitrage, '!C:C,"")</f>
        <v/>
      </c>
    </row>
    <row r="7538">
      <c r="A7538" s="1" t="s">
        <v>7558</v>
      </c>
      <c r="B7538" s="2">
        <v>1.0</v>
      </c>
      <c r="C7538" s="4"/>
      <c r="E7538" s="4" t="str">
        <f t="array" ref="E7538">XLOOKUP(A7538,'Fintech, Regulatory Arbitrage, '!A:A,'Fintech, Regulatory Arbitrage, '!C:C,"")</f>
        <v/>
      </c>
    </row>
    <row r="7539">
      <c r="A7539" s="1" t="s">
        <v>7559</v>
      </c>
      <c r="B7539" s="2">
        <v>1.0</v>
      </c>
      <c r="C7539" s="4"/>
      <c r="E7539" s="4" t="str">
        <f t="array" ref="E7539">XLOOKUP(A7539,'Fintech, Regulatory Arbitrage, '!A:A,'Fintech, Regulatory Arbitrage, '!C:C,"")</f>
        <v/>
      </c>
    </row>
    <row r="7540">
      <c r="A7540" s="1" t="s">
        <v>7560</v>
      </c>
      <c r="B7540" s="2">
        <v>1.0</v>
      </c>
      <c r="C7540" s="4"/>
      <c r="E7540" s="4" t="str">
        <f t="array" ref="E7540">XLOOKUP(A7540,'Fintech, Regulatory Arbitrage, '!A:A,'Fintech, Regulatory Arbitrage, '!C:C,"")</f>
        <v/>
      </c>
    </row>
    <row r="7541">
      <c r="A7541" s="1" t="s">
        <v>7561</v>
      </c>
      <c r="B7541" s="2">
        <v>1.0</v>
      </c>
      <c r="C7541" s="4"/>
      <c r="E7541" s="4" t="str">
        <f t="array" ref="E7541">XLOOKUP(A7541,'Fintech, Regulatory Arbitrage, '!A:A,'Fintech, Regulatory Arbitrage, '!C:C,"")</f>
        <v/>
      </c>
    </row>
    <row r="7542">
      <c r="A7542" s="1" t="s">
        <v>7562</v>
      </c>
      <c r="B7542" s="2">
        <v>1.0</v>
      </c>
      <c r="C7542" s="4"/>
      <c r="E7542" s="4" t="str">
        <f t="array" ref="E7542">XLOOKUP(A7542,'Fintech, Regulatory Arbitrage, '!A:A,'Fintech, Regulatory Arbitrage, '!C:C,"")</f>
        <v/>
      </c>
    </row>
    <row r="7543">
      <c r="A7543" s="1" t="s">
        <v>7563</v>
      </c>
      <c r="B7543" s="2">
        <v>1.0</v>
      </c>
      <c r="C7543" s="4"/>
      <c r="E7543" s="4" t="str">
        <f t="array" ref="E7543">XLOOKUP(A7543,'Fintech, Regulatory Arbitrage, '!A:A,'Fintech, Regulatory Arbitrage, '!C:C,"")</f>
        <v/>
      </c>
    </row>
    <row r="7544">
      <c r="A7544" s="1" t="s">
        <v>7564</v>
      </c>
      <c r="B7544" s="2">
        <v>1.0</v>
      </c>
      <c r="C7544" s="4"/>
      <c r="E7544" s="4" t="str">
        <f t="array" ref="E7544">XLOOKUP(A7544,'Fintech, Regulatory Arbitrage, '!A:A,'Fintech, Regulatory Arbitrage, '!C:C,"")</f>
        <v/>
      </c>
    </row>
    <row r="7545">
      <c r="A7545" s="1" t="s">
        <v>7565</v>
      </c>
      <c r="B7545" s="2">
        <v>1.0</v>
      </c>
      <c r="C7545" s="4"/>
      <c r="E7545" s="4" t="str">
        <f t="array" ref="E7545">XLOOKUP(A7545,'Fintech, Regulatory Arbitrage, '!A:A,'Fintech, Regulatory Arbitrage, '!C:C,"")</f>
        <v/>
      </c>
    </row>
    <row r="7546">
      <c r="A7546" s="1" t="s">
        <v>7566</v>
      </c>
      <c r="B7546" s="2">
        <v>1.0</v>
      </c>
      <c r="C7546" s="4"/>
      <c r="E7546" s="4" t="str">
        <f t="array" ref="E7546">XLOOKUP(A7546,'Fintech, Regulatory Arbitrage, '!A:A,'Fintech, Regulatory Arbitrage, '!C:C,"")</f>
        <v/>
      </c>
    </row>
    <row r="7547">
      <c r="A7547" s="1" t="s">
        <v>7567</v>
      </c>
      <c r="B7547" s="2">
        <v>1.0</v>
      </c>
      <c r="C7547" s="4"/>
      <c r="E7547" s="4" t="str">
        <f t="array" ref="E7547">XLOOKUP(A7547,'Fintech, Regulatory Arbitrage, '!A:A,'Fintech, Regulatory Arbitrage, '!C:C,"")</f>
        <v/>
      </c>
    </row>
    <row r="7548">
      <c r="A7548" s="1" t="s">
        <v>7568</v>
      </c>
      <c r="B7548" s="2">
        <v>1.0</v>
      </c>
      <c r="C7548" s="4"/>
      <c r="E7548" s="4" t="str">
        <f t="array" ref="E7548">XLOOKUP(A7548,'Fintech, Regulatory Arbitrage, '!A:A,'Fintech, Regulatory Arbitrage, '!C:C,"")</f>
        <v/>
      </c>
    </row>
    <row r="7549">
      <c r="A7549" s="1" t="s">
        <v>7569</v>
      </c>
      <c r="B7549" s="2">
        <v>1.0</v>
      </c>
      <c r="C7549" s="4"/>
      <c r="E7549" s="4" t="str">
        <f t="array" ref="E7549">XLOOKUP(A7549,'Fintech, Regulatory Arbitrage, '!A:A,'Fintech, Regulatory Arbitrage, '!C:C,"")</f>
        <v/>
      </c>
    </row>
    <row r="7550">
      <c r="A7550" s="1" t="s">
        <v>7570</v>
      </c>
      <c r="B7550" s="2">
        <v>1.0</v>
      </c>
      <c r="C7550" s="4"/>
      <c r="E7550" s="4" t="str">
        <f t="array" ref="E7550">XLOOKUP(A7550,'Fintech, Regulatory Arbitrage, '!A:A,'Fintech, Regulatory Arbitrage, '!C:C,"")</f>
        <v/>
      </c>
    </row>
    <row r="7551">
      <c r="A7551" s="1" t="s">
        <v>7571</v>
      </c>
      <c r="B7551" s="2">
        <v>1.0</v>
      </c>
      <c r="C7551" s="4"/>
      <c r="E7551" s="4" t="str">
        <f t="array" ref="E7551">XLOOKUP(A7551,'Fintech, Regulatory Arbitrage, '!A:A,'Fintech, Regulatory Arbitrage, '!C:C,"")</f>
        <v/>
      </c>
    </row>
    <row r="7552">
      <c r="A7552" s="1" t="s">
        <v>7572</v>
      </c>
      <c r="B7552" s="2">
        <v>1.0</v>
      </c>
      <c r="C7552" s="4"/>
      <c r="E7552" s="4" t="str">
        <f t="array" ref="E7552">XLOOKUP(A7552,'Fintech, Regulatory Arbitrage, '!A:A,'Fintech, Regulatory Arbitrage, '!C:C,"")</f>
        <v/>
      </c>
    </row>
    <row r="7553">
      <c r="A7553" s="1" t="s">
        <v>7573</v>
      </c>
      <c r="B7553" s="2">
        <v>1.0</v>
      </c>
      <c r="C7553" s="4"/>
      <c r="E7553" s="4" t="str">
        <f t="array" ref="E7553">XLOOKUP(A7553,'Fintech, Regulatory Arbitrage, '!A:A,'Fintech, Regulatory Arbitrage, '!C:C,"")</f>
        <v/>
      </c>
    </row>
    <row r="7554">
      <c r="A7554" s="1" t="s">
        <v>7574</v>
      </c>
      <c r="B7554" s="2">
        <v>1.0</v>
      </c>
      <c r="C7554" s="4"/>
      <c r="E7554" s="4" t="str">
        <f t="array" ref="E7554">XLOOKUP(A7554,'Fintech, Regulatory Arbitrage, '!A:A,'Fintech, Regulatory Arbitrage, '!C:C,"")</f>
        <v/>
      </c>
    </row>
    <row r="7555">
      <c r="A7555" s="1" t="s">
        <v>7575</v>
      </c>
      <c r="B7555" s="2">
        <v>1.0</v>
      </c>
      <c r="C7555" s="4"/>
      <c r="E7555" s="4" t="str">
        <f t="array" ref="E7555">XLOOKUP(A7555,'Fintech, Regulatory Arbitrage, '!A:A,'Fintech, Regulatory Arbitrage, '!C:C,"")</f>
        <v/>
      </c>
    </row>
    <row r="7556">
      <c r="A7556" s="1" t="s">
        <v>7576</v>
      </c>
      <c r="B7556" s="2">
        <v>1.0</v>
      </c>
      <c r="C7556" s="4"/>
      <c r="E7556" s="4" t="str">
        <f t="array" ref="E7556">XLOOKUP(A7556,'Fintech, Regulatory Arbitrage, '!A:A,'Fintech, Regulatory Arbitrage, '!C:C,"")</f>
        <v/>
      </c>
    </row>
    <row r="7557">
      <c r="A7557" s="1" t="s">
        <v>7577</v>
      </c>
      <c r="B7557" s="2">
        <v>1.0</v>
      </c>
      <c r="C7557" s="4"/>
      <c r="E7557" s="4" t="str">
        <f t="array" ref="E7557">XLOOKUP(A7557,'Fintech, Regulatory Arbitrage, '!A:A,'Fintech, Regulatory Arbitrage, '!C:C,"")</f>
        <v/>
      </c>
    </row>
    <row r="7558">
      <c r="A7558" s="1" t="s">
        <v>7578</v>
      </c>
      <c r="B7558" s="2">
        <v>1.0</v>
      </c>
      <c r="C7558" s="4"/>
      <c r="E7558" s="4" t="str">
        <f t="array" ref="E7558">XLOOKUP(A7558,'Fintech, Regulatory Arbitrage, '!A:A,'Fintech, Regulatory Arbitrage, '!C:C,"")</f>
        <v/>
      </c>
    </row>
    <row r="7559">
      <c r="A7559" s="1" t="s">
        <v>7579</v>
      </c>
      <c r="B7559" s="2">
        <v>1.0</v>
      </c>
      <c r="C7559" s="4"/>
      <c r="E7559" s="4" t="str">
        <f t="array" ref="E7559">XLOOKUP(A7559,'Fintech, Regulatory Arbitrage, '!A:A,'Fintech, Regulatory Arbitrage, '!C:C,"")</f>
        <v/>
      </c>
    </row>
    <row r="7560">
      <c r="A7560" s="1" t="s">
        <v>7580</v>
      </c>
      <c r="B7560" s="2">
        <v>1.0</v>
      </c>
      <c r="C7560" s="4"/>
      <c r="E7560" s="4" t="str">
        <f t="array" ref="E7560">XLOOKUP(A7560,'Fintech, Regulatory Arbitrage, '!A:A,'Fintech, Regulatory Arbitrage, '!C:C,"")</f>
        <v/>
      </c>
    </row>
    <row r="7561">
      <c r="A7561" s="1" t="s">
        <v>7581</v>
      </c>
      <c r="B7561" s="2">
        <v>1.0</v>
      </c>
      <c r="C7561" s="4"/>
      <c r="E7561" s="4" t="str">
        <f t="array" ref="E7561">XLOOKUP(A7561,'Fintech, Regulatory Arbitrage, '!A:A,'Fintech, Regulatory Arbitrage, '!C:C,"")</f>
        <v/>
      </c>
    </row>
    <row r="7562">
      <c r="A7562" s="1" t="s">
        <v>7582</v>
      </c>
      <c r="B7562" s="2">
        <v>1.0</v>
      </c>
      <c r="C7562" s="4"/>
      <c r="E7562" s="4" t="str">
        <f t="array" ref="E7562">XLOOKUP(A7562,'Fintech, Regulatory Arbitrage, '!A:A,'Fintech, Regulatory Arbitrage, '!C:C,"")</f>
        <v/>
      </c>
    </row>
    <row r="7563">
      <c r="A7563" s="1" t="s">
        <v>7583</v>
      </c>
      <c r="B7563" s="2">
        <v>1.0</v>
      </c>
      <c r="C7563" s="4"/>
      <c r="E7563" s="4" t="str">
        <f t="array" ref="E7563">XLOOKUP(A7563,'Fintech, Regulatory Arbitrage, '!A:A,'Fintech, Regulatory Arbitrage, '!C:C,"")</f>
        <v/>
      </c>
    </row>
    <row r="7564">
      <c r="A7564" s="1" t="s">
        <v>7584</v>
      </c>
      <c r="B7564" s="2">
        <v>1.0</v>
      </c>
      <c r="C7564" s="4"/>
      <c r="E7564" s="4" t="str">
        <f t="array" ref="E7564">XLOOKUP(A7564,'Fintech, Regulatory Arbitrage, '!A:A,'Fintech, Regulatory Arbitrage, '!C:C,"")</f>
        <v/>
      </c>
    </row>
    <row r="7565">
      <c r="A7565" s="1" t="s">
        <v>7585</v>
      </c>
      <c r="B7565" s="2">
        <v>1.0</v>
      </c>
      <c r="C7565" s="4"/>
      <c r="E7565" s="4" t="str">
        <f t="array" ref="E7565">XLOOKUP(A7565,'Fintech, Regulatory Arbitrage, '!A:A,'Fintech, Regulatory Arbitrage, '!C:C,"")</f>
        <v/>
      </c>
    </row>
    <row r="7566">
      <c r="A7566" s="1" t="s">
        <v>7586</v>
      </c>
      <c r="B7566" s="2">
        <v>1.0</v>
      </c>
      <c r="C7566" s="4"/>
      <c r="E7566" s="4" t="str">
        <f t="array" ref="E7566">XLOOKUP(A7566,'Fintech, Regulatory Arbitrage, '!A:A,'Fintech, Regulatory Arbitrage, '!C:C,"")</f>
        <v/>
      </c>
    </row>
    <row r="7567">
      <c r="A7567" s="1" t="s">
        <v>7587</v>
      </c>
      <c r="B7567" s="2">
        <v>1.0</v>
      </c>
      <c r="C7567" s="4"/>
      <c r="E7567" s="4" t="str">
        <f t="array" ref="E7567">XLOOKUP(A7567,'Fintech, Regulatory Arbitrage, '!A:A,'Fintech, Regulatory Arbitrage, '!C:C,"")</f>
        <v/>
      </c>
    </row>
    <row r="7568">
      <c r="A7568" s="1" t="s">
        <v>7588</v>
      </c>
      <c r="B7568" s="2">
        <v>1.0</v>
      </c>
      <c r="C7568" s="4"/>
      <c r="E7568" s="4" t="str">
        <f t="array" ref="E7568">XLOOKUP(A7568,'Fintech, Regulatory Arbitrage, '!A:A,'Fintech, Regulatory Arbitrage, '!C:C,"")</f>
        <v/>
      </c>
    </row>
    <row r="7569">
      <c r="A7569" s="1" t="s">
        <v>7589</v>
      </c>
      <c r="B7569" s="2">
        <v>1.0</v>
      </c>
      <c r="C7569" s="4"/>
      <c r="E7569" s="4" t="str">
        <f t="array" ref="E7569">XLOOKUP(A7569,'Fintech, Regulatory Arbitrage, '!A:A,'Fintech, Regulatory Arbitrage, '!C:C,"")</f>
        <v/>
      </c>
    </row>
    <row r="7570">
      <c r="A7570" s="1" t="s">
        <v>7590</v>
      </c>
      <c r="B7570" s="2">
        <v>1.0</v>
      </c>
      <c r="C7570" s="4"/>
      <c r="E7570" s="4" t="str">
        <f t="array" ref="E7570">XLOOKUP(A7570,'Fintech, Regulatory Arbitrage, '!A:A,'Fintech, Regulatory Arbitrage, '!C:C,"")</f>
        <v/>
      </c>
    </row>
    <row r="7571">
      <c r="A7571" s="1" t="s">
        <v>7591</v>
      </c>
      <c r="B7571" s="2">
        <v>1.0</v>
      </c>
      <c r="C7571" s="4"/>
      <c r="E7571" s="4" t="str">
        <f t="array" ref="E7571">XLOOKUP(A7571,'Fintech, Regulatory Arbitrage, '!A:A,'Fintech, Regulatory Arbitrage, '!C:C,"")</f>
        <v/>
      </c>
    </row>
    <row r="7572">
      <c r="A7572" s="1" t="s">
        <v>7592</v>
      </c>
      <c r="B7572" s="2">
        <v>1.0</v>
      </c>
      <c r="C7572" s="4"/>
      <c r="E7572" s="4" t="str">
        <f t="array" ref="E7572">XLOOKUP(A7572,'Fintech, Regulatory Arbitrage, '!A:A,'Fintech, Regulatory Arbitrage, '!C:C,"")</f>
        <v/>
      </c>
    </row>
    <row r="7573">
      <c r="A7573" s="1" t="s">
        <v>7593</v>
      </c>
      <c r="B7573" s="2">
        <v>1.0</v>
      </c>
      <c r="C7573" s="4"/>
      <c r="E7573" s="4" t="str">
        <f t="array" ref="E7573">XLOOKUP(A7573,'Fintech, Regulatory Arbitrage, '!A:A,'Fintech, Regulatory Arbitrage, '!C:C,"")</f>
        <v/>
      </c>
    </row>
    <row r="7574">
      <c r="A7574" s="1" t="s">
        <v>7594</v>
      </c>
      <c r="B7574" s="2">
        <v>1.0</v>
      </c>
      <c r="C7574" s="4"/>
      <c r="E7574" s="4" t="str">
        <f t="array" ref="E7574">XLOOKUP(A7574,'Fintech, Regulatory Arbitrage, '!A:A,'Fintech, Regulatory Arbitrage, '!C:C,"")</f>
        <v/>
      </c>
    </row>
    <row r="7575">
      <c r="A7575" s="1" t="s">
        <v>7595</v>
      </c>
      <c r="B7575" s="2">
        <v>1.0</v>
      </c>
      <c r="C7575" s="4"/>
      <c r="E7575" s="4" t="str">
        <f t="array" ref="E7575">XLOOKUP(A7575,'Fintech, Regulatory Arbitrage, '!A:A,'Fintech, Regulatory Arbitrage, '!C:C,"")</f>
        <v/>
      </c>
    </row>
    <row r="7576">
      <c r="A7576" s="1" t="s">
        <v>7596</v>
      </c>
      <c r="B7576" s="2">
        <v>1.0</v>
      </c>
      <c r="C7576" s="4"/>
      <c r="E7576" s="4" t="str">
        <f t="array" ref="E7576">XLOOKUP(A7576,'Fintech, Regulatory Arbitrage, '!A:A,'Fintech, Regulatory Arbitrage, '!C:C,"")</f>
        <v/>
      </c>
    </row>
    <row r="7577">
      <c r="A7577" s="1" t="s">
        <v>7597</v>
      </c>
      <c r="B7577" s="2">
        <v>1.0</v>
      </c>
      <c r="C7577" s="4"/>
      <c r="E7577" s="4" t="str">
        <f t="array" ref="E7577">XLOOKUP(A7577,'Fintech, Regulatory Arbitrage, '!A:A,'Fintech, Regulatory Arbitrage, '!C:C,"")</f>
        <v/>
      </c>
    </row>
    <row r="7578">
      <c r="A7578" s="1" t="s">
        <v>7598</v>
      </c>
      <c r="B7578" s="2">
        <v>1.0</v>
      </c>
      <c r="C7578" s="4"/>
      <c r="E7578" s="4" t="str">
        <f t="array" ref="E7578">XLOOKUP(A7578,'Fintech, Regulatory Arbitrage, '!A:A,'Fintech, Regulatory Arbitrage, '!C:C,"")</f>
        <v/>
      </c>
    </row>
    <row r="7579">
      <c r="A7579" s="1" t="s">
        <v>7599</v>
      </c>
      <c r="B7579" s="2">
        <v>1.0</v>
      </c>
      <c r="C7579" s="4"/>
      <c r="E7579" s="4" t="str">
        <f t="array" ref="E7579">XLOOKUP(A7579,'Fintech, Regulatory Arbitrage, '!A:A,'Fintech, Regulatory Arbitrage, '!C:C,"")</f>
        <v/>
      </c>
    </row>
    <row r="7580">
      <c r="A7580" s="1" t="s">
        <v>7600</v>
      </c>
      <c r="B7580" s="2">
        <v>1.0</v>
      </c>
      <c r="C7580" s="4"/>
      <c r="E7580" s="4" t="str">
        <f t="array" ref="E7580">XLOOKUP(A7580,'Fintech, Regulatory Arbitrage, '!A:A,'Fintech, Regulatory Arbitrage, '!C:C,"")</f>
        <v/>
      </c>
    </row>
    <row r="7581">
      <c r="A7581" s="1" t="s">
        <v>7601</v>
      </c>
      <c r="B7581" s="2">
        <v>1.0</v>
      </c>
      <c r="C7581" s="4"/>
      <c r="E7581" s="4" t="str">
        <f t="array" ref="E7581">XLOOKUP(A7581,'Fintech, Regulatory Arbitrage, '!A:A,'Fintech, Regulatory Arbitrage, '!C:C,"")</f>
        <v/>
      </c>
    </row>
    <row r="7582">
      <c r="A7582" s="1" t="s">
        <v>7602</v>
      </c>
      <c r="B7582" s="2">
        <v>1.0</v>
      </c>
      <c r="C7582" s="4"/>
      <c r="E7582" s="4" t="str">
        <f t="array" ref="E7582">XLOOKUP(A7582,'Fintech, Regulatory Arbitrage, '!A:A,'Fintech, Regulatory Arbitrage, '!C:C,"")</f>
        <v/>
      </c>
    </row>
    <row r="7583">
      <c r="A7583" s="1" t="s">
        <v>7603</v>
      </c>
      <c r="B7583" s="2">
        <v>1.0</v>
      </c>
      <c r="C7583" s="4"/>
      <c r="E7583" s="4" t="str">
        <f t="array" ref="E7583">XLOOKUP(A7583,'Fintech, Regulatory Arbitrage, '!A:A,'Fintech, Regulatory Arbitrage, '!C:C,"")</f>
        <v/>
      </c>
    </row>
    <row r="7584">
      <c r="A7584" s="1" t="s">
        <v>7604</v>
      </c>
      <c r="B7584" s="2">
        <v>1.0</v>
      </c>
      <c r="C7584" s="4"/>
      <c r="E7584" s="4" t="str">
        <f t="array" ref="E7584">XLOOKUP(A7584,'Fintech, Regulatory Arbitrage, '!A:A,'Fintech, Regulatory Arbitrage, '!C:C,"")</f>
        <v/>
      </c>
    </row>
    <row r="7585">
      <c r="A7585" s="1" t="s">
        <v>7605</v>
      </c>
      <c r="B7585" s="2">
        <v>1.0</v>
      </c>
      <c r="C7585" s="4"/>
      <c r="E7585" s="4" t="str">
        <f t="array" ref="E7585">XLOOKUP(A7585,'Fintech, Regulatory Arbitrage, '!A:A,'Fintech, Regulatory Arbitrage, '!C:C,"")</f>
        <v/>
      </c>
    </row>
    <row r="7586">
      <c r="A7586" s="1" t="s">
        <v>7606</v>
      </c>
      <c r="B7586" s="2">
        <v>1.0</v>
      </c>
      <c r="C7586" s="4"/>
      <c r="E7586" s="4" t="str">
        <f t="array" ref="E7586">XLOOKUP(A7586,'Fintech, Regulatory Arbitrage, '!A:A,'Fintech, Regulatory Arbitrage, '!C:C,"")</f>
        <v/>
      </c>
    </row>
    <row r="7587">
      <c r="A7587" s="1" t="s">
        <v>7607</v>
      </c>
      <c r="B7587" s="2">
        <v>1.0</v>
      </c>
      <c r="C7587" s="4"/>
      <c r="E7587" s="4" t="str">
        <f t="array" ref="E7587">XLOOKUP(A7587,'Fintech, Regulatory Arbitrage, '!A:A,'Fintech, Regulatory Arbitrage, '!C:C,"")</f>
        <v/>
      </c>
    </row>
    <row r="7588">
      <c r="A7588" s="1" t="s">
        <v>7608</v>
      </c>
      <c r="B7588" s="2">
        <v>1.0</v>
      </c>
      <c r="C7588" s="4"/>
      <c r="E7588" s="4" t="str">
        <f t="array" ref="E7588">XLOOKUP(A7588,'Fintech, Regulatory Arbitrage, '!A:A,'Fintech, Regulatory Arbitrage, '!C:C,"")</f>
        <v/>
      </c>
    </row>
    <row r="7589">
      <c r="A7589" s="1" t="s">
        <v>7609</v>
      </c>
      <c r="B7589" s="2">
        <v>1.0</v>
      </c>
      <c r="C7589" s="4"/>
      <c r="E7589" s="4" t="str">
        <f t="array" ref="E7589">XLOOKUP(A7589,'Fintech, Regulatory Arbitrage, '!A:A,'Fintech, Regulatory Arbitrage, '!C:C,"")</f>
        <v/>
      </c>
    </row>
    <row r="7590">
      <c r="A7590" s="1" t="s">
        <v>7610</v>
      </c>
      <c r="B7590" s="2">
        <v>1.0</v>
      </c>
      <c r="C7590" s="4"/>
      <c r="E7590" s="4" t="str">
        <f t="array" ref="E7590">XLOOKUP(A7590,'Fintech, Regulatory Arbitrage, '!A:A,'Fintech, Regulatory Arbitrage, '!C:C,"")</f>
        <v/>
      </c>
    </row>
    <row r="7591">
      <c r="A7591" s="1" t="s">
        <v>7611</v>
      </c>
      <c r="B7591" s="2">
        <v>1.0</v>
      </c>
      <c r="C7591" s="4"/>
      <c r="E7591" s="4" t="str">
        <f t="array" ref="E7591">XLOOKUP(A7591,'Fintech, Regulatory Arbitrage, '!A:A,'Fintech, Regulatory Arbitrage, '!C:C,"")</f>
        <v/>
      </c>
    </row>
    <row r="7592">
      <c r="A7592" s="1" t="s">
        <v>7612</v>
      </c>
      <c r="B7592" s="2">
        <v>1.0</v>
      </c>
      <c r="C7592" s="4"/>
      <c r="E7592" s="4" t="str">
        <f t="array" ref="E7592">XLOOKUP(A7592,'Fintech, Regulatory Arbitrage, '!A:A,'Fintech, Regulatory Arbitrage, '!C:C,"")</f>
        <v/>
      </c>
    </row>
    <row r="7593">
      <c r="A7593" s="1" t="s">
        <v>7613</v>
      </c>
      <c r="B7593" s="2">
        <v>1.0</v>
      </c>
      <c r="C7593" s="4"/>
      <c r="E7593" s="4" t="str">
        <f t="array" ref="E7593">XLOOKUP(A7593,'Fintech, Regulatory Arbitrage, '!A:A,'Fintech, Regulatory Arbitrage, '!C:C,"")</f>
        <v/>
      </c>
    </row>
    <row r="7594">
      <c r="A7594" s="1" t="s">
        <v>7614</v>
      </c>
      <c r="B7594" s="2">
        <v>1.0</v>
      </c>
      <c r="C7594" s="4"/>
      <c r="E7594" s="4" t="str">
        <f t="array" ref="E7594">XLOOKUP(A7594,'Fintech, Regulatory Arbitrage, '!A:A,'Fintech, Regulatory Arbitrage, '!C:C,"")</f>
        <v/>
      </c>
    </row>
    <row r="7595">
      <c r="A7595" s="1" t="s">
        <v>7615</v>
      </c>
      <c r="B7595" s="2">
        <v>1.0</v>
      </c>
      <c r="C7595" s="4"/>
      <c r="E7595" s="4" t="str">
        <f t="array" ref="E7595">XLOOKUP(A7595,'Fintech, Regulatory Arbitrage, '!A:A,'Fintech, Regulatory Arbitrage, '!C:C,"")</f>
        <v/>
      </c>
    </row>
    <row r="7596">
      <c r="A7596" s="1" t="s">
        <v>7616</v>
      </c>
      <c r="B7596" s="2">
        <v>1.0</v>
      </c>
      <c r="C7596" s="4"/>
      <c r="E7596" s="4" t="str">
        <f t="array" ref="E7596">XLOOKUP(A7596,'Fintech, Regulatory Arbitrage, '!A:A,'Fintech, Regulatory Arbitrage, '!C:C,"")</f>
        <v/>
      </c>
    </row>
    <row r="7597">
      <c r="A7597" s="1" t="s">
        <v>7617</v>
      </c>
      <c r="B7597" s="2">
        <v>1.0</v>
      </c>
      <c r="C7597" s="4"/>
      <c r="E7597" s="4" t="str">
        <f t="array" ref="E7597">XLOOKUP(A7597,'Fintech, Regulatory Arbitrage, '!A:A,'Fintech, Regulatory Arbitrage, '!C:C,"")</f>
        <v/>
      </c>
    </row>
    <row r="7598">
      <c r="A7598" s="1" t="s">
        <v>7618</v>
      </c>
      <c r="B7598" s="2">
        <v>1.0</v>
      </c>
      <c r="C7598" s="4"/>
      <c r="E7598" s="4" t="str">
        <f t="array" ref="E7598">XLOOKUP(A7598,'Fintech, Regulatory Arbitrage, '!A:A,'Fintech, Regulatory Arbitrage, '!C:C,"")</f>
        <v/>
      </c>
    </row>
    <row r="7599">
      <c r="A7599" s="1" t="s">
        <v>7619</v>
      </c>
      <c r="B7599" s="2">
        <v>1.0</v>
      </c>
      <c r="C7599" s="4"/>
      <c r="E7599" s="4" t="str">
        <f t="array" ref="E7599">XLOOKUP(A7599,'Fintech, Regulatory Arbitrage, '!A:A,'Fintech, Regulatory Arbitrage, '!C:C,"")</f>
        <v/>
      </c>
    </row>
    <row r="7600">
      <c r="A7600" s="1" t="s">
        <v>7620</v>
      </c>
      <c r="B7600" s="2">
        <v>1.0</v>
      </c>
      <c r="C7600" s="4"/>
      <c r="E7600" s="4" t="str">
        <f t="array" ref="E7600">XLOOKUP(A7600,'Fintech, Regulatory Arbitrage, '!A:A,'Fintech, Regulatory Arbitrage, '!C:C,"")</f>
        <v/>
      </c>
    </row>
    <row r="7601">
      <c r="A7601" s="1" t="s">
        <v>7621</v>
      </c>
      <c r="B7601" s="2">
        <v>1.0</v>
      </c>
      <c r="C7601" s="4"/>
      <c r="E7601" s="4" t="str">
        <f t="array" ref="E7601">XLOOKUP(A7601,'Fintech, Regulatory Arbitrage, '!A:A,'Fintech, Regulatory Arbitrage, '!C:C,"")</f>
        <v/>
      </c>
    </row>
    <row r="7602">
      <c r="A7602" s="1" t="s">
        <v>7622</v>
      </c>
      <c r="B7602" s="2">
        <v>1.0</v>
      </c>
      <c r="C7602" s="4"/>
      <c r="E7602" s="4" t="str">
        <f t="array" ref="E7602">XLOOKUP(A7602,'Fintech, Regulatory Arbitrage, '!A:A,'Fintech, Regulatory Arbitrage, '!C:C,"")</f>
        <v/>
      </c>
    </row>
    <row r="7603">
      <c r="A7603" s="1" t="s">
        <v>7623</v>
      </c>
      <c r="B7603" s="2">
        <v>1.0</v>
      </c>
      <c r="C7603" s="4"/>
      <c r="E7603" s="4" t="str">
        <f t="array" ref="E7603">XLOOKUP(A7603,'Fintech, Regulatory Arbitrage, '!A:A,'Fintech, Regulatory Arbitrage, '!C:C,"")</f>
        <v/>
      </c>
    </row>
    <row r="7604">
      <c r="A7604" s="1" t="s">
        <v>7624</v>
      </c>
      <c r="B7604" s="2">
        <v>1.0</v>
      </c>
      <c r="C7604" s="4"/>
      <c r="E7604" s="4" t="str">
        <f t="array" ref="E7604">XLOOKUP(A7604,'Fintech, Regulatory Arbitrage, '!A:A,'Fintech, Regulatory Arbitrage, '!C:C,"")</f>
        <v/>
      </c>
    </row>
    <row r="7605">
      <c r="A7605" s="1" t="s">
        <v>7625</v>
      </c>
      <c r="B7605" s="2">
        <v>1.0</v>
      </c>
      <c r="C7605" s="4"/>
      <c r="E7605" s="4" t="str">
        <f t="array" ref="E7605">XLOOKUP(A7605,'Fintech, Regulatory Arbitrage, '!A:A,'Fintech, Regulatory Arbitrage, '!C:C,"")</f>
        <v/>
      </c>
    </row>
    <row r="7606">
      <c r="A7606" s="1" t="s">
        <v>7626</v>
      </c>
      <c r="B7606" s="2">
        <v>1.0</v>
      </c>
      <c r="C7606" s="4"/>
      <c r="E7606" s="4" t="str">
        <f t="array" ref="E7606">XLOOKUP(A7606,'Fintech, Regulatory Arbitrage, '!A:A,'Fintech, Regulatory Arbitrage, '!C:C,"")</f>
        <v/>
      </c>
    </row>
    <row r="7607">
      <c r="A7607" s="1" t="s">
        <v>7627</v>
      </c>
      <c r="B7607" s="2">
        <v>1.0</v>
      </c>
      <c r="C7607" s="4"/>
      <c r="E7607" s="4" t="str">
        <f t="array" ref="E7607">XLOOKUP(A7607,'Fintech, Regulatory Arbitrage, '!A:A,'Fintech, Regulatory Arbitrage, '!C:C,"")</f>
        <v/>
      </c>
    </row>
    <row r="7608">
      <c r="A7608" s="1" t="s">
        <v>7628</v>
      </c>
      <c r="B7608" s="2">
        <v>1.0</v>
      </c>
      <c r="C7608" s="4"/>
      <c r="E7608" s="4" t="str">
        <f t="array" ref="E7608">XLOOKUP(A7608,'Fintech, Regulatory Arbitrage, '!A:A,'Fintech, Regulatory Arbitrage, '!C:C,"")</f>
        <v/>
      </c>
    </row>
    <row r="7609">
      <c r="A7609" s="1" t="s">
        <v>7629</v>
      </c>
      <c r="B7609" s="2">
        <v>1.0</v>
      </c>
      <c r="C7609" s="4"/>
      <c r="E7609" s="4" t="str">
        <f t="array" ref="E7609">XLOOKUP(A7609,'Fintech, Regulatory Arbitrage, '!A:A,'Fintech, Regulatory Arbitrage, '!C:C,"")</f>
        <v/>
      </c>
    </row>
    <row r="7610">
      <c r="A7610" s="1" t="s">
        <v>7630</v>
      </c>
      <c r="B7610" s="2">
        <v>1.0</v>
      </c>
      <c r="C7610" s="4"/>
      <c r="E7610" s="4" t="str">
        <f t="array" ref="E7610">XLOOKUP(A7610,'Fintech, Regulatory Arbitrage, '!A:A,'Fintech, Regulatory Arbitrage, '!C:C,"")</f>
        <v/>
      </c>
    </row>
    <row r="7611">
      <c r="A7611" s="1" t="s">
        <v>7631</v>
      </c>
      <c r="B7611" s="2">
        <v>1.0</v>
      </c>
      <c r="C7611" s="4"/>
      <c r="E7611" s="4" t="str">
        <f t="array" ref="E7611">XLOOKUP(A7611,'Fintech, Regulatory Arbitrage, '!A:A,'Fintech, Regulatory Arbitrage, '!C:C,"")</f>
        <v/>
      </c>
    </row>
    <row r="7612">
      <c r="A7612" s="1" t="s">
        <v>7632</v>
      </c>
      <c r="B7612" s="2">
        <v>1.0</v>
      </c>
      <c r="C7612" s="4"/>
      <c r="E7612" s="4" t="str">
        <f t="array" ref="E7612">XLOOKUP(A7612,'Fintech, Regulatory Arbitrage, '!A:A,'Fintech, Regulatory Arbitrage, '!C:C,"")</f>
        <v/>
      </c>
    </row>
    <row r="7613">
      <c r="A7613" s="1" t="s">
        <v>7633</v>
      </c>
      <c r="B7613" s="2">
        <v>1.0</v>
      </c>
      <c r="C7613" s="4"/>
      <c r="E7613" s="4" t="str">
        <f t="array" ref="E7613">XLOOKUP(A7613,'Fintech, Regulatory Arbitrage, '!A:A,'Fintech, Regulatory Arbitrage, '!C:C,"")</f>
        <v/>
      </c>
    </row>
    <row r="7614">
      <c r="A7614" s="1" t="s">
        <v>7634</v>
      </c>
      <c r="B7614" s="2">
        <v>1.0</v>
      </c>
      <c r="C7614" s="4"/>
      <c r="E7614" s="4" t="str">
        <f t="array" ref="E7614">XLOOKUP(A7614,'Fintech, Regulatory Arbitrage, '!A:A,'Fintech, Regulatory Arbitrage, '!C:C,"")</f>
        <v/>
      </c>
    </row>
    <row r="7615">
      <c r="A7615" s="1" t="s">
        <v>7635</v>
      </c>
      <c r="B7615" s="2">
        <v>1.0</v>
      </c>
      <c r="C7615" s="4"/>
      <c r="E7615" s="4" t="str">
        <f t="array" ref="E7615">XLOOKUP(A7615,'Fintech, Regulatory Arbitrage, '!A:A,'Fintech, Regulatory Arbitrage, '!C:C,"")</f>
        <v/>
      </c>
    </row>
    <row r="7616">
      <c r="A7616" s="1" t="s">
        <v>7636</v>
      </c>
      <c r="B7616" s="2">
        <v>1.0</v>
      </c>
      <c r="C7616" s="4"/>
      <c r="E7616" s="4" t="str">
        <f t="array" ref="E7616">XLOOKUP(A7616,'Fintech, Regulatory Arbitrage, '!A:A,'Fintech, Regulatory Arbitrage, '!C:C,"")</f>
        <v/>
      </c>
    </row>
    <row r="7617">
      <c r="A7617" s="1" t="s">
        <v>7637</v>
      </c>
      <c r="B7617" s="2">
        <v>1.0</v>
      </c>
      <c r="C7617" s="4"/>
      <c r="E7617" s="4" t="str">
        <f t="array" ref="E7617">XLOOKUP(A7617,'Fintech, Regulatory Arbitrage, '!A:A,'Fintech, Regulatory Arbitrage, '!C:C,"")</f>
        <v/>
      </c>
    </row>
    <row r="7618">
      <c r="A7618" s="1" t="s">
        <v>7638</v>
      </c>
      <c r="B7618" s="2">
        <v>1.0</v>
      </c>
      <c r="C7618" s="4"/>
      <c r="E7618" s="4" t="str">
        <f t="array" ref="E7618">XLOOKUP(A7618,'Fintech, Regulatory Arbitrage, '!A:A,'Fintech, Regulatory Arbitrage, '!C:C,"")</f>
        <v/>
      </c>
    </row>
    <row r="7619">
      <c r="A7619" s="1" t="s">
        <v>7639</v>
      </c>
      <c r="B7619" s="2">
        <v>1.0</v>
      </c>
      <c r="C7619" s="4"/>
      <c r="E7619" s="4" t="str">
        <f t="array" ref="E7619">XLOOKUP(A7619,'Fintech, Regulatory Arbitrage, '!A:A,'Fintech, Regulatory Arbitrage, '!C:C,"")</f>
        <v/>
      </c>
    </row>
    <row r="7620">
      <c r="A7620" s="1" t="s">
        <v>7640</v>
      </c>
      <c r="B7620" s="2">
        <v>1.0</v>
      </c>
      <c r="C7620" s="4"/>
      <c r="E7620" s="4" t="str">
        <f t="array" ref="E7620">XLOOKUP(A7620,'Fintech, Regulatory Arbitrage, '!A:A,'Fintech, Regulatory Arbitrage, '!C:C,"")</f>
        <v/>
      </c>
    </row>
    <row r="7621">
      <c r="A7621" s="1" t="s">
        <v>7641</v>
      </c>
      <c r="B7621" s="2">
        <v>1.0</v>
      </c>
      <c r="C7621" s="4"/>
      <c r="E7621" s="4" t="str">
        <f t="array" ref="E7621">XLOOKUP(A7621,'Fintech, Regulatory Arbitrage, '!A:A,'Fintech, Regulatory Arbitrage, '!C:C,"")</f>
        <v/>
      </c>
    </row>
    <row r="7622">
      <c r="A7622" s="1" t="s">
        <v>7642</v>
      </c>
      <c r="B7622" s="2">
        <v>1.0</v>
      </c>
      <c r="C7622" s="4"/>
      <c r="E7622" s="4" t="str">
        <f t="array" ref="E7622">XLOOKUP(A7622,'Fintech, Regulatory Arbitrage, '!A:A,'Fintech, Regulatory Arbitrage, '!C:C,"")</f>
        <v/>
      </c>
    </row>
    <row r="7623">
      <c r="A7623" s="1" t="s">
        <v>7643</v>
      </c>
      <c r="B7623" s="2">
        <v>1.0</v>
      </c>
      <c r="C7623" s="4"/>
      <c r="E7623" s="4" t="str">
        <f t="array" ref="E7623">XLOOKUP(A7623,'Fintech, Regulatory Arbitrage, '!A:A,'Fintech, Regulatory Arbitrage, '!C:C,"")</f>
        <v/>
      </c>
    </row>
    <row r="7624">
      <c r="A7624" s="1" t="s">
        <v>7644</v>
      </c>
      <c r="B7624" s="2">
        <v>1.0</v>
      </c>
      <c r="C7624" s="4"/>
      <c r="E7624" s="4" t="str">
        <f t="array" ref="E7624">XLOOKUP(A7624,'Fintech, Regulatory Arbitrage, '!A:A,'Fintech, Regulatory Arbitrage, '!C:C,"")</f>
        <v/>
      </c>
    </row>
    <row r="7625">
      <c r="A7625" s="1" t="s">
        <v>7645</v>
      </c>
      <c r="B7625" s="2">
        <v>1.0</v>
      </c>
      <c r="C7625" s="4"/>
      <c r="E7625" s="4" t="str">
        <f t="array" ref="E7625">XLOOKUP(A7625,'Fintech, Regulatory Arbitrage, '!A:A,'Fintech, Regulatory Arbitrage, '!C:C,"")</f>
        <v/>
      </c>
    </row>
    <row r="7626">
      <c r="A7626" s="1" t="s">
        <v>7646</v>
      </c>
      <c r="B7626" s="2">
        <v>1.0</v>
      </c>
      <c r="C7626" s="4"/>
      <c r="E7626" s="4" t="str">
        <f t="array" ref="E7626">XLOOKUP(A7626,'Fintech, Regulatory Arbitrage, '!A:A,'Fintech, Regulatory Arbitrage, '!C:C,"")</f>
        <v/>
      </c>
    </row>
    <row r="7627">
      <c r="A7627" s="1" t="s">
        <v>7647</v>
      </c>
      <c r="B7627" s="2">
        <v>1.0</v>
      </c>
      <c r="C7627" s="4"/>
      <c r="E7627" s="4" t="str">
        <f t="array" ref="E7627">XLOOKUP(A7627,'Fintech, Regulatory Arbitrage, '!A:A,'Fintech, Regulatory Arbitrage, '!C:C,"")</f>
        <v/>
      </c>
    </row>
    <row r="7628">
      <c r="A7628" s="1" t="s">
        <v>7648</v>
      </c>
      <c r="B7628" s="2">
        <v>1.0</v>
      </c>
      <c r="C7628" s="4"/>
      <c r="E7628" s="4" t="str">
        <f t="array" ref="E7628">XLOOKUP(A7628,'Fintech, Regulatory Arbitrage, '!A:A,'Fintech, Regulatory Arbitrage, '!C:C,"")</f>
        <v/>
      </c>
    </row>
    <row r="7629">
      <c r="A7629" s="1" t="s">
        <v>7649</v>
      </c>
      <c r="B7629" s="2">
        <v>1.0</v>
      </c>
      <c r="C7629" s="4"/>
      <c r="E7629" s="4" t="str">
        <f t="array" ref="E7629">XLOOKUP(A7629,'Fintech, Regulatory Arbitrage, '!A:A,'Fintech, Regulatory Arbitrage, '!C:C,"")</f>
        <v/>
      </c>
    </row>
    <row r="7630">
      <c r="A7630" s="1" t="s">
        <v>7650</v>
      </c>
      <c r="B7630" s="2">
        <v>1.0</v>
      </c>
      <c r="C7630" s="4"/>
      <c r="E7630" s="4" t="str">
        <f t="array" ref="E7630">XLOOKUP(A7630,'Fintech, Regulatory Arbitrage, '!A:A,'Fintech, Regulatory Arbitrage, '!C:C,"")</f>
        <v/>
      </c>
    </row>
    <row r="7631">
      <c r="A7631" s="1" t="s">
        <v>7651</v>
      </c>
      <c r="B7631" s="2">
        <v>1.0</v>
      </c>
      <c r="C7631" s="4"/>
      <c r="E7631" s="4" t="str">
        <f t="array" ref="E7631">XLOOKUP(A7631,'Fintech, Regulatory Arbitrage, '!A:A,'Fintech, Regulatory Arbitrage, '!C:C,"")</f>
        <v/>
      </c>
    </row>
    <row r="7632">
      <c r="A7632" s="1" t="s">
        <v>7652</v>
      </c>
      <c r="B7632" s="2">
        <v>1.0</v>
      </c>
      <c r="C7632" s="4"/>
      <c r="E7632" s="4" t="str">
        <f t="array" ref="E7632">XLOOKUP(A7632,'Fintech, Regulatory Arbitrage, '!A:A,'Fintech, Regulatory Arbitrage, '!C:C,"")</f>
        <v/>
      </c>
    </row>
    <row r="7633">
      <c r="A7633" s="1" t="s">
        <v>7653</v>
      </c>
      <c r="B7633" s="2">
        <v>1.0</v>
      </c>
      <c r="C7633" s="4"/>
      <c r="E7633" s="4" t="str">
        <f t="array" ref="E7633">XLOOKUP(A7633,'Fintech, Regulatory Arbitrage, '!A:A,'Fintech, Regulatory Arbitrage, '!C:C,"")</f>
        <v/>
      </c>
    </row>
    <row r="7634">
      <c r="A7634" s="1" t="s">
        <v>7654</v>
      </c>
      <c r="B7634" s="2">
        <v>1.0</v>
      </c>
      <c r="C7634" s="4"/>
      <c r="E7634" s="4" t="str">
        <f t="array" ref="E7634">XLOOKUP(A7634,'Fintech, Regulatory Arbitrage, '!A:A,'Fintech, Regulatory Arbitrage, '!C:C,"")</f>
        <v/>
      </c>
    </row>
    <row r="7635">
      <c r="A7635" s="1" t="s">
        <v>7655</v>
      </c>
      <c r="B7635" s="2">
        <v>1.0</v>
      </c>
      <c r="C7635" s="4"/>
      <c r="E7635" s="4" t="str">
        <f t="array" ref="E7635">XLOOKUP(A7635,'Fintech, Regulatory Arbitrage, '!A:A,'Fintech, Regulatory Arbitrage, '!C:C,"")</f>
        <v/>
      </c>
    </row>
    <row r="7636">
      <c r="A7636" s="1" t="s">
        <v>7656</v>
      </c>
      <c r="B7636" s="2">
        <v>1.0</v>
      </c>
      <c r="C7636" s="4"/>
      <c r="E7636" s="4" t="str">
        <f t="array" ref="E7636">XLOOKUP(A7636,'Fintech, Regulatory Arbitrage, '!A:A,'Fintech, Regulatory Arbitrage, '!C:C,"")</f>
        <v/>
      </c>
    </row>
    <row r="7637">
      <c r="A7637" s="1" t="s">
        <v>7657</v>
      </c>
      <c r="B7637" s="2">
        <v>1.0</v>
      </c>
      <c r="C7637" s="4"/>
      <c r="E7637" s="4" t="str">
        <f t="array" ref="E7637">XLOOKUP(A7637,'Fintech, Regulatory Arbitrage, '!A:A,'Fintech, Regulatory Arbitrage, '!C:C,"")</f>
        <v/>
      </c>
    </row>
    <row r="7638">
      <c r="A7638" s="1" t="s">
        <v>7658</v>
      </c>
      <c r="B7638" s="2">
        <v>1.0</v>
      </c>
      <c r="C7638" s="4"/>
      <c r="E7638" s="4" t="str">
        <f t="array" ref="E7638">XLOOKUP(A7638,'Fintech, Regulatory Arbitrage, '!A:A,'Fintech, Regulatory Arbitrage, '!C:C,"")</f>
        <v/>
      </c>
    </row>
    <row r="7639">
      <c r="A7639" s="1" t="s">
        <v>7659</v>
      </c>
      <c r="B7639" s="2">
        <v>1.0</v>
      </c>
      <c r="C7639" s="4"/>
      <c r="E7639" s="4" t="str">
        <f t="array" ref="E7639">XLOOKUP(A7639,'Fintech, Regulatory Arbitrage, '!A:A,'Fintech, Regulatory Arbitrage, '!C:C,"")</f>
        <v/>
      </c>
    </row>
    <row r="7640">
      <c r="A7640" s="1" t="s">
        <v>7660</v>
      </c>
      <c r="B7640" s="2">
        <v>1.0</v>
      </c>
      <c r="C7640" s="4"/>
      <c r="E7640" s="4" t="str">
        <f t="array" ref="E7640">XLOOKUP(A7640,'Fintech, Regulatory Arbitrage, '!A:A,'Fintech, Regulatory Arbitrage, '!C:C,"")</f>
        <v/>
      </c>
    </row>
    <row r="7641">
      <c r="A7641" s="1" t="s">
        <v>7661</v>
      </c>
      <c r="B7641" s="2">
        <v>1.0</v>
      </c>
      <c r="C7641" s="4"/>
      <c r="E7641" s="4" t="str">
        <f t="array" ref="E7641">XLOOKUP(A7641,'Fintech, Regulatory Arbitrage, '!A:A,'Fintech, Regulatory Arbitrage, '!C:C,"")</f>
        <v/>
      </c>
    </row>
    <row r="7642">
      <c r="A7642" s="1" t="s">
        <v>7662</v>
      </c>
      <c r="B7642" s="2">
        <v>1.0</v>
      </c>
      <c r="C7642" s="4"/>
      <c r="E7642" s="4" t="str">
        <f t="array" ref="E7642">XLOOKUP(A7642,'Fintech, Regulatory Arbitrage, '!A:A,'Fintech, Regulatory Arbitrage, '!C:C,"")</f>
        <v/>
      </c>
    </row>
    <row r="7643">
      <c r="A7643" s="1" t="s">
        <v>7663</v>
      </c>
      <c r="B7643" s="2">
        <v>1.0</v>
      </c>
      <c r="C7643" s="4"/>
      <c r="E7643" s="4" t="str">
        <f t="array" ref="E7643">XLOOKUP(A7643,'Fintech, Regulatory Arbitrage, '!A:A,'Fintech, Regulatory Arbitrage, '!C:C,"")</f>
        <v/>
      </c>
    </row>
    <row r="7644">
      <c r="A7644" s="1" t="s">
        <v>7664</v>
      </c>
      <c r="B7644" s="2">
        <v>1.0</v>
      </c>
      <c r="C7644" s="4"/>
      <c r="E7644" s="4" t="str">
        <f t="array" ref="E7644">XLOOKUP(A7644,'Fintech, Regulatory Arbitrage, '!A:A,'Fintech, Regulatory Arbitrage, '!C:C,"")</f>
        <v/>
      </c>
    </row>
    <row r="7645">
      <c r="A7645" s="1" t="s">
        <v>7665</v>
      </c>
      <c r="B7645" s="2">
        <v>1.0</v>
      </c>
      <c r="C7645" s="4"/>
      <c r="E7645" s="4" t="str">
        <f t="array" ref="E7645">XLOOKUP(A7645,'Fintech, Regulatory Arbitrage, '!A:A,'Fintech, Regulatory Arbitrage, '!C:C,"")</f>
        <v/>
      </c>
    </row>
    <row r="7646">
      <c r="A7646" s="1" t="s">
        <v>7666</v>
      </c>
      <c r="B7646" s="2">
        <v>1.0</v>
      </c>
      <c r="C7646" s="4"/>
      <c r="E7646" s="4" t="str">
        <f t="array" ref="E7646">XLOOKUP(A7646,'Fintech, Regulatory Arbitrage, '!A:A,'Fintech, Regulatory Arbitrage, '!C:C,"")</f>
        <v/>
      </c>
    </row>
    <row r="7647">
      <c r="A7647" s="1" t="s">
        <v>7667</v>
      </c>
      <c r="B7647" s="2">
        <v>1.0</v>
      </c>
      <c r="C7647" s="4"/>
      <c r="E7647" s="4" t="str">
        <f t="array" ref="E7647">XLOOKUP(A7647,'Fintech, Regulatory Arbitrage, '!A:A,'Fintech, Regulatory Arbitrage, '!C:C,"")</f>
        <v/>
      </c>
    </row>
    <row r="7648">
      <c r="A7648" s="1" t="s">
        <v>7668</v>
      </c>
      <c r="B7648" s="2">
        <v>1.0</v>
      </c>
      <c r="C7648" s="4"/>
      <c r="E7648" s="4" t="str">
        <f t="array" ref="E7648">XLOOKUP(A7648,'Fintech, Regulatory Arbitrage, '!A:A,'Fintech, Regulatory Arbitrage, '!C:C,"")</f>
        <v/>
      </c>
    </row>
    <row r="7649">
      <c r="A7649" s="1" t="s">
        <v>7669</v>
      </c>
      <c r="B7649" s="2">
        <v>1.0</v>
      </c>
      <c r="C7649" s="4"/>
      <c r="E7649" s="4" t="str">
        <f t="array" ref="E7649">XLOOKUP(A7649,'Fintech, Regulatory Arbitrage, '!A:A,'Fintech, Regulatory Arbitrage, '!C:C,"")</f>
        <v/>
      </c>
    </row>
    <row r="7650">
      <c r="A7650" s="1" t="s">
        <v>7670</v>
      </c>
      <c r="B7650" s="2">
        <v>1.0</v>
      </c>
      <c r="C7650" s="4"/>
      <c r="E7650" s="4" t="str">
        <f t="array" ref="E7650">XLOOKUP(A7650,'Fintech, Regulatory Arbitrage, '!A:A,'Fintech, Regulatory Arbitrage, '!C:C,"")</f>
        <v/>
      </c>
    </row>
    <row r="7651">
      <c r="A7651" s="1" t="s">
        <v>7671</v>
      </c>
      <c r="B7651" s="2">
        <v>1.0</v>
      </c>
      <c r="C7651" s="4"/>
      <c r="E7651" s="4" t="str">
        <f t="array" ref="E7651">XLOOKUP(A7651,'Fintech, Regulatory Arbitrage, '!A:A,'Fintech, Regulatory Arbitrage, '!C:C,"")</f>
        <v/>
      </c>
    </row>
    <row r="7652">
      <c r="A7652" s="1" t="s">
        <v>7672</v>
      </c>
      <c r="B7652" s="2">
        <v>1.0</v>
      </c>
      <c r="C7652" s="4"/>
      <c r="E7652" s="4" t="str">
        <f t="array" ref="E7652">XLOOKUP(A7652,'Fintech, Regulatory Arbitrage, '!A:A,'Fintech, Regulatory Arbitrage, '!C:C,"")</f>
        <v/>
      </c>
    </row>
    <row r="7653">
      <c r="A7653" s="1" t="s">
        <v>7673</v>
      </c>
      <c r="B7653" s="2">
        <v>1.0</v>
      </c>
      <c r="C7653" s="4"/>
      <c r="E7653" s="4" t="str">
        <f t="array" ref="E7653">XLOOKUP(A7653,'Fintech, Regulatory Arbitrage, '!A:A,'Fintech, Regulatory Arbitrage, '!C:C,"")</f>
        <v/>
      </c>
    </row>
    <row r="7654">
      <c r="A7654" s="1" t="s">
        <v>7674</v>
      </c>
      <c r="B7654" s="2">
        <v>1.0</v>
      </c>
      <c r="C7654" s="4"/>
      <c r="E7654" s="4" t="str">
        <f t="array" ref="E7654">XLOOKUP(A7654,'Fintech, Regulatory Arbitrage, '!A:A,'Fintech, Regulatory Arbitrage, '!C:C,"")</f>
        <v/>
      </c>
    </row>
    <row r="7655">
      <c r="A7655" s="1" t="s">
        <v>7675</v>
      </c>
      <c r="B7655" s="2">
        <v>1.0</v>
      </c>
      <c r="C7655" s="4"/>
      <c r="E7655" s="4" t="str">
        <f t="array" ref="E7655">XLOOKUP(A7655,'Fintech, Regulatory Arbitrage, '!A:A,'Fintech, Regulatory Arbitrage, '!C:C,"")</f>
        <v/>
      </c>
    </row>
    <row r="7656">
      <c r="A7656" s="1" t="s">
        <v>7676</v>
      </c>
      <c r="B7656" s="2">
        <v>1.0</v>
      </c>
      <c r="C7656" s="4"/>
      <c r="E7656" s="4" t="str">
        <f t="array" ref="E7656">XLOOKUP(A7656,'Fintech, Regulatory Arbitrage, '!A:A,'Fintech, Regulatory Arbitrage, '!C:C,"")</f>
        <v/>
      </c>
    </row>
    <row r="7657">
      <c r="A7657" s="1" t="s">
        <v>7677</v>
      </c>
      <c r="B7657" s="2">
        <v>1.0</v>
      </c>
      <c r="C7657" s="4"/>
      <c r="E7657" s="4" t="str">
        <f t="array" ref="E7657">XLOOKUP(A7657,'Fintech, Regulatory Arbitrage, '!A:A,'Fintech, Regulatory Arbitrage, '!C:C,"")</f>
        <v/>
      </c>
    </row>
    <row r="7658">
      <c r="A7658" s="1" t="s">
        <v>7678</v>
      </c>
      <c r="B7658" s="2">
        <v>1.0</v>
      </c>
      <c r="C7658" s="4"/>
      <c r="E7658" s="4" t="str">
        <f t="array" ref="E7658">XLOOKUP(A7658,'Fintech, Regulatory Arbitrage, '!A:A,'Fintech, Regulatory Arbitrage, '!C:C,"")</f>
        <v/>
      </c>
    </row>
    <row r="7659">
      <c r="A7659" s="1" t="s">
        <v>7679</v>
      </c>
      <c r="B7659" s="2">
        <v>1.0</v>
      </c>
      <c r="C7659" s="4"/>
      <c r="E7659" s="4" t="str">
        <f t="array" ref="E7659">XLOOKUP(A7659,'Fintech, Regulatory Arbitrage, '!A:A,'Fintech, Regulatory Arbitrage, '!C:C,"")</f>
        <v/>
      </c>
    </row>
    <row r="7660">
      <c r="A7660" s="1" t="s">
        <v>7680</v>
      </c>
      <c r="B7660" s="2">
        <v>1.0</v>
      </c>
      <c r="C7660" s="4"/>
      <c r="E7660" s="4" t="str">
        <f t="array" ref="E7660">XLOOKUP(A7660,'Fintech, Regulatory Arbitrage, '!A:A,'Fintech, Regulatory Arbitrage, '!C:C,"")</f>
        <v/>
      </c>
    </row>
    <row r="7661">
      <c r="A7661" s="1" t="s">
        <v>7681</v>
      </c>
      <c r="B7661" s="2">
        <v>1.0</v>
      </c>
      <c r="C7661" s="4"/>
      <c r="E7661" s="4" t="str">
        <f t="array" ref="E7661">XLOOKUP(A7661,'Fintech, Regulatory Arbitrage, '!A:A,'Fintech, Regulatory Arbitrage, '!C:C,"")</f>
        <v/>
      </c>
    </row>
    <row r="7662">
      <c r="A7662" s="1" t="s">
        <v>7682</v>
      </c>
      <c r="B7662" s="2">
        <v>1.0</v>
      </c>
      <c r="C7662" s="4"/>
      <c r="E7662" s="4" t="str">
        <f t="array" ref="E7662">XLOOKUP(A7662,'Fintech, Regulatory Arbitrage, '!A:A,'Fintech, Regulatory Arbitrage, '!C:C,"")</f>
        <v/>
      </c>
    </row>
    <row r="7663">
      <c r="A7663" s="1" t="s">
        <v>7683</v>
      </c>
      <c r="B7663" s="2">
        <v>1.0</v>
      </c>
      <c r="C7663" s="4"/>
      <c r="E7663" s="4" t="str">
        <f t="array" ref="E7663">XLOOKUP(A7663,'Fintech, Regulatory Arbitrage, '!A:A,'Fintech, Regulatory Arbitrage, '!C:C,"")</f>
        <v/>
      </c>
    </row>
    <row r="7664">
      <c r="A7664" s="1" t="s">
        <v>7684</v>
      </c>
      <c r="B7664" s="2">
        <v>1.0</v>
      </c>
      <c r="C7664" s="4"/>
      <c r="E7664" s="4" t="str">
        <f t="array" ref="E7664">XLOOKUP(A7664,'Fintech, Regulatory Arbitrage, '!A:A,'Fintech, Regulatory Arbitrage, '!C:C,"")</f>
        <v/>
      </c>
    </row>
    <row r="7665">
      <c r="A7665" s="1" t="s">
        <v>7685</v>
      </c>
      <c r="B7665" s="2">
        <v>1.0</v>
      </c>
      <c r="C7665" s="4"/>
      <c r="E7665" s="4" t="str">
        <f t="array" ref="E7665">XLOOKUP(A7665,'Fintech, Regulatory Arbitrage, '!A:A,'Fintech, Regulatory Arbitrage, '!C:C,"")</f>
        <v/>
      </c>
    </row>
    <row r="7666">
      <c r="A7666" s="1" t="s">
        <v>7686</v>
      </c>
      <c r="B7666" s="2">
        <v>1.0</v>
      </c>
      <c r="C7666" s="4"/>
      <c r="E7666" s="4" t="str">
        <f t="array" ref="E7666">XLOOKUP(A7666,'Fintech, Regulatory Arbitrage, '!A:A,'Fintech, Regulatory Arbitrage, '!C:C,"")</f>
        <v/>
      </c>
    </row>
    <row r="7667">
      <c r="A7667" s="1" t="s">
        <v>7687</v>
      </c>
      <c r="B7667" s="2">
        <v>1.0</v>
      </c>
      <c r="C7667" s="4"/>
      <c r="E7667" s="4" t="str">
        <f t="array" ref="E7667">XLOOKUP(A7667,'Fintech, Regulatory Arbitrage, '!A:A,'Fintech, Regulatory Arbitrage, '!C:C,"")</f>
        <v/>
      </c>
    </row>
    <row r="7668">
      <c r="A7668" s="1" t="s">
        <v>7688</v>
      </c>
      <c r="B7668" s="2">
        <v>1.0</v>
      </c>
      <c r="C7668" s="4"/>
      <c r="E7668" s="4" t="str">
        <f t="array" ref="E7668">XLOOKUP(A7668,'Fintech, Regulatory Arbitrage, '!A:A,'Fintech, Regulatory Arbitrage, '!C:C,"")</f>
        <v/>
      </c>
    </row>
    <row r="7669">
      <c r="A7669" s="1" t="s">
        <v>7689</v>
      </c>
      <c r="B7669" s="2">
        <v>1.0</v>
      </c>
      <c r="C7669" s="4"/>
      <c r="E7669" s="4" t="str">
        <f t="array" ref="E7669">XLOOKUP(A7669,'Fintech, Regulatory Arbitrage, '!A:A,'Fintech, Regulatory Arbitrage, '!C:C,"")</f>
        <v/>
      </c>
    </row>
    <row r="7670">
      <c r="A7670" s="1" t="s">
        <v>7690</v>
      </c>
      <c r="B7670" s="2">
        <v>1.0</v>
      </c>
      <c r="C7670" s="4"/>
      <c r="E7670" s="4" t="str">
        <f t="array" ref="E7670">XLOOKUP(A7670,'Fintech, Regulatory Arbitrage, '!A:A,'Fintech, Regulatory Arbitrage, '!C:C,"")</f>
        <v/>
      </c>
    </row>
    <row r="7671">
      <c r="A7671" s="1" t="s">
        <v>7691</v>
      </c>
      <c r="B7671" s="2">
        <v>1.0</v>
      </c>
      <c r="C7671" s="4"/>
      <c r="E7671" s="4" t="str">
        <f t="array" ref="E7671">XLOOKUP(A7671,'Fintech, Regulatory Arbitrage, '!A:A,'Fintech, Regulatory Arbitrage, '!C:C,"")</f>
        <v/>
      </c>
    </row>
    <row r="7672">
      <c r="A7672" s="1" t="s">
        <v>7692</v>
      </c>
      <c r="B7672" s="2">
        <v>1.0</v>
      </c>
      <c r="C7672" s="4"/>
      <c r="E7672" s="4" t="str">
        <f t="array" ref="E7672">XLOOKUP(A7672,'Fintech, Regulatory Arbitrage, '!A:A,'Fintech, Regulatory Arbitrage, '!C:C,"")</f>
        <v/>
      </c>
    </row>
    <row r="7673">
      <c r="A7673" s="1" t="s">
        <v>7693</v>
      </c>
      <c r="B7673" s="2">
        <v>1.0</v>
      </c>
      <c r="C7673" s="4"/>
      <c r="E7673" s="4" t="str">
        <f t="array" ref="E7673">XLOOKUP(A7673,'Fintech, Regulatory Arbitrage, '!A:A,'Fintech, Regulatory Arbitrage, '!C:C,"")</f>
        <v/>
      </c>
    </row>
    <row r="7674">
      <c r="A7674" s="1" t="s">
        <v>7694</v>
      </c>
      <c r="B7674" s="2">
        <v>1.0</v>
      </c>
      <c r="C7674" s="4"/>
      <c r="E7674" s="4" t="str">
        <f t="array" ref="E7674">XLOOKUP(A7674,'Fintech, Regulatory Arbitrage, '!A:A,'Fintech, Regulatory Arbitrage, '!C:C,"")</f>
        <v/>
      </c>
    </row>
    <row r="7675">
      <c r="A7675" s="1" t="s">
        <v>7695</v>
      </c>
      <c r="B7675" s="2">
        <v>1.0</v>
      </c>
      <c r="C7675" s="4"/>
      <c r="E7675" s="4" t="str">
        <f t="array" ref="E7675">XLOOKUP(A7675,'Fintech, Regulatory Arbitrage, '!A:A,'Fintech, Regulatory Arbitrage, '!C:C,"")</f>
        <v/>
      </c>
    </row>
    <row r="7676">
      <c r="A7676" s="1" t="s">
        <v>7696</v>
      </c>
      <c r="B7676" s="2">
        <v>1.0</v>
      </c>
      <c r="C7676" s="4"/>
      <c r="E7676" s="4" t="str">
        <f t="array" ref="E7676">XLOOKUP(A7676,'Fintech, Regulatory Arbitrage, '!A:A,'Fintech, Regulatory Arbitrage, '!C:C,"")</f>
        <v/>
      </c>
    </row>
    <row r="7677">
      <c r="A7677" s="1" t="s">
        <v>7697</v>
      </c>
      <c r="B7677" s="2">
        <v>1.0</v>
      </c>
      <c r="C7677" s="4"/>
      <c r="E7677" s="4" t="str">
        <f t="array" ref="E7677">XLOOKUP(A7677,'Fintech, Regulatory Arbitrage, '!A:A,'Fintech, Regulatory Arbitrage, '!C:C,"")</f>
        <v/>
      </c>
    </row>
    <row r="7678">
      <c r="A7678" s="1" t="s">
        <v>7698</v>
      </c>
      <c r="B7678" s="2">
        <v>1.0</v>
      </c>
      <c r="C7678" s="4"/>
      <c r="E7678" s="4" t="str">
        <f t="array" ref="E7678">XLOOKUP(A7678,'Fintech, Regulatory Arbitrage, '!A:A,'Fintech, Regulatory Arbitrage, '!C:C,"")</f>
        <v/>
      </c>
    </row>
    <row r="7679">
      <c r="A7679" s="1" t="s">
        <v>7699</v>
      </c>
      <c r="B7679" s="2">
        <v>1.0</v>
      </c>
      <c r="C7679" s="4"/>
      <c r="E7679" s="4" t="str">
        <f t="array" ref="E7679">XLOOKUP(A7679,'Fintech, Regulatory Arbitrage, '!A:A,'Fintech, Regulatory Arbitrage, '!C:C,"")</f>
        <v/>
      </c>
    </row>
    <row r="7680">
      <c r="A7680" s="1" t="s">
        <v>7700</v>
      </c>
      <c r="B7680" s="2">
        <v>1.0</v>
      </c>
      <c r="C7680" s="4"/>
      <c r="E7680" s="4" t="str">
        <f t="array" ref="E7680">XLOOKUP(A7680,'Fintech, Regulatory Arbitrage, '!A:A,'Fintech, Regulatory Arbitrage, '!C:C,"")</f>
        <v/>
      </c>
    </row>
    <row r="7681">
      <c r="A7681" s="1" t="s">
        <v>7701</v>
      </c>
      <c r="B7681" s="2">
        <v>1.0</v>
      </c>
      <c r="C7681" s="4"/>
      <c r="E7681" s="4" t="str">
        <f t="array" ref="E7681">XLOOKUP(A7681,'Fintech, Regulatory Arbitrage, '!A:A,'Fintech, Regulatory Arbitrage, '!C:C,"")</f>
        <v/>
      </c>
    </row>
    <row r="7682">
      <c r="A7682" s="1" t="s">
        <v>7702</v>
      </c>
      <c r="B7682" s="2">
        <v>1.0</v>
      </c>
      <c r="C7682" s="4"/>
      <c r="E7682" s="4" t="str">
        <f t="array" ref="E7682">XLOOKUP(A7682,'Fintech, Regulatory Arbitrage, '!A:A,'Fintech, Regulatory Arbitrage, '!C:C,"")</f>
        <v/>
      </c>
    </row>
    <row r="7683">
      <c r="A7683" s="1" t="s">
        <v>7703</v>
      </c>
      <c r="B7683" s="2">
        <v>1.0</v>
      </c>
      <c r="C7683" s="4"/>
      <c r="E7683" s="4" t="str">
        <f t="array" ref="E7683">XLOOKUP(A7683,'Fintech, Regulatory Arbitrage, '!A:A,'Fintech, Regulatory Arbitrage, '!C:C,"")</f>
        <v/>
      </c>
    </row>
    <row r="7684">
      <c r="A7684" s="1" t="s">
        <v>7704</v>
      </c>
      <c r="B7684" s="2">
        <v>1.0</v>
      </c>
      <c r="C7684" s="4"/>
      <c r="E7684" s="4" t="str">
        <f t="array" ref="E7684">XLOOKUP(A7684,'Fintech, Regulatory Arbitrage, '!A:A,'Fintech, Regulatory Arbitrage, '!C:C,"")</f>
        <v/>
      </c>
    </row>
    <row r="7685">
      <c r="A7685" s="1" t="s">
        <v>7705</v>
      </c>
      <c r="B7685" s="2">
        <v>1.0</v>
      </c>
      <c r="C7685" s="4"/>
      <c r="E7685" s="4" t="str">
        <f t="array" ref="E7685">XLOOKUP(A7685,'Fintech, Regulatory Arbitrage, '!A:A,'Fintech, Regulatory Arbitrage, '!C:C,"")</f>
        <v/>
      </c>
    </row>
    <row r="7686">
      <c r="A7686" s="1" t="s">
        <v>7706</v>
      </c>
      <c r="B7686" s="2">
        <v>1.0</v>
      </c>
      <c r="C7686" s="4"/>
      <c r="E7686" s="4" t="str">
        <f t="array" ref="E7686">XLOOKUP(A7686,'Fintech, Regulatory Arbitrage, '!A:A,'Fintech, Regulatory Arbitrage, '!C:C,"")</f>
        <v/>
      </c>
    </row>
    <row r="7687">
      <c r="A7687" s="1" t="s">
        <v>7707</v>
      </c>
      <c r="B7687" s="2">
        <v>1.0</v>
      </c>
      <c r="C7687" s="4"/>
      <c r="E7687" s="4" t="str">
        <f t="array" ref="E7687">XLOOKUP(A7687,'Fintech, Regulatory Arbitrage, '!A:A,'Fintech, Regulatory Arbitrage, '!C:C,"")</f>
        <v/>
      </c>
    </row>
    <row r="7688">
      <c r="A7688" s="1" t="s">
        <v>7708</v>
      </c>
      <c r="B7688" s="2">
        <v>1.0</v>
      </c>
      <c r="C7688" s="4"/>
      <c r="E7688" s="4" t="str">
        <f t="array" ref="E7688">XLOOKUP(A7688,'Fintech, Regulatory Arbitrage, '!A:A,'Fintech, Regulatory Arbitrage, '!C:C,"")</f>
        <v/>
      </c>
    </row>
    <row r="7689">
      <c r="A7689" s="1" t="s">
        <v>7709</v>
      </c>
      <c r="B7689" s="2">
        <v>1.0</v>
      </c>
      <c r="C7689" s="4"/>
      <c r="E7689" s="4" t="str">
        <f t="array" ref="E7689">XLOOKUP(A7689,'Fintech, Regulatory Arbitrage, '!A:A,'Fintech, Regulatory Arbitrage, '!C:C,"")</f>
        <v/>
      </c>
    </row>
    <row r="7690">
      <c r="A7690" s="1" t="s">
        <v>7710</v>
      </c>
      <c r="B7690" s="2">
        <v>1.0</v>
      </c>
      <c r="C7690" s="4"/>
      <c r="E7690" s="4" t="str">
        <f t="array" ref="E7690">XLOOKUP(A7690,'Fintech, Regulatory Arbitrage, '!A:A,'Fintech, Regulatory Arbitrage, '!C:C,"")</f>
        <v/>
      </c>
    </row>
    <row r="7691">
      <c r="A7691" s="1" t="s">
        <v>7711</v>
      </c>
      <c r="B7691" s="2">
        <v>1.0</v>
      </c>
      <c r="C7691" s="4"/>
      <c r="E7691" s="4" t="str">
        <f t="array" ref="E7691">XLOOKUP(A7691,'Fintech, Regulatory Arbitrage, '!A:A,'Fintech, Regulatory Arbitrage, '!C:C,"")</f>
        <v/>
      </c>
    </row>
    <row r="7692">
      <c r="A7692" s="1" t="s">
        <v>7712</v>
      </c>
      <c r="B7692" s="2">
        <v>1.0</v>
      </c>
      <c r="C7692" s="4"/>
      <c r="E7692" s="4" t="str">
        <f t="array" ref="E7692">XLOOKUP(A7692,'Fintech, Regulatory Arbitrage, '!A:A,'Fintech, Regulatory Arbitrage, '!C:C,"")</f>
        <v/>
      </c>
    </row>
    <row r="7693">
      <c r="A7693" s="1" t="s">
        <v>7713</v>
      </c>
      <c r="B7693" s="2">
        <v>1.0</v>
      </c>
      <c r="C7693" s="4"/>
      <c r="E7693" s="4" t="str">
        <f t="array" ref="E7693">XLOOKUP(A7693,'Fintech, Regulatory Arbitrage, '!A:A,'Fintech, Regulatory Arbitrage, '!C:C,"")</f>
        <v/>
      </c>
    </row>
    <row r="7694">
      <c r="A7694" s="1" t="s">
        <v>7714</v>
      </c>
      <c r="B7694" s="2">
        <v>1.0</v>
      </c>
      <c r="C7694" s="4"/>
      <c r="E7694" s="4" t="str">
        <f t="array" ref="E7694">XLOOKUP(A7694,'Fintech, Regulatory Arbitrage, '!A:A,'Fintech, Regulatory Arbitrage, '!C:C,"")</f>
        <v/>
      </c>
    </row>
    <row r="7695">
      <c r="A7695" s="1" t="s">
        <v>7715</v>
      </c>
      <c r="B7695" s="2">
        <v>1.0</v>
      </c>
      <c r="C7695" s="4"/>
      <c r="E7695" s="4" t="str">
        <f t="array" ref="E7695">XLOOKUP(A7695,'Fintech, Regulatory Arbitrage, '!A:A,'Fintech, Regulatory Arbitrage, '!C:C,"")</f>
        <v/>
      </c>
    </row>
    <row r="7696">
      <c r="A7696" s="1" t="s">
        <v>7716</v>
      </c>
      <c r="B7696" s="2">
        <v>1.0</v>
      </c>
      <c r="C7696" s="4"/>
      <c r="E7696" s="4" t="str">
        <f t="array" ref="E7696">XLOOKUP(A7696,'Fintech, Regulatory Arbitrage, '!A:A,'Fintech, Regulatory Arbitrage, '!C:C,"")</f>
        <v/>
      </c>
    </row>
    <row r="7697">
      <c r="A7697" s="1" t="s">
        <v>7717</v>
      </c>
      <c r="B7697" s="2">
        <v>1.0</v>
      </c>
      <c r="C7697" s="4"/>
      <c r="E7697" s="4" t="str">
        <f t="array" ref="E7697">XLOOKUP(A7697,'Fintech, Regulatory Arbitrage, '!A:A,'Fintech, Regulatory Arbitrage, '!C:C,"")</f>
        <v/>
      </c>
    </row>
    <row r="7698">
      <c r="A7698" s="1" t="s">
        <v>7718</v>
      </c>
      <c r="B7698" s="2">
        <v>1.0</v>
      </c>
      <c r="C7698" s="4"/>
      <c r="E7698" s="4" t="str">
        <f t="array" ref="E7698">XLOOKUP(A7698,'Fintech, Regulatory Arbitrage, '!A:A,'Fintech, Regulatory Arbitrage, '!C:C,"")</f>
        <v/>
      </c>
    </row>
    <row r="7699">
      <c r="A7699" s="1" t="s">
        <v>7719</v>
      </c>
      <c r="B7699" s="2">
        <v>1.0</v>
      </c>
      <c r="C7699" s="4"/>
      <c r="E7699" s="4" t="str">
        <f t="array" ref="E7699">XLOOKUP(A7699,'Fintech, Regulatory Arbitrage, '!A:A,'Fintech, Regulatory Arbitrage, '!C:C,"")</f>
        <v/>
      </c>
    </row>
    <row r="7700">
      <c r="A7700" s="1" t="s">
        <v>7720</v>
      </c>
      <c r="B7700" s="2">
        <v>1.0</v>
      </c>
      <c r="C7700" s="4"/>
      <c r="E7700" s="4" t="str">
        <f t="array" ref="E7700">XLOOKUP(A7700,'Fintech, Regulatory Arbitrage, '!A:A,'Fintech, Regulatory Arbitrage, '!C:C,"")</f>
        <v/>
      </c>
    </row>
    <row r="7701">
      <c r="A7701" s="1" t="s">
        <v>7721</v>
      </c>
      <c r="B7701" s="2">
        <v>1.0</v>
      </c>
      <c r="C7701" s="4"/>
      <c r="E7701" s="4" t="str">
        <f t="array" ref="E7701">XLOOKUP(A7701,'Fintech, Regulatory Arbitrage, '!A:A,'Fintech, Regulatory Arbitrage, '!C:C,"")</f>
        <v/>
      </c>
    </row>
    <row r="7702">
      <c r="A7702" s="1" t="s">
        <v>7722</v>
      </c>
      <c r="B7702" s="2">
        <v>1.0</v>
      </c>
      <c r="C7702" s="4"/>
      <c r="E7702" s="4" t="str">
        <f t="array" ref="E7702">XLOOKUP(A7702,'Fintech, Regulatory Arbitrage, '!A:A,'Fintech, Regulatory Arbitrage, '!C:C,"")</f>
        <v/>
      </c>
    </row>
    <row r="7703">
      <c r="A7703" s="1" t="s">
        <v>7723</v>
      </c>
      <c r="B7703" s="2">
        <v>1.0</v>
      </c>
      <c r="C7703" s="4"/>
      <c r="E7703" s="4" t="str">
        <f t="array" ref="E7703">XLOOKUP(A7703,'Fintech, Regulatory Arbitrage, '!A:A,'Fintech, Regulatory Arbitrage, '!C:C,"")</f>
        <v/>
      </c>
    </row>
    <row r="7704">
      <c r="A7704" s="1" t="s">
        <v>7724</v>
      </c>
      <c r="B7704" s="2">
        <v>1.0</v>
      </c>
      <c r="C7704" s="4"/>
      <c r="E7704" s="4" t="str">
        <f t="array" ref="E7704">XLOOKUP(A7704,'Fintech, Regulatory Arbitrage, '!A:A,'Fintech, Regulatory Arbitrage, '!C:C,"")</f>
        <v/>
      </c>
    </row>
    <row r="7705">
      <c r="A7705" s="1" t="s">
        <v>7725</v>
      </c>
      <c r="B7705" s="2">
        <v>1.0</v>
      </c>
      <c r="C7705" s="4"/>
      <c r="E7705" s="4" t="str">
        <f t="array" ref="E7705">XLOOKUP(A7705,'Fintech, Regulatory Arbitrage, '!A:A,'Fintech, Regulatory Arbitrage, '!C:C,"")</f>
        <v/>
      </c>
    </row>
    <row r="7706">
      <c r="A7706" s="1" t="s">
        <v>7726</v>
      </c>
      <c r="B7706" s="2">
        <v>1.0</v>
      </c>
      <c r="C7706" s="4"/>
      <c r="E7706" s="4" t="str">
        <f t="array" ref="E7706">XLOOKUP(A7706,'Fintech, Regulatory Arbitrage, '!A:A,'Fintech, Regulatory Arbitrage, '!C:C,"")</f>
        <v/>
      </c>
    </row>
    <row r="7707">
      <c r="A7707" s="1" t="s">
        <v>7727</v>
      </c>
      <c r="B7707" s="2">
        <v>1.0</v>
      </c>
      <c r="C7707" s="4"/>
      <c r="E7707" s="4" t="str">
        <f t="array" ref="E7707">XLOOKUP(A7707,'Fintech, Regulatory Arbitrage, '!A:A,'Fintech, Regulatory Arbitrage, '!C:C,"")</f>
        <v/>
      </c>
    </row>
    <row r="7708">
      <c r="A7708" s="1" t="s">
        <v>7728</v>
      </c>
      <c r="B7708" s="2">
        <v>1.0</v>
      </c>
      <c r="C7708" s="4"/>
      <c r="E7708" s="4" t="str">
        <f t="array" ref="E7708">XLOOKUP(A7708,'Fintech, Regulatory Arbitrage, '!A:A,'Fintech, Regulatory Arbitrage, '!C:C,"")</f>
        <v/>
      </c>
    </row>
    <row r="7709">
      <c r="A7709" s="1" t="s">
        <v>7729</v>
      </c>
      <c r="B7709" s="2">
        <v>1.0</v>
      </c>
      <c r="C7709" s="4"/>
      <c r="E7709" s="4" t="str">
        <f t="array" ref="E7709">XLOOKUP(A7709,'Fintech, Regulatory Arbitrage, '!A:A,'Fintech, Regulatory Arbitrage, '!C:C,"")</f>
        <v/>
      </c>
    </row>
    <row r="7710">
      <c r="A7710" s="1" t="s">
        <v>7730</v>
      </c>
      <c r="B7710" s="2">
        <v>1.0</v>
      </c>
      <c r="C7710" s="4"/>
      <c r="E7710" s="4" t="str">
        <f t="array" ref="E7710">XLOOKUP(A7710,'Fintech, Regulatory Arbitrage, '!A:A,'Fintech, Regulatory Arbitrage, '!C:C,"")</f>
        <v/>
      </c>
    </row>
    <row r="7711">
      <c r="A7711" s="1" t="s">
        <v>7731</v>
      </c>
      <c r="B7711" s="2">
        <v>1.0</v>
      </c>
      <c r="C7711" s="4"/>
      <c r="E7711" s="4" t="str">
        <f t="array" ref="E7711">XLOOKUP(A7711,'Fintech, Regulatory Arbitrage, '!A:A,'Fintech, Regulatory Arbitrage, '!C:C,"")</f>
        <v/>
      </c>
    </row>
    <row r="7712">
      <c r="A7712" s="1" t="s">
        <v>7732</v>
      </c>
      <c r="B7712" s="2">
        <v>1.0</v>
      </c>
      <c r="C7712" s="4"/>
      <c r="E7712" s="4" t="str">
        <f t="array" ref="E7712">XLOOKUP(A7712,'Fintech, Regulatory Arbitrage, '!A:A,'Fintech, Regulatory Arbitrage, '!C:C,"")</f>
        <v/>
      </c>
    </row>
    <row r="7713">
      <c r="A7713" s="1" t="s">
        <v>7733</v>
      </c>
      <c r="B7713" s="2">
        <v>1.0</v>
      </c>
      <c r="C7713" s="4"/>
      <c r="E7713" s="4" t="str">
        <f t="array" ref="E7713">XLOOKUP(A7713,'Fintech, Regulatory Arbitrage, '!A:A,'Fintech, Regulatory Arbitrage, '!C:C,"")</f>
        <v/>
      </c>
    </row>
    <row r="7714">
      <c r="A7714" s="1" t="s">
        <v>7734</v>
      </c>
      <c r="B7714" s="2">
        <v>1.0</v>
      </c>
      <c r="C7714" s="4"/>
      <c r="E7714" s="4" t="str">
        <f t="array" ref="E7714">XLOOKUP(A7714,'Fintech, Regulatory Arbitrage, '!A:A,'Fintech, Regulatory Arbitrage, '!C:C,"")</f>
        <v/>
      </c>
    </row>
    <row r="7715">
      <c r="A7715" s="1" t="s">
        <v>7735</v>
      </c>
      <c r="B7715" s="2">
        <v>1.0</v>
      </c>
      <c r="C7715" s="4"/>
      <c r="E7715" s="4" t="str">
        <f t="array" ref="E7715">XLOOKUP(A7715,'Fintech, Regulatory Arbitrage, '!A:A,'Fintech, Regulatory Arbitrage, '!C:C,"")</f>
        <v/>
      </c>
    </row>
    <row r="7716">
      <c r="A7716" s="1" t="s">
        <v>7736</v>
      </c>
      <c r="B7716" s="2">
        <v>1.0</v>
      </c>
      <c r="C7716" s="4"/>
      <c r="E7716" s="4" t="str">
        <f t="array" ref="E7716">XLOOKUP(A7716,'Fintech, Regulatory Arbitrage, '!A:A,'Fintech, Regulatory Arbitrage, '!C:C,"")</f>
        <v/>
      </c>
    </row>
    <row r="7717">
      <c r="A7717" s="1" t="s">
        <v>7737</v>
      </c>
      <c r="B7717" s="2">
        <v>1.0</v>
      </c>
      <c r="C7717" s="4"/>
      <c r="E7717" s="4" t="str">
        <f t="array" ref="E7717">XLOOKUP(A7717,'Fintech, Regulatory Arbitrage, '!A:A,'Fintech, Regulatory Arbitrage, '!C:C,"")</f>
        <v/>
      </c>
    </row>
    <row r="7718">
      <c r="A7718" s="1" t="s">
        <v>7738</v>
      </c>
      <c r="B7718" s="2">
        <v>1.0</v>
      </c>
      <c r="C7718" s="4"/>
      <c r="E7718" s="4" t="str">
        <f t="array" ref="E7718">XLOOKUP(A7718,'Fintech, Regulatory Arbitrage, '!A:A,'Fintech, Regulatory Arbitrage, '!C:C,"")</f>
        <v/>
      </c>
    </row>
    <row r="7719">
      <c r="A7719" s="1" t="s">
        <v>7739</v>
      </c>
      <c r="B7719" s="2">
        <v>1.0</v>
      </c>
      <c r="C7719" s="4"/>
      <c r="E7719" s="4" t="str">
        <f t="array" ref="E7719">XLOOKUP(A7719,'Fintech, Regulatory Arbitrage, '!A:A,'Fintech, Regulatory Arbitrage, '!C:C,"")</f>
        <v/>
      </c>
    </row>
    <row r="7720">
      <c r="A7720" s="1" t="s">
        <v>7740</v>
      </c>
      <c r="B7720" s="2">
        <v>1.0</v>
      </c>
      <c r="C7720" s="4"/>
      <c r="E7720" s="4" t="str">
        <f t="array" ref="E7720">XLOOKUP(A7720,'Fintech, Regulatory Arbitrage, '!A:A,'Fintech, Regulatory Arbitrage, '!C:C,"")</f>
        <v/>
      </c>
    </row>
    <row r="7721">
      <c r="A7721" s="1" t="s">
        <v>7741</v>
      </c>
      <c r="B7721" s="2">
        <v>1.0</v>
      </c>
      <c r="C7721" s="4"/>
      <c r="E7721" s="4" t="str">
        <f t="array" ref="E7721">XLOOKUP(A7721,'Fintech, Regulatory Arbitrage, '!A:A,'Fintech, Regulatory Arbitrage, '!C:C,"")</f>
        <v/>
      </c>
    </row>
    <row r="7722">
      <c r="A7722" s="1" t="s">
        <v>7742</v>
      </c>
      <c r="B7722" s="2">
        <v>1.0</v>
      </c>
      <c r="C7722" s="4"/>
      <c r="E7722" s="4" t="str">
        <f t="array" ref="E7722">XLOOKUP(A7722,'Fintech, Regulatory Arbitrage, '!A:A,'Fintech, Regulatory Arbitrage, '!C:C,"")</f>
        <v/>
      </c>
    </row>
    <row r="7723">
      <c r="A7723" s="1" t="s">
        <v>7743</v>
      </c>
      <c r="B7723" s="2">
        <v>1.0</v>
      </c>
      <c r="C7723" s="4"/>
      <c r="E7723" s="4" t="str">
        <f t="array" ref="E7723">XLOOKUP(A7723,'Fintech, Regulatory Arbitrage, '!A:A,'Fintech, Regulatory Arbitrage, '!C:C,"")</f>
        <v/>
      </c>
    </row>
    <row r="7724">
      <c r="A7724" s="1" t="s">
        <v>7744</v>
      </c>
      <c r="B7724" s="2">
        <v>1.0</v>
      </c>
      <c r="C7724" s="4"/>
      <c r="E7724" s="4" t="str">
        <f t="array" ref="E7724">XLOOKUP(A7724,'Fintech, Regulatory Arbitrage, '!A:A,'Fintech, Regulatory Arbitrage, '!C:C,"")</f>
        <v/>
      </c>
    </row>
    <row r="7725">
      <c r="A7725" s="1" t="s">
        <v>7745</v>
      </c>
      <c r="B7725" s="2">
        <v>1.0</v>
      </c>
      <c r="C7725" s="4"/>
      <c r="E7725" s="4" t="str">
        <f t="array" ref="E7725">XLOOKUP(A7725,'Fintech, Regulatory Arbitrage, '!A:A,'Fintech, Regulatory Arbitrage, '!C:C,"")</f>
        <v/>
      </c>
    </row>
    <row r="7726">
      <c r="A7726" s="1" t="s">
        <v>7746</v>
      </c>
      <c r="B7726" s="2">
        <v>1.0</v>
      </c>
      <c r="C7726" s="4"/>
      <c r="E7726" s="4" t="str">
        <f t="array" ref="E7726">XLOOKUP(A7726,'Fintech, Regulatory Arbitrage, '!A:A,'Fintech, Regulatory Arbitrage, '!C:C,"")</f>
        <v/>
      </c>
    </row>
    <row r="7727">
      <c r="A7727" s="1" t="s">
        <v>7747</v>
      </c>
      <c r="B7727" s="2">
        <v>1.0</v>
      </c>
      <c r="C7727" s="4"/>
      <c r="E7727" s="4" t="str">
        <f t="array" ref="E7727">XLOOKUP(A7727,'Fintech, Regulatory Arbitrage, '!A:A,'Fintech, Regulatory Arbitrage, '!C:C,"")</f>
        <v/>
      </c>
    </row>
    <row r="7728">
      <c r="A7728" s="1" t="s">
        <v>7748</v>
      </c>
      <c r="B7728" s="2">
        <v>1.0</v>
      </c>
      <c r="C7728" s="4"/>
      <c r="E7728" s="4" t="str">
        <f t="array" ref="E7728">XLOOKUP(A7728,'Fintech, Regulatory Arbitrage, '!A:A,'Fintech, Regulatory Arbitrage, '!C:C,"")</f>
        <v/>
      </c>
    </row>
    <row r="7729">
      <c r="A7729" s="1" t="s">
        <v>7749</v>
      </c>
      <c r="B7729" s="2">
        <v>1.0</v>
      </c>
      <c r="C7729" s="4"/>
      <c r="E7729" s="4" t="str">
        <f t="array" ref="E7729">XLOOKUP(A7729,'Fintech, Regulatory Arbitrage, '!A:A,'Fintech, Regulatory Arbitrage, '!C:C,"")</f>
        <v/>
      </c>
    </row>
    <row r="7730">
      <c r="A7730" s="1" t="s">
        <v>7750</v>
      </c>
      <c r="B7730" s="2">
        <v>1.0</v>
      </c>
      <c r="C7730" s="4"/>
      <c r="E7730" s="4" t="str">
        <f t="array" ref="E7730">XLOOKUP(A7730,'Fintech, Regulatory Arbitrage, '!A:A,'Fintech, Regulatory Arbitrage, '!C:C,"")</f>
        <v/>
      </c>
    </row>
    <row r="7731">
      <c r="A7731" s="1" t="s">
        <v>7751</v>
      </c>
      <c r="B7731" s="2">
        <v>1.0</v>
      </c>
      <c r="C7731" s="4"/>
      <c r="E7731" s="4" t="str">
        <f t="array" ref="E7731">XLOOKUP(A7731,'Fintech, Regulatory Arbitrage, '!A:A,'Fintech, Regulatory Arbitrage, '!C:C,"")</f>
        <v/>
      </c>
    </row>
    <row r="7732">
      <c r="A7732" s="1" t="s">
        <v>7752</v>
      </c>
      <c r="B7732" s="2">
        <v>1.0</v>
      </c>
      <c r="C7732" s="4"/>
      <c r="E7732" s="4" t="str">
        <f t="array" ref="E7732">XLOOKUP(A7732,'Fintech, Regulatory Arbitrage, '!A:A,'Fintech, Regulatory Arbitrage, '!C:C,"")</f>
        <v/>
      </c>
    </row>
    <row r="7733">
      <c r="A7733" s="1" t="s">
        <v>7753</v>
      </c>
      <c r="B7733" s="2">
        <v>1.0</v>
      </c>
      <c r="C7733" s="4"/>
      <c r="E7733" s="4" t="str">
        <f t="array" ref="E7733">XLOOKUP(A7733,'Fintech, Regulatory Arbitrage, '!A:A,'Fintech, Regulatory Arbitrage, '!C:C,"")</f>
        <v/>
      </c>
    </row>
    <row r="7734">
      <c r="A7734" s="1" t="s">
        <v>7754</v>
      </c>
      <c r="B7734" s="2">
        <v>1.0</v>
      </c>
      <c r="C7734" s="4"/>
      <c r="E7734" s="4" t="str">
        <f t="array" ref="E7734">XLOOKUP(A7734,'Fintech, Regulatory Arbitrage, '!A:A,'Fintech, Regulatory Arbitrage, '!C:C,"")</f>
        <v/>
      </c>
    </row>
    <row r="7735">
      <c r="A7735" s="1" t="s">
        <v>7755</v>
      </c>
      <c r="B7735" s="2">
        <v>1.0</v>
      </c>
      <c r="C7735" s="4"/>
      <c r="E7735" s="4" t="str">
        <f t="array" ref="E7735">XLOOKUP(A7735,'Fintech, Regulatory Arbitrage, '!A:A,'Fintech, Regulatory Arbitrage, '!C:C,"")</f>
        <v/>
      </c>
    </row>
    <row r="7736">
      <c r="A7736" s="1" t="s">
        <v>7756</v>
      </c>
      <c r="B7736" s="2">
        <v>1.0</v>
      </c>
      <c r="C7736" s="4"/>
      <c r="E7736" s="4" t="str">
        <f t="array" ref="E7736">XLOOKUP(A7736,'Fintech, Regulatory Arbitrage, '!A:A,'Fintech, Regulatory Arbitrage, '!C:C,"")</f>
        <v/>
      </c>
    </row>
    <row r="7737">
      <c r="A7737" s="1" t="s">
        <v>7757</v>
      </c>
      <c r="B7737" s="2">
        <v>1.0</v>
      </c>
      <c r="C7737" s="4"/>
      <c r="E7737" s="4" t="str">
        <f t="array" ref="E7737">XLOOKUP(A7737,'Fintech, Regulatory Arbitrage, '!A:A,'Fintech, Regulatory Arbitrage, '!C:C,"")</f>
        <v/>
      </c>
    </row>
    <row r="7738">
      <c r="A7738" s="1" t="s">
        <v>7758</v>
      </c>
      <c r="B7738" s="2">
        <v>1.0</v>
      </c>
      <c r="C7738" s="4"/>
      <c r="E7738" s="4" t="str">
        <f t="array" ref="E7738">XLOOKUP(A7738,'Fintech, Regulatory Arbitrage, '!A:A,'Fintech, Regulatory Arbitrage, '!C:C,"")</f>
        <v/>
      </c>
    </row>
    <row r="7739">
      <c r="A7739" s="1" t="s">
        <v>7759</v>
      </c>
      <c r="B7739" s="2">
        <v>1.0</v>
      </c>
      <c r="C7739" s="4"/>
      <c r="E7739" s="4" t="str">
        <f t="array" ref="E7739">XLOOKUP(A7739,'Fintech, Regulatory Arbitrage, '!A:A,'Fintech, Regulatory Arbitrage, '!C:C,"")</f>
        <v/>
      </c>
    </row>
    <row r="7740">
      <c r="A7740" s="1" t="s">
        <v>7760</v>
      </c>
      <c r="B7740" s="2">
        <v>1.0</v>
      </c>
      <c r="C7740" s="4"/>
      <c r="E7740" s="4" t="str">
        <f t="array" ref="E7740">XLOOKUP(A7740,'Fintech, Regulatory Arbitrage, '!A:A,'Fintech, Regulatory Arbitrage, '!C:C,"")</f>
        <v/>
      </c>
    </row>
    <row r="7741">
      <c r="A7741" s="1" t="s">
        <v>7761</v>
      </c>
      <c r="B7741" s="2">
        <v>1.0</v>
      </c>
      <c r="C7741" s="4"/>
      <c r="E7741" s="4" t="str">
        <f t="array" ref="E7741">XLOOKUP(A7741,'Fintech, Regulatory Arbitrage, '!A:A,'Fintech, Regulatory Arbitrage, '!C:C,"")</f>
        <v/>
      </c>
    </row>
    <row r="7742">
      <c r="A7742" s="1" t="s">
        <v>7762</v>
      </c>
      <c r="B7742" s="2">
        <v>1.0</v>
      </c>
      <c r="C7742" s="4"/>
      <c r="E7742" s="4" t="str">
        <f t="array" ref="E7742">XLOOKUP(A7742,'Fintech, Regulatory Arbitrage, '!A:A,'Fintech, Regulatory Arbitrage, '!C:C,"")</f>
        <v/>
      </c>
    </row>
    <row r="7743">
      <c r="A7743" s="1" t="s">
        <v>7763</v>
      </c>
      <c r="B7743" s="2">
        <v>1.0</v>
      </c>
      <c r="C7743" s="4"/>
      <c r="E7743" s="4" t="str">
        <f t="array" ref="E7743">XLOOKUP(A7743,'Fintech, Regulatory Arbitrage, '!A:A,'Fintech, Regulatory Arbitrage, '!C:C,"")</f>
        <v/>
      </c>
    </row>
    <row r="7744">
      <c r="A7744" s="1" t="s">
        <v>7764</v>
      </c>
      <c r="B7744" s="2">
        <v>1.0</v>
      </c>
      <c r="C7744" s="4"/>
      <c r="E7744" s="4" t="str">
        <f t="array" ref="E7744">XLOOKUP(A7744,'Fintech, Regulatory Arbitrage, '!A:A,'Fintech, Regulatory Arbitrage, '!C:C,"")</f>
        <v/>
      </c>
    </row>
    <row r="7745">
      <c r="A7745" s="1" t="s">
        <v>7765</v>
      </c>
      <c r="B7745" s="2">
        <v>1.0</v>
      </c>
      <c r="C7745" s="4"/>
      <c r="E7745" s="4" t="str">
        <f t="array" ref="E7745">XLOOKUP(A7745,'Fintech, Regulatory Arbitrage, '!A:A,'Fintech, Regulatory Arbitrage, '!C:C,"")</f>
        <v/>
      </c>
    </row>
    <row r="7746">
      <c r="A7746" s="1" t="s">
        <v>7766</v>
      </c>
      <c r="B7746" s="2">
        <v>1.0</v>
      </c>
      <c r="C7746" s="4"/>
      <c r="E7746" s="4" t="str">
        <f t="array" ref="E7746">XLOOKUP(A7746,'Fintech, Regulatory Arbitrage, '!A:A,'Fintech, Regulatory Arbitrage, '!C:C,"")</f>
        <v/>
      </c>
    </row>
    <row r="7747">
      <c r="A7747" s="1" t="s">
        <v>7767</v>
      </c>
      <c r="B7747" s="2">
        <v>1.0</v>
      </c>
      <c r="C7747" s="4"/>
      <c r="E7747" s="4" t="str">
        <f t="array" ref="E7747">XLOOKUP(A7747,'Fintech, Regulatory Arbitrage, '!A:A,'Fintech, Regulatory Arbitrage, '!C:C,"")</f>
        <v/>
      </c>
    </row>
    <row r="7748">
      <c r="A7748" s="1" t="s">
        <v>7768</v>
      </c>
      <c r="B7748" s="2">
        <v>1.0</v>
      </c>
      <c r="C7748" s="4"/>
      <c r="E7748" s="4" t="str">
        <f t="array" ref="E7748">XLOOKUP(A7748,'Fintech, Regulatory Arbitrage, '!A:A,'Fintech, Regulatory Arbitrage, '!C:C,"")</f>
        <v/>
      </c>
    </row>
    <row r="7749">
      <c r="A7749" s="1" t="s">
        <v>7769</v>
      </c>
      <c r="B7749" s="2">
        <v>1.0</v>
      </c>
      <c r="C7749" s="4"/>
      <c r="E7749" s="4" t="str">
        <f t="array" ref="E7749">XLOOKUP(A7749,'Fintech, Regulatory Arbitrage, '!A:A,'Fintech, Regulatory Arbitrage, '!C:C,"")</f>
        <v/>
      </c>
    </row>
    <row r="7750">
      <c r="A7750" s="1" t="s">
        <v>7770</v>
      </c>
      <c r="B7750" s="2">
        <v>1.0</v>
      </c>
      <c r="C7750" s="4"/>
      <c r="E7750" s="4" t="str">
        <f t="array" ref="E7750">XLOOKUP(A7750,'Fintech, Regulatory Arbitrage, '!A:A,'Fintech, Regulatory Arbitrage, '!C:C,"")</f>
        <v/>
      </c>
    </row>
    <row r="7751">
      <c r="A7751" s="1" t="s">
        <v>7771</v>
      </c>
      <c r="B7751" s="2">
        <v>1.0</v>
      </c>
      <c r="C7751" s="4"/>
      <c r="E7751" s="4" t="str">
        <f t="array" ref="E7751">XLOOKUP(A7751,'Fintech, Regulatory Arbitrage, '!A:A,'Fintech, Regulatory Arbitrage, '!C:C,"")</f>
        <v/>
      </c>
    </row>
    <row r="7752">
      <c r="A7752" s="1" t="s">
        <v>7772</v>
      </c>
      <c r="B7752" s="2">
        <v>1.0</v>
      </c>
      <c r="C7752" s="4"/>
      <c r="E7752" s="4" t="str">
        <f t="array" ref="E7752">XLOOKUP(A7752,'Fintech, Regulatory Arbitrage, '!A:A,'Fintech, Regulatory Arbitrage, '!C:C,"")</f>
        <v/>
      </c>
    </row>
    <row r="7753">
      <c r="A7753" s="1" t="s">
        <v>7773</v>
      </c>
      <c r="B7753" s="2">
        <v>1.0</v>
      </c>
      <c r="C7753" s="4"/>
      <c r="E7753" s="4" t="str">
        <f t="array" ref="E7753">XLOOKUP(A7753,'Fintech, Regulatory Arbitrage, '!A:A,'Fintech, Regulatory Arbitrage, '!C:C,"")</f>
        <v/>
      </c>
    </row>
    <row r="7754">
      <c r="A7754" s="1" t="s">
        <v>7774</v>
      </c>
      <c r="B7754" s="2">
        <v>1.0</v>
      </c>
      <c r="C7754" s="4"/>
      <c r="E7754" s="4" t="str">
        <f t="array" ref="E7754">XLOOKUP(A7754,'Fintech, Regulatory Arbitrage, '!A:A,'Fintech, Regulatory Arbitrage, '!C:C,"")</f>
        <v/>
      </c>
    </row>
    <row r="7755">
      <c r="A7755" s="1" t="s">
        <v>7775</v>
      </c>
      <c r="B7755" s="2">
        <v>1.0</v>
      </c>
      <c r="C7755" s="4"/>
      <c r="E7755" s="4" t="str">
        <f t="array" ref="E7755">XLOOKUP(A7755,'Fintech, Regulatory Arbitrage, '!A:A,'Fintech, Regulatory Arbitrage, '!C:C,"")</f>
        <v/>
      </c>
    </row>
    <row r="7756">
      <c r="A7756" s="1" t="s">
        <v>7776</v>
      </c>
      <c r="B7756" s="2">
        <v>1.0</v>
      </c>
      <c r="C7756" s="4"/>
      <c r="E7756" s="4" t="str">
        <f t="array" ref="E7756">XLOOKUP(A7756,'Fintech, Regulatory Arbitrage, '!A:A,'Fintech, Regulatory Arbitrage, '!C:C,"")</f>
        <v/>
      </c>
    </row>
    <row r="7757">
      <c r="A7757" s="1" t="s">
        <v>7777</v>
      </c>
      <c r="B7757" s="2">
        <v>1.0</v>
      </c>
      <c r="C7757" s="4"/>
      <c r="E7757" s="4" t="str">
        <f t="array" ref="E7757">XLOOKUP(A7757,'Fintech, Regulatory Arbitrage, '!A:A,'Fintech, Regulatory Arbitrage, '!C:C,"")</f>
        <v/>
      </c>
    </row>
    <row r="7758">
      <c r="A7758" s="1" t="s">
        <v>7778</v>
      </c>
      <c r="B7758" s="2">
        <v>1.0</v>
      </c>
      <c r="C7758" s="4"/>
      <c r="E7758" s="4" t="str">
        <f t="array" ref="E7758">XLOOKUP(A7758,'Fintech, Regulatory Arbitrage, '!A:A,'Fintech, Regulatory Arbitrage, '!C:C,"")</f>
        <v/>
      </c>
    </row>
    <row r="7759">
      <c r="A7759" s="1" t="s">
        <v>7779</v>
      </c>
      <c r="B7759" s="2">
        <v>1.0</v>
      </c>
      <c r="C7759" s="4"/>
      <c r="E7759" s="4" t="str">
        <f t="array" ref="E7759">XLOOKUP(A7759,'Fintech, Regulatory Arbitrage, '!A:A,'Fintech, Regulatory Arbitrage, '!C:C,"")</f>
        <v/>
      </c>
    </row>
    <row r="7760">
      <c r="A7760" s="1" t="s">
        <v>7780</v>
      </c>
      <c r="B7760" s="2">
        <v>1.0</v>
      </c>
      <c r="C7760" s="4"/>
      <c r="E7760" s="4" t="str">
        <f t="array" ref="E7760">XLOOKUP(A7760,'Fintech, Regulatory Arbitrage, '!A:A,'Fintech, Regulatory Arbitrage, '!C:C,"")</f>
        <v/>
      </c>
    </row>
    <row r="7761">
      <c r="A7761" s="1" t="s">
        <v>7781</v>
      </c>
      <c r="B7761" s="2">
        <v>1.0</v>
      </c>
      <c r="C7761" s="4"/>
      <c r="E7761" s="4" t="str">
        <f t="array" ref="E7761">XLOOKUP(A7761,'Fintech, Regulatory Arbitrage, '!A:A,'Fintech, Regulatory Arbitrage, '!C:C,"")</f>
        <v/>
      </c>
    </row>
    <row r="7762">
      <c r="A7762" s="1" t="s">
        <v>7782</v>
      </c>
      <c r="B7762" s="2">
        <v>1.0</v>
      </c>
      <c r="C7762" s="4"/>
      <c r="E7762" s="4" t="str">
        <f t="array" ref="E7762">XLOOKUP(A7762,'Fintech, Regulatory Arbitrage, '!A:A,'Fintech, Regulatory Arbitrage, '!C:C,"")</f>
        <v/>
      </c>
    </row>
    <row r="7763">
      <c r="A7763" s="1" t="s">
        <v>7783</v>
      </c>
      <c r="B7763" s="2">
        <v>1.0</v>
      </c>
      <c r="C7763" s="4"/>
      <c r="E7763" s="4" t="str">
        <f t="array" ref="E7763">XLOOKUP(A7763,'Fintech, Regulatory Arbitrage, '!A:A,'Fintech, Regulatory Arbitrage, '!C:C,"")</f>
        <v/>
      </c>
    </row>
    <row r="7764">
      <c r="A7764" s="1" t="s">
        <v>7784</v>
      </c>
      <c r="B7764" s="2">
        <v>1.0</v>
      </c>
      <c r="C7764" s="4"/>
      <c r="E7764" s="4" t="str">
        <f t="array" ref="E7764">XLOOKUP(A7764,'Fintech, Regulatory Arbitrage, '!A:A,'Fintech, Regulatory Arbitrage, '!C:C,"")</f>
        <v/>
      </c>
    </row>
    <row r="7765">
      <c r="A7765" s="1" t="s">
        <v>7785</v>
      </c>
      <c r="B7765" s="2">
        <v>1.0</v>
      </c>
      <c r="C7765" s="4"/>
      <c r="E7765" s="4" t="str">
        <f t="array" ref="E7765">XLOOKUP(A7765,'Fintech, Regulatory Arbitrage, '!A:A,'Fintech, Regulatory Arbitrage, '!C:C,"")</f>
        <v/>
      </c>
    </row>
    <row r="7766">
      <c r="A7766" s="1" t="s">
        <v>7786</v>
      </c>
      <c r="B7766" s="2">
        <v>1.0</v>
      </c>
      <c r="C7766" s="4"/>
      <c r="E7766" s="4" t="str">
        <f t="array" ref="E7766">XLOOKUP(A7766,'Fintech, Regulatory Arbitrage, '!A:A,'Fintech, Regulatory Arbitrage, '!C:C,"")</f>
        <v/>
      </c>
    </row>
    <row r="7767">
      <c r="A7767" s="1" t="s">
        <v>7787</v>
      </c>
      <c r="B7767" s="2">
        <v>1.0</v>
      </c>
      <c r="C7767" s="4"/>
      <c r="E7767" s="4" t="str">
        <f t="array" ref="E7767">XLOOKUP(A7767,'Fintech, Regulatory Arbitrage, '!A:A,'Fintech, Regulatory Arbitrage, '!C:C,"")</f>
        <v/>
      </c>
    </row>
    <row r="7768">
      <c r="A7768" s="1" t="s">
        <v>7788</v>
      </c>
      <c r="B7768" s="2">
        <v>1.0</v>
      </c>
      <c r="C7768" s="4"/>
      <c r="E7768" s="4" t="str">
        <f t="array" ref="E7768">XLOOKUP(A7768,'Fintech, Regulatory Arbitrage, '!A:A,'Fintech, Regulatory Arbitrage, '!C:C,"")</f>
        <v/>
      </c>
    </row>
    <row r="7769">
      <c r="A7769" s="1" t="s">
        <v>7789</v>
      </c>
      <c r="B7769" s="2">
        <v>1.0</v>
      </c>
      <c r="C7769" s="4"/>
      <c r="E7769" s="4" t="str">
        <f t="array" ref="E7769">XLOOKUP(A7769,'Fintech, Regulatory Arbitrage, '!A:A,'Fintech, Regulatory Arbitrage, '!C:C,"")</f>
        <v/>
      </c>
    </row>
    <row r="7770">
      <c r="A7770" s="1" t="s">
        <v>7790</v>
      </c>
      <c r="B7770" s="2">
        <v>1.0</v>
      </c>
      <c r="C7770" s="4"/>
      <c r="E7770" s="4" t="str">
        <f t="array" ref="E7770">XLOOKUP(A7770,'Fintech, Regulatory Arbitrage, '!A:A,'Fintech, Regulatory Arbitrage, '!C:C,"")</f>
        <v/>
      </c>
    </row>
    <row r="7771">
      <c r="A7771" s="1" t="s">
        <v>7791</v>
      </c>
      <c r="B7771" s="2">
        <v>1.0</v>
      </c>
      <c r="C7771" s="4"/>
      <c r="E7771" s="4" t="str">
        <f t="array" ref="E7771">XLOOKUP(A7771,'Fintech, Regulatory Arbitrage, '!A:A,'Fintech, Regulatory Arbitrage, '!C:C,"")</f>
        <v/>
      </c>
    </row>
    <row r="7772">
      <c r="A7772" s="1" t="s">
        <v>7792</v>
      </c>
      <c r="B7772" s="2">
        <v>1.0</v>
      </c>
      <c r="C7772" s="4"/>
      <c r="E7772" s="4" t="str">
        <f t="array" ref="E7772">XLOOKUP(A7772,'Fintech, Regulatory Arbitrage, '!A:A,'Fintech, Regulatory Arbitrage, '!C:C,"")</f>
        <v/>
      </c>
    </row>
    <row r="7773">
      <c r="A7773" s="1" t="s">
        <v>7793</v>
      </c>
      <c r="B7773" s="2">
        <v>1.0</v>
      </c>
      <c r="C7773" s="4"/>
      <c r="E7773" s="4" t="str">
        <f t="array" ref="E7773">XLOOKUP(A7773,'Fintech, Regulatory Arbitrage, '!A:A,'Fintech, Regulatory Arbitrage, '!C:C,"")</f>
        <v/>
      </c>
    </row>
    <row r="7774">
      <c r="A7774" s="1" t="s">
        <v>7794</v>
      </c>
      <c r="B7774" s="2">
        <v>1.0</v>
      </c>
      <c r="C7774" s="4"/>
      <c r="E7774" s="4" t="str">
        <f t="array" ref="E7774">XLOOKUP(A7774,'Fintech, Regulatory Arbitrage, '!A:A,'Fintech, Regulatory Arbitrage, '!C:C,"")</f>
        <v/>
      </c>
    </row>
    <row r="7775">
      <c r="A7775" s="1" t="s">
        <v>7795</v>
      </c>
      <c r="B7775" s="2">
        <v>1.0</v>
      </c>
      <c r="C7775" s="4"/>
      <c r="E7775" s="4" t="str">
        <f t="array" ref="E7775">XLOOKUP(A7775,'Fintech, Regulatory Arbitrage, '!A:A,'Fintech, Regulatory Arbitrage, '!C:C,"")</f>
        <v/>
      </c>
    </row>
    <row r="7776">
      <c r="A7776" s="1" t="s">
        <v>7796</v>
      </c>
      <c r="B7776" s="2">
        <v>1.0</v>
      </c>
      <c r="C7776" s="4"/>
      <c r="E7776" s="4" t="str">
        <f t="array" ref="E7776">XLOOKUP(A7776,'Fintech, Regulatory Arbitrage, '!A:A,'Fintech, Regulatory Arbitrage, '!C:C,"")</f>
        <v/>
      </c>
    </row>
    <row r="7777">
      <c r="A7777" s="1" t="s">
        <v>7797</v>
      </c>
      <c r="B7777" s="2">
        <v>1.0</v>
      </c>
      <c r="C7777" s="4"/>
      <c r="E7777" s="4" t="str">
        <f t="array" ref="E7777">XLOOKUP(A7777,'Fintech, Regulatory Arbitrage, '!A:A,'Fintech, Regulatory Arbitrage, '!C:C,"")</f>
        <v/>
      </c>
    </row>
    <row r="7778">
      <c r="A7778" s="1" t="s">
        <v>7798</v>
      </c>
      <c r="B7778" s="2">
        <v>1.0</v>
      </c>
      <c r="C7778" s="4"/>
      <c r="E7778" s="4" t="str">
        <f t="array" ref="E7778">XLOOKUP(A7778,'Fintech, Regulatory Arbitrage, '!A:A,'Fintech, Regulatory Arbitrage, '!C:C,"")</f>
        <v/>
      </c>
    </row>
    <row r="7779">
      <c r="A7779" s="1" t="s">
        <v>7799</v>
      </c>
      <c r="B7779" s="2">
        <v>1.0</v>
      </c>
      <c r="C7779" s="4"/>
      <c r="E7779" s="4" t="str">
        <f t="array" ref="E7779">XLOOKUP(A7779,'Fintech, Regulatory Arbitrage, '!A:A,'Fintech, Regulatory Arbitrage, '!C:C,"")</f>
        <v/>
      </c>
    </row>
  </sheetData>
  <autoFilter ref="$A$1:$D$7779"/>
  <mergeCells count="1">
    <mergeCell ref="H3:J3"/>
  </mergeCells>
  <dataValidations>
    <dataValidation type="list" allowBlank="1" showErrorMessage="1" sqref="C2:C7779">
      <formula1>"fintech,non fintech,credit bureat"</formula1>
    </dataValidation>
  </dataValidations>
  <hyperlinks>
    <hyperlink r:id="rId1" ref="I37"/>
    <hyperlink r:id="rId2" ref="A2234"/>
    <hyperlink r:id="rId3" ref="A294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9.38"/>
    <col customWidth="1" min="3" max="3" width="19.5"/>
    <col customWidth="1" min="4" max="4" width="20.63"/>
    <col customWidth="1" min="5" max="5" width="14.25"/>
  </cols>
  <sheetData>
    <row r="1">
      <c r="A1" s="20" t="s">
        <v>0</v>
      </c>
      <c r="B1" s="20" t="s">
        <v>7800</v>
      </c>
      <c r="C1" s="20" t="s">
        <v>7801</v>
      </c>
      <c r="D1" s="20" t="s">
        <v>7802</v>
      </c>
      <c r="E1" s="20" t="s">
        <v>7803</v>
      </c>
      <c r="F1" s="20" t="s">
        <v>7804</v>
      </c>
    </row>
    <row r="2">
      <c r="A2" s="21" t="s">
        <v>11</v>
      </c>
      <c r="B2" s="22">
        <v>1.40250220834855</v>
      </c>
      <c r="C2" s="3">
        <v>1.0</v>
      </c>
      <c r="D2" s="3">
        <v>1.0</v>
      </c>
      <c r="E2" s="23">
        <v>43252.0</v>
      </c>
      <c r="F2" s="15" t="s">
        <v>7805</v>
      </c>
    </row>
    <row r="3">
      <c r="A3" s="21" t="s">
        <v>14</v>
      </c>
      <c r="B3" s="22">
        <v>1.3105886540242</v>
      </c>
      <c r="C3" s="3">
        <v>1.0</v>
      </c>
      <c r="D3" s="3">
        <v>1.0</v>
      </c>
      <c r="E3" s="23">
        <v>45352.0</v>
      </c>
      <c r="F3" s="24" t="s">
        <v>7806</v>
      </c>
    </row>
    <row r="4">
      <c r="A4" s="21" t="s">
        <v>15</v>
      </c>
      <c r="B4" s="22">
        <v>1.2905394254306</v>
      </c>
      <c r="C4" s="3">
        <v>1.0</v>
      </c>
      <c r="D4" s="3">
        <v>1.0</v>
      </c>
      <c r="E4" s="25">
        <v>43800.0</v>
      </c>
      <c r="F4" s="15" t="s">
        <v>7807</v>
      </c>
    </row>
    <row r="5">
      <c r="A5" s="21" t="s">
        <v>16</v>
      </c>
      <c r="B5" s="22">
        <v>1.202375536</v>
      </c>
      <c r="C5" s="3">
        <v>1.0</v>
      </c>
      <c r="D5" s="3">
        <v>1.0</v>
      </c>
      <c r="E5" s="23">
        <v>42795.0</v>
      </c>
      <c r="F5" s="15" t="s">
        <v>7808</v>
      </c>
    </row>
    <row r="6">
      <c r="A6" s="21" t="s">
        <v>17</v>
      </c>
      <c r="B6" s="22">
        <v>1.02060606658367</v>
      </c>
      <c r="C6" s="3">
        <v>1.0</v>
      </c>
      <c r="D6" s="3">
        <v>1.0</v>
      </c>
    </row>
    <row r="7">
      <c r="A7" s="21" t="s">
        <v>18</v>
      </c>
      <c r="B7" s="22">
        <v>0.58448858014475</v>
      </c>
      <c r="C7" s="3">
        <v>1.0</v>
      </c>
      <c r="D7" s="3">
        <v>1.0</v>
      </c>
      <c r="E7" s="25">
        <v>43374.0</v>
      </c>
      <c r="F7" s="15" t="s">
        <v>7809</v>
      </c>
    </row>
    <row r="8">
      <c r="A8" s="21" t="s">
        <v>19</v>
      </c>
      <c r="B8" s="22">
        <v>0.483893828876347</v>
      </c>
    </row>
    <row r="9">
      <c r="A9" s="21" t="s">
        <v>21</v>
      </c>
      <c r="B9" s="22">
        <v>0.421161340087718</v>
      </c>
    </row>
    <row r="10">
      <c r="A10" s="21" t="s">
        <v>23</v>
      </c>
      <c r="B10" s="22">
        <v>0.419231240473321</v>
      </c>
      <c r="C10" s="3">
        <v>1.0</v>
      </c>
      <c r="D10" s="3">
        <v>1.0</v>
      </c>
    </row>
    <row r="11">
      <c r="A11" s="21" t="s">
        <v>25</v>
      </c>
      <c r="B11" s="22">
        <v>0.39095995757522</v>
      </c>
    </row>
    <row r="12">
      <c r="A12" s="21" t="s">
        <v>26</v>
      </c>
      <c r="B12" s="22">
        <v>0.390254238332951</v>
      </c>
    </row>
    <row r="13">
      <c r="A13" s="21" t="s">
        <v>28</v>
      </c>
      <c r="B13" s="22">
        <v>0.371021263320769</v>
      </c>
    </row>
    <row r="14">
      <c r="A14" s="21" t="s">
        <v>29</v>
      </c>
      <c r="B14" s="22">
        <v>0.366999514</v>
      </c>
    </row>
    <row r="15">
      <c r="A15" s="21" t="s">
        <v>31</v>
      </c>
      <c r="B15" s="22">
        <v>0.351048558500426</v>
      </c>
    </row>
    <row r="16">
      <c r="A16" s="21" t="s">
        <v>32</v>
      </c>
      <c r="B16" s="22">
        <v>0.339501971379938</v>
      </c>
    </row>
    <row r="17">
      <c r="A17" s="21" t="s">
        <v>33</v>
      </c>
      <c r="B17" s="22">
        <v>0.330531684625804</v>
      </c>
    </row>
    <row r="18">
      <c r="A18" s="21" t="s">
        <v>35</v>
      </c>
      <c r="B18" s="22">
        <v>0.310252884712429</v>
      </c>
    </row>
    <row r="19">
      <c r="A19" s="21" t="s">
        <v>37</v>
      </c>
      <c r="B19" s="22">
        <v>0.307600060572817</v>
      </c>
    </row>
    <row r="20">
      <c r="A20" s="21" t="s">
        <v>38</v>
      </c>
      <c r="B20" s="22">
        <v>0.30725145227242</v>
      </c>
    </row>
    <row r="21">
      <c r="A21" s="21" t="s">
        <v>40</v>
      </c>
      <c r="B21" s="22">
        <v>0.270094909034915</v>
      </c>
    </row>
    <row r="22">
      <c r="A22" s="21" t="s">
        <v>41</v>
      </c>
      <c r="B22" s="22">
        <v>0.267025455463121</v>
      </c>
    </row>
    <row r="23">
      <c r="A23" s="21" t="s">
        <v>42</v>
      </c>
      <c r="B23" s="22">
        <v>0.265869096222778</v>
      </c>
    </row>
    <row r="24">
      <c r="A24" s="21" t="s">
        <v>43</v>
      </c>
      <c r="B24" s="22">
        <v>0.246559597437337</v>
      </c>
    </row>
    <row r="25">
      <c r="A25" s="26" t="s">
        <v>44</v>
      </c>
      <c r="B25" s="22">
        <v>0.233244460890442</v>
      </c>
    </row>
    <row r="26">
      <c r="A26" s="21" t="s">
        <v>45</v>
      </c>
      <c r="B26" s="22">
        <v>0.212404487</v>
      </c>
      <c r="C26" s="3">
        <v>1.0</v>
      </c>
      <c r="D26" s="3">
        <v>1.0</v>
      </c>
      <c r="E26" s="23">
        <v>45839.0</v>
      </c>
      <c r="F26" s="15" t="s">
        <v>7810</v>
      </c>
    </row>
    <row r="27">
      <c r="A27" s="21" t="s">
        <v>46</v>
      </c>
      <c r="B27" s="22">
        <v>0.201325544800375</v>
      </c>
      <c r="C27" s="3">
        <v>0.0</v>
      </c>
      <c r="D27" s="3">
        <v>1.0</v>
      </c>
      <c r="E27" s="23">
        <v>45840.0</v>
      </c>
      <c r="F27" s="15" t="s">
        <v>7811</v>
      </c>
    </row>
    <row r="28">
      <c r="A28" s="21" t="s">
        <v>47</v>
      </c>
      <c r="B28" s="22">
        <v>0.183572029404514</v>
      </c>
      <c r="C28" s="3">
        <v>0.0</v>
      </c>
      <c r="D28" s="3">
        <v>1.0</v>
      </c>
      <c r="E28" s="25">
        <v>45261.0</v>
      </c>
      <c r="F28" s="15" t="s">
        <v>7812</v>
      </c>
    </row>
    <row r="29">
      <c r="A29" s="21" t="s">
        <v>48</v>
      </c>
      <c r="B29" s="22">
        <v>0.18244117808859</v>
      </c>
      <c r="C29" s="3">
        <v>0.0</v>
      </c>
      <c r="D29" s="3">
        <v>0.0</v>
      </c>
    </row>
    <row r="30">
      <c r="A30" s="21" t="s">
        <v>50</v>
      </c>
      <c r="B30" s="22">
        <v>0.1658355192916</v>
      </c>
      <c r="C30" s="3">
        <v>1.0</v>
      </c>
      <c r="D30" s="3">
        <v>1.0</v>
      </c>
      <c r="E30" s="23">
        <v>44805.0</v>
      </c>
      <c r="F30" s="15" t="s">
        <v>7813</v>
      </c>
    </row>
    <row r="31">
      <c r="A31" s="21" t="s">
        <v>51</v>
      </c>
      <c r="B31" s="22">
        <v>0.164066969865193</v>
      </c>
      <c r="C31" s="3">
        <v>1.0</v>
      </c>
      <c r="D31" s="3">
        <v>1.0</v>
      </c>
      <c r="E31" s="23">
        <v>45689.0</v>
      </c>
      <c r="F31" s="15" t="s">
        <v>7814</v>
      </c>
    </row>
    <row r="32">
      <c r="A32" s="21" t="s">
        <v>52</v>
      </c>
      <c r="B32" s="22">
        <v>0.160138749504614</v>
      </c>
      <c r="C32" s="3">
        <v>0.0</v>
      </c>
      <c r="D32" s="3">
        <v>0.0</v>
      </c>
    </row>
    <row r="33">
      <c r="A33" s="21" t="s">
        <v>53</v>
      </c>
      <c r="B33" s="22">
        <v>0.150828357091555</v>
      </c>
      <c r="C33" s="3">
        <v>0.0</v>
      </c>
      <c r="D33" s="3">
        <v>0.0</v>
      </c>
    </row>
    <row r="34">
      <c r="A34" s="21" t="s">
        <v>55</v>
      </c>
      <c r="B34" s="22">
        <v>0.146687570694149</v>
      </c>
      <c r="C34" s="3">
        <v>0.0</v>
      </c>
      <c r="D34" s="3">
        <v>1.0</v>
      </c>
      <c r="E34" s="23">
        <v>43101.0</v>
      </c>
      <c r="F34" s="15" t="s">
        <v>7815</v>
      </c>
      <c r="G34" s="15" t="s">
        <v>7816</v>
      </c>
    </row>
    <row r="35">
      <c r="A35" s="21" t="s">
        <v>58</v>
      </c>
      <c r="B35" s="22">
        <v>0.145616237868537</v>
      </c>
      <c r="C35" s="3">
        <v>0.0</v>
      </c>
      <c r="D35" s="27">
        <v>1.0</v>
      </c>
      <c r="E35" s="23">
        <v>45536.0</v>
      </c>
      <c r="F35" s="15" t="s">
        <v>7817</v>
      </c>
    </row>
    <row r="36">
      <c r="A36" s="21" t="s">
        <v>59</v>
      </c>
      <c r="B36" s="22">
        <v>0.142325715618442</v>
      </c>
      <c r="C36" s="3">
        <v>1.0</v>
      </c>
      <c r="D36" s="27">
        <v>1.0</v>
      </c>
      <c r="E36" s="23">
        <v>45778.0</v>
      </c>
      <c r="F36" s="15" t="s">
        <v>7818</v>
      </c>
    </row>
    <row r="37">
      <c r="A37" s="21" t="s">
        <v>60</v>
      </c>
      <c r="B37" s="22">
        <v>0.138312468843133</v>
      </c>
      <c r="C37" s="3">
        <v>0.0</v>
      </c>
      <c r="D37" s="3">
        <v>0.0</v>
      </c>
      <c r="E37" s="23"/>
    </row>
    <row r="38">
      <c r="A38" s="21" t="s">
        <v>61</v>
      </c>
      <c r="B38" s="22">
        <v>0.138048886957466</v>
      </c>
      <c r="C38" s="3">
        <v>0.0</v>
      </c>
      <c r="D38" s="3">
        <v>1.0</v>
      </c>
      <c r="E38" s="23">
        <v>45536.0</v>
      </c>
      <c r="F38" s="15" t="s">
        <v>7819</v>
      </c>
    </row>
    <row r="39">
      <c r="A39" s="21" t="s">
        <v>62</v>
      </c>
      <c r="B39" s="22">
        <v>0.133967619050372</v>
      </c>
      <c r="C39" s="3">
        <v>0.0</v>
      </c>
      <c r="D39" s="3">
        <v>0.0</v>
      </c>
    </row>
    <row r="40">
      <c r="A40" s="21" t="s">
        <v>63</v>
      </c>
      <c r="B40" s="22">
        <v>0.130626080951438</v>
      </c>
      <c r="C40" s="3">
        <v>0.0</v>
      </c>
      <c r="D40" s="3">
        <v>0.0</v>
      </c>
    </row>
    <row r="41">
      <c r="A41" s="21" t="s">
        <v>64</v>
      </c>
      <c r="B41" s="22">
        <v>0.129945869633589</v>
      </c>
      <c r="C41" s="3">
        <v>1.0</v>
      </c>
    </row>
    <row r="42">
      <c r="A42" s="21" t="s">
        <v>65</v>
      </c>
      <c r="B42" s="22">
        <v>0.127139997947462</v>
      </c>
      <c r="C42" s="3">
        <v>0.0</v>
      </c>
      <c r="D42" s="3">
        <v>0.0</v>
      </c>
    </row>
    <row r="43">
      <c r="A43" s="21" t="s">
        <v>66</v>
      </c>
      <c r="B43" s="22">
        <v>0.123509370038442</v>
      </c>
      <c r="C43" s="3">
        <v>0.0</v>
      </c>
      <c r="D43" s="3">
        <v>0.0</v>
      </c>
    </row>
    <row r="44">
      <c r="A44" s="28" t="s">
        <v>67</v>
      </c>
      <c r="B44" s="29">
        <v>0.122063920988013</v>
      </c>
      <c r="C44" s="30">
        <v>1.0</v>
      </c>
      <c r="D44" s="3">
        <v>1.0</v>
      </c>
      <c r="E44" s="23">
        <v>45689.0</v>
      </c>
      <c r="F44" s="15" t="s">
        <v>7814</v>
      </c>
      <c r="G44" s="30" t="s">
        <v>7820</v>
      </c>
    </row>
    <row r="45">
      <c r="A45" s="21" t="s">
        <v>68</v>
      </c>
      <c r="B45" s="22">
        <v>0.115950521768845</v>
      </c>
      <c r="C45" s="3">
        <v>0.0</v>
      </c>
      <c r="D45" s="3">
        <v>1.0</v>
      </c>
      <c r="E45" s="25">
        <v>45931.0</v>
      </c>
      <c r="F45" s="15" t="s">
        <v>7821</v>
      </c>
    </row>
    <row r="46">
      <c r="A46" s="21" t="s">
        <v>69</v>
      </c>
      <c r="B46" s="22">
        <v>0.112991602536201</v>
      </c>
      <c r="C46" s="3">
        <v>0.0</v>
      </c>
      <c r="D46" s="3">
        <v>1.0</v>
      </c>
      <c r="E46" s="25">
        <v>45200.0</v>
      </c>
      <c r="F46" s="15" t="s">
        <v>7822</v>
      </c>
    </row>
    <row r="47">
      <c r="A47" s="21" t="s">
        <v>70</v>
      </c>
      <c r="B47" s="22">
        <v>0.105900399547625</v>
      </c>
      <c r="C47" s="3">
        <v>0.0</v>
      </c>
      <c r="D47" s="3">
        <v>1.0</v>
      </c>
      <c r="F47" s="15" t="s">
        <v>7823</v>
      </c>
    </row>
    <row r="48">
      <c r="A48" s="21" t="s">
        <v>71</v>
      </c>
      <c r="B48" s="22">
        <v>0.105628315020485</v>
      </c>
      <c r="C48" s="3">
        <v>0.0</v>
      </c>
    </row>
    <row r="49">
      <c r="A49" s="21" t="s">
        <v>72</v>
      </c>
      <c r="B49" s="22">
        <v>0.102805438051412</v>
      </c>
      <c r="C49" s="3">
        <v>0.0</v>
      </c>
    </row>
    <row r="50">
      <c r="A50" s="26" t="s">
        <v>73</v>
      </c>
      <c r="B50" s="22">
        <v>0.098316043</v>
      </c>
      <c r="C50" s="3">
        <v>0.0</v>
      </c>
    </row>
    <row r="51">
      <c r="A51" s="21" t="s">
        <v>74</v>
      </c>
      <c r="B51" s="22">
        <v>0.096232896</v>
      </c>
    </row>
    <row r="52">
      <c r="A52" s="21" t="s">
        <v>75</v>
      </c>
      <c r="B52" s="22">
        <v>0.093044406</v>
      </c>
    </row>
    <row r="53">
      <c r="A53" s="21" t="s">
        <v>76</v>
      </c>
      <c r="B53" s="22">
        <v>0.085196468</v>
      </c>
    </row>
    <row r="54">
      <c r="A54" s="21" t="s">
        <v>77</v>
      </c>
      <c r="B54" s="22">
        <v>0.083921071</v>
      </c>
    </row>
    <row r="55">
      <c r="A55" s="21" t="s">
        <v>78</v>
      </c>
      <c r="B55" s="22">
        <v>0.081990972</v>
      </c>
    </row>
    <row r="56">
      <c r="A56" s="21" t="s">
        <v>79</v>
      </c>
      <c r="B56" s="22">
        <v>0.077229493</v>
      </c>
    </row>
    <row r="57">
      <c r="A57" s="21" t="s">
        <v>80</v>
      </c>
      <c r="B57" s="22">
        <v>0.076863879</v>
      </c>
    </row>
    <row r="58">
      <c r="A58" s="21" t="s">
        <v>81</v>
      </c>
      <c r="B58" s="22">
        <v>0.076447249</v>
      </c>
    </row>
    <row r="59">
      <c r="A59" s="21" t="s">
        <v>82</v>
      </c>
      <c r="B59" s="22">
        <v>0.075784043</v>
      </c>
    </row>
    <row r="60">
      <c r="A60" s="21" t="s">
        <v>83</v>
      </c>
      <c r="B60" s="22">
        <v>0.075299393</v>
      </c>
    </row>
    <row r="61">
      <c r="A61" s="21" t="s">
        <v>84</v>
      </c>
      <c r="B61" s="22">
        <v>0.074576668</v>
      </c>
    </row>
    <row r="62">
      <c r="A62" s="21" t="s">
        <v>85</v>
      </c>
      <c r="B62" s="22">
        <v>0.074160039</v>
      </c>
    </row>
    <row r="63">
      <c r="A63" s="21" t="s">
        <v>86</v>
      </c>
      <c r="B63" s="22">
        <v>0.074151536</v>
      </c>
    </row>
    <row r="64">
      <c r="A64" s="21" t="s">
        <v>87</v>
      </c>
      <c r="B64" s="22">
        <v>0.072110902</v>
      </c>
    </row>
    <row r="65">
      <c r="A65" s="21" t="s">
        <v>88</v>
      </c>
      <c r="B65" s="22">
        <v>0.068327227</v>
      </c>
    </row>
    <row r="66">
      <c r="A66" s="21" t="s">
        <v>89</v>
      </c>
      <c r="B66" s="22">
        <v>0.068301719</v>
      </c>
    </row>
    <row r="67">
      <c r="A67" s="21" t="s">
        <v>90</v>
      </c>
      <c r="B67" s="22">
        <v>0.067902095</v>
      </c>
    </row>
    <row r="68">
      <c r="A68" s="21" t="s">
        <v>91</v>
      </c>
      <c r="B68" s="22">
        <v>0.064390504</v>
      </c>
    </row>
    <row r="69">
      <c r="A69" s="21" t="s">
        <v>92</v>
      </c>
      <c r="B69" s="22">
        <v>0.063191631</v>
      </c>
    </row>
    <row r="70">
      <c r="A70" s="21" t="s">
        <v>93</v>
      </c>
      <c r="B70" s="22">
        <v>0.062953557</v>
      </c>
    </row>
    <row r="71">
      <c r="A71" s="21" t="s">
        <v>94</v>
      </c>
      <c r="B71" s="22">
        <v>0.062817515</v>
      </c>
    </row>
    <row r="72">
      <c r="A72" s="21" t="s">
        <v>95</v>
      </c>
      <c r="B72" s="22">
        <v>0.06132105</v>
      </c>
    </row>
    <row r="73">
      <c r="A73" s="21" t="s">
        <v>96</v>
      </c>
      <c r="B73" s="22">
        <v>0.06087041</v>
      </c>
    </row>
    <row r="74">
      <c r="A74" s="21" t="s">
        <v>97</v>
      </c>
      <c r="B74" s="22">
        <v>0.060436776</v>
      </c>
    </row>
    <row r="75">
      <c r="A75" s="21" t="s">
        <v>98</v>
      </c>
      <c r="B75" s="22">
        <v>0.060215707</v>
      </c>
    </row>
    <row r="76">
      <c r="A76" s="21" t="s">
        <v>99</v>
      </c>
      <c r="B76" s="22">
        <v>0.058362131</v>
      </c>
    </row>
    <row r="77">
      <c r="A77" s="21" t="s">
        <v>100</v>
      </c>
      <c r="B77" s="22">
        <v>0.058251597</v>
      </c>
    </row>
    <row r="78">
      <c r="A78" s="21" t="s">
        <v>101</v>
      </c>
      <c r="B78" s="22">
        <v>0.058030528</v>
      </c>
    </row>
    <row r="79">
      <c r="A79" s="21" t="s">
        <v>102</v>
      </c>
      <c r="B79" s="22">
        <v>0.0553606986314403</v>
      </c>
    </row>
    <row r="80">
      <c r="A80" s="21" t="s">
        <v>103</v>
      </c>
      <c r="B80" s="22">
        <v>0.053235038</v>
      </c>
    </row>
    <row r="81">
      <c r="A81" s="21" t="s">
        <v>104</v>
      </c>
      <c r="B81" s="22">
        <v>0.053226536</v>
      </c>
    </row>
    <row r="82">
      <c r="A82" s="21" t="s">
        <v>105</v>
      </c>
      <c r="B82" s="22">
        <v>0.050599219</v>
      </c>
    </row>
    <row r="83">
      <c r="A83" s="21" t="s">
        <v>106</v>
      </c>
      <c r="B83" s="22">
        <v>0.050420664</v>
      </c>
    </row>
    <row r="84">
      <c r="A84" s="21" t="s">
        <v>107</v>
      </c>
      <c r="B84" s="22">
        <v>0.048805162</v>
      </c>
    </row>
    <row r="85">
      <c r="A85" s="21" t="s">
        <v>108</v>
      </c>
      <c r="B85" s="22">
        <v>0.048448051</v>
      </c>
    </row>
    <row r="86">
      <c r="A86" s="21" t="s">
        <v>109</v>
      </c>
      <c r="B86" s="22">
        <v>0.048320511</v>
      </c>
    </row>
    <row r="87">
      <c r="A87" s="21" t="s">
        <v>110</v>
      </c>
      <c r="B87" s="22">
        <v>0.048167464</v>
      </c>
    </row>
    <row r="88">
      <c r="A88" s="21" t="s">
        <v>111</v>
      </c>
      <c r="B88" s="22">
        <v>0.0469770941389506</v>
      </c>
    </row>
    <row r="89">
      <c r="A89" s="21" t="s">
        <v>112</v>
      </c>
      <c r="B89" s="22">
        <v>0.0461098247086931</v>
      </c>
    </row>
    <row r="90">
      <c r="A90" s="21" t="s">
        <v>113</v>
      </c>
      <c r="B90" s="22">
        <v>0.044077693</v>
      </c>
    </row>
    <row r="91">
      <c r="A91" s="21" t="s">
        <v>114</v>
      </c>
      <c r="B91" s="22">
        <v>0.043661064</v>
      </c>
    </row>
    <row r="92">
      <c r="A92" s="21" t="s">
        <v>115</v>
      </c>
      <c r="B92" s="22">
        <v>0.043601545</v>
      </c>
    </row>
    <row r="93">
      <c r="A93" s="21" t="s">
        <v>116</v>
      </c>
      <c r="B93" s="22">
        <v>0.043465503</v>
      </c>
    </row>
    <row r="94">
      <c r="A94" s="21" t="s">
        <v>117</v>
      </c>
      <c r="B94" s="22">
        <v>0.042819302</v>
      </c>
    </row>
    <row r="95">
      <c r="A95" s="21" t="s">
        <v>118</v>
      </c>
      <c r="B95" s="22">
        <v>0.042572726</v>
      </c>
    </row>
    <row r="96">
      <c r="A96" s="21" t="s">
        <v>119</v>
      </c>
      <c r="B96" s="22">
        <v>0.042105081</v>
      </c>
    </row>
    <row r="97">
      <c r="A97" s="21" t="s">
        <v>120</v>
      </c>
      <c r="B97" s="22">
        <v>0.0419945462357063</v>
      </c>
    </row>
  </sheetData>
  <hyperlinks>
    <hyperlink r:id="rId1" location=":~:text=Since%20launching%20in%20June%202018%2C%20more%20than%2037,engaged%20Erica%20to%20help%20manage%20their%20financial%20needs." ref="F2"/>
    <hyperlink r:id="rId2" ref="F3"/>
    <hyperlink r:id="rId3" location="2250aec8197e" ref="F4"/>
    <hyperlink r:id="rId4" ref="F5"/>
    <hyperlink r:id="rId5" ref="F7"/>
    <hyperlink r:id="rId6" ref="F26"/>
    <hyperlink r:id="rId7" ref="F27"/>
    <hyperlink r:id="rId8" ref="F28"/>
    <hyperlink r:id="rId9" location=":~:text=Truist%20launches%20Truist%20Assist%20%2D%20Sep%2015%2C%202022" ref="F30"/>
    <hyperlink r:id="rId10" ref="F31"/>
    <hyperlink r:id="rId11" ref="F34"/>
    <hyperlink r:id="rId12" ref="G34"/>
    <hyperlink r:id="rId13" ref="F35"/>
    <hyperlink r:id="rId14" location=":~:text=Across%20the%20board%2C%20we%20are,need%20to%20answer%20the%20questions." ref="F36"/>
    <hyperlink r:id="rId15" location=":~:text=Citizens%20Bank%20has%20deployed%20generative,efficiency%20gains%20are%20adding%20up." ref="F38"/>
    <hyperlink r:id="rId16" ref="F44"/>
    <hyperlink r:id="rId17" ref="F45"/>
    <hyperlink r:id="rId18" ref="F46"/>
    <hyperlink r:id="rId19" ref="F47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3.88"/>
    <col customWidth="1" min="3" max="3" width="19.25"/>
  </cols>
  <sheetData>
    <row r="1">
      <c r="A1" s="1" t="s">
        <v>7824</v>
      </c>
      <c r="B1" s="3" t="s">
        <v>7825</v>
      </c>
    </row>
    <row r="2">
      <c r="A2" s="5" t="s">
        <v>7826</v>
      </c>
      <c r="B2" s="5" t="s">
        <v>7827</v>
      </c>
      <c r="C2" s="5" t="s">
        <v>7828</v>
      </c>
    </row>
    <row r="3">
      <c r="A3" s="3" t="s">
        <v>7829</v>
      </c>
      <c r="B3" s="3" t="s">
        <v>7830</v>
      </c>
      <c r="C3" s="3" t="s">
        <v>7831</v>
      </c>
    </row>
    <row r="4">
      <c r="A4" s="3" t="s">
        <v>7832</v>
      </c>
      <c r="B4" s="3" t="s">
        <v>7830</v>
      </c>
      <c r="C4" s="3" t="s">
        <v>7831</v>
      </c>
    </row>
    <row r="5">
      <c r="A5" s="3" t="s">
        <v>7833</v>
      </c>
      <c r="B5" s="3" t="s">
        <v>7830</v>
      </c>
      <c r="C5" s="3" t="s">
        <v>7831</v>
      </c>
    </row>
    <row r="6">
      <c r="A6" s="3" t="s">
        <v>7834</v>
      </c>
      <c r="B6" s="3" t="s">
        <v>7830</v>
      </c>
      <c r="C6" s="3" t="s">
        <v>7831</v>
      </c>
      <c r="D6" s="3" t="s">
        <v>7835</v>
      </c>
    </row>
    <row r="7">
      <c r="A7" s="3" t="s">
        <v>7836</v>
      </c>
      <c r="B7" s="3" t="s">
        <v>7830</v>
      </c>
      <c r="C7" s="3" t="s">
        <v>7831</v>
      </c>
    </row>
    <row r="8">
      <c r="A8" s="3" t="s">
        <v>7837</v>
      </c>
      <c r="B8" s="3" t="s">
        <v>7830</v>
      </c>
      <c r="C8" s="3" t="s">
        <v>7831</v>
      </c>
    </row>
    <row r="9">
      <c r="A9" s="3" t="s">
        <v>7838</v>
      </c>
      <c r="B9" s="3" t="s">
        <v>7830</v>
      </c>
      <c r="C9" s="3" t="s">
        <v>7831</v>
      </c>
      <c r="D9" s="3" t="s">
        <v>7839</v>
      </c>
    </row>
    <row r="10">
      <c r="A10" s="3" t="s">
        <v>7840</v>
      </c>
      <c r="B10" s="3" t="s">
        <v>7830</v>
      </c>
      <c r="C10" s="3" t="s">
        <v>7841</v>
      </c>
    </row>
    <row r="11">
      <c r="A11" s="3" t="s">
        <v>7842</v>
      </c>
      <c r="B11" s="3" t="s">
        <v>7830</v>
      </c>
      <c r="C11" s="3" t="s">
        <v>7841</v>
      </c>
    </row>
    <row r="12">
      <c r="A12" s="3" t="s">
        <v>7843</v>
      </c>
      <c r="B12" s="3" t="s">
        <v>7830</v>
      </c>
      <c r="C12" s="3" t="s">
        <v>7841</v>
      </c>
    </row>
    <row r="13">
      <c r="A13" s="3" t="s">
        <v>7844</v>
      </c>
      <c r="B13" s="3" t="s">
        <v>7830</v>
      </c>
      <c r="C13" s="3" t="s">
        <v>7841</v>
      </c>
    </row>
    <row r="14">
      <c r="A14" s="3" t="s">
        <v>7845</v>
      </c>
      <c r="B14" s="3" t="s">
        <v>7830</v>
      </c>
      <c r="C14" s="3" t="s">
        <v>7841</v>
      </c>
    </row>
    <row r="15">
      <c r="A15" s="3" t="s">
        <v>7846</v>
      </c>
      <c r="B15" s="3" t="s">
        <v>7830</v>
      </c>
      <c r="C15" s="3" t="s">
        <v>7841</v>
      </c>
    </row>
    <row r="16">
      <c r="A16" s="3" t="s">
        <v>7847</v>
      </c>
      <c r="B16" s="3" t="s">
        <v>7830</v>
      </c>
      <c r="C16" s="3" t="s">
        <v>7841</v>
      </c>
    </row>
    <row r="17">
      <c r="A17" s="3" t="s">
        <v>7848</v>
      </c>
      <c r="B17" s="3" t="s">
        <v>7830</v>
      </c>
      <c r="C17" s="3" t="s">
        <v>7841</v>
      </c>
    </row>
    <row r="18">
      <c r="A18" s="3" t="s">
        <v>7849</v>
      </c>
      <c r="B18" s="3" t="s">
        <v>7830</v>
      </c>
      <c r="C18" s="3" t="s">
        <v>7841</v>
      </c>
    </row>
    <row r="19">
      <c r="A19" s="3" t="s">
        <v>7850</v>
      </c>
      <c r="B19" s="3" t="s">
        <v>7830</v>
      </c>
      <c r="C19" s="3" t="s">
        <v>7841</v>
      </c>
    </row>
    <row r="20">
      <c r="A20" s="3" t="s">
        <v>7851</v>
      </c>
      <c r="B20" s="3" t="s">
        <v>7830</v>
      </c>
      <c r="C20" s="3" t="s">
        <v>7841</v>
      </c>
    </row>
    <row r="21">
      <c r="A21" s="3" t="s">
        <v>7852</v>
      </c>
      <c r="B21" s="3" t="s">
        <v>7830</v>
      </c>
      <c r="C21" s="3" t="s">
        <v>7841</v>
      </c>
    </row>
    <row r="22">
      <c r="A22" s="3" t="s">
        <v>7853</v>
      </c>
      <c r="B22" s="3" t="s">
        <v>7830</v>
      </c>
      <c r="C22" s="3" t="s">
        <v>7841</v>
      </c>
    </row>
    <row r="23">
      <c r="A23" s="3" t="s">
        <v>7854</v>
      </c>
      <c r="B23" s="3" t="s">
        <v>7830</v>
      </c>
      <c r="C23" s="3" t="s">
        <v>7841</v>
      </c>
    </row>
    <row r="24">
      <c r="A24" s="3" t="s">
        <v>7855</v>
      </c>
      <c r="B24" s="3" t="s">
        <v>7830</v>
      </c>
      <c r="C24" s="3" t="s">
        <v>7841</v>
      </c>
    </row>
    <row r="25">
      <c r="A25" s="3" t="s">
        <v>7856</v>
      </c>
      <c r="B25" s="3" t="s">
        <v>7830</v>
      </c>
      <c r="C25" s="3" t="s">
        <v>7841</v>
      </c>
    </row>
    <row r="26">
      <c r="A26" s="3" t="s">
        <v>7857</v>
      </c>
      <c r="B26" s="3" t="s">
        <v>7830</v>
      </c>
      <c r="C26" s="3" t="s">
        <v>7841</v>
      </c>
    </row>
    <row r="27">
      <c r="A27" s="3" t="s">
        <v>7858</v>
      </c>
      <c r="B27" s="3" t="s">
        <v>7830</v>
      </c>
      <c r="C27" s="3" t="s">
        <v>7841</v>
      </c>
    </row>
    <row r="28">
      <c r="A28" s="3" t="s">
        <v>7859</v>
      </c>
      <c r="B28" s="3" t="s">
        <v>7830</v>
      </c>
      <c r="C28" s="3" t="s">
        <v>7841</v>
      </c>
    </row>
    <row r="29">
      <c r="A29" s="15" t="s">
        <v>7860</v>
      </c>
      <c r="B29" s="3" t="s">
        <v>7830</v>
      </c>
      <c r="C29" s="3" t="s">
        <v>7841</v>
      </c>
    </row>
    <row r="30">
      <c r="A30" s="3" t="s">
        <v>7861</v>
      </c>
      <c r="B30" s="3" t="s">
        <v>7830</v>
      </c>
      <c r="C30" s="3" t="s">
        <v>7841</v>
      </c>
    </row>
    <row r="31">
      <c r="A31" s="3" t="s">
        <v>7862</v>
      </c>
      <c r="B31" s="3" t="s">
        <v>7830</v>
      </c>
      <c r="C31" s="3" t="s">
        <v>7841</v>
      </c>
    </row>
    <row r="32">
      <c r="A32" s="3" t="s">
        <v>7863</v>
      </c>
      <c r="B32" s="3" t="s">
        <v>7830</v>
      </c>
      <c r="C32" s="3" t="s">
        <v>7841</v>
      </c>
    </row>
    <row r="33">
      <c r="A33" s="3" t="s">
        <v>7864</v>
      </c>
      <c r="B33" s="3" t="s">
        <v>7830</v>
      </c>
      <c r="C33" s="3" t="s">
        <v>7841</v>
      </c>
    </row>
    <row r="34">
      <c r="A34" s="3" t="s">
        <v>7865</v>
      </c>
      <c r="B34" s="3" t="s">
        <v>7830</v>
      </c>
      <c r="C34" s="3" t="s">
        <v>7841</v>
      </c>
    </row>
    <row r="35">
      <c r="A35" s="3" t="s">
        <v>7866</v>
      </c>
      <c r="B35" s="3" t="s">
        <v>7830</v>
      </c>
      <c r="C35" s="3" t="s">
        <v>7841</v>
      </c>
    </row>
    <row r="36">
      <c r="A36" s="3" t="s">
        <v>7867</v>
      </c>
      <c r="B36" s="3" t="s">
        <v>7830</v>
      </c>
      <c r="C36" s="3" t="s">
        <v>7841</v>
      </c>
    </row>
    <row r="37">
      <c r="A37" s="3" t="s">
        <v>7868</v>
      </c>
      <c r="B37" s="3" t="s">
        <v>7830</v>
      </c>
      <c r="C37" s="3" t="s">
        <v>7841</v>
      </c>
    </row>
    <row r="38">
      <c r="A38" s="3" t="s">
        <v>7869</v>
      </c>
      <c r="B38" s="3" t="s">
        <v>7830</v>
      </c>
      <c r="C38" s="3" t="s">
        <v>7841</v>
      </c>
    </row>
    <row r="39">
      <c r="A39" s="3" t="s">
        <v>7870</v>
      </c>
      <c r="B39" s="3" t="s">
        <v>7830</v>
      </c>
      <c r="C39" s="3" t="s">
        <v>7841</v>
      </c>
    </row>
    <row r="40">
      <c r="A40" s="3" t="s">
        <v>7871</v>
      </c>
      <c r="B40" s="3" t="s">
        <v>7830</v>
      </c>
      <c r="C40" s="3" t="s">
        <v>7841</v>
      </c>
    </row>
    <row r="41">
      <c r="A41" s="3" t="s">
        <v>7872</v>
      </c>
      <c r="B41" s="3" t="s">
        <v>7830</v>
      </c>
      <c r="C41" s="3" t="s">
        <v>7841</v>
      </c>
    </row>
    <row r="42">
      <c r="A42" s="3" t="s">
        <v>7873</v>
      </c>
      <c r="B42" s="3" t="s">
        <v>7830</v>
      </c>
      <c r="C42" s="3" t="s">
        <v>7841</v>
      </c>
    </row>
    <row r="43">
      <c r="A43" s="3" t="s">
        <v>7874</v>
      </c>
      <c r="B43" s="3" t="s">
        <v>7830</v>
      </c>
      <c r="C43" s="3" t="s">
        <v>7841</v>
      </c>
    </row>
    <row r="44">
      <c r="A44" s="3" t="s">
        <v>7875</v>
      </c>
      <c r="B44" s="3" t="s">
        <v>7830</v>
      </c>
      <c r="C44" s="3" t="s">
        <v>7841</v>
      </c>
    </row>
    <row r="45">
      <c r="A45" s="3" t="s">
        <v>7876</v>
      </c>
      <c r="B45" s="3" t="s">
        <v>7830</v>
      </c>
      <c r="C45" s="3" t="s">
        <v>7841</v>
      </c>
    </row>
    <row r="46">
      <c r="A46" s="3" t="s">
        <v>7877</v>
      </c>
      <c r="B46" s="3" t="s">
        <v>7830</v>
      </c>
      <c r="C46" s="3" t="s">
        <v>7841</v>
      </c>
    </row>
    <row r="47">
      <c r="A47" s="3" t="s">
        <v>7878</v>
      </c>
      <c r="B47" s="3" t="s">
        <v>7830</v>
      </c>
      <c r="C47" s="3" t="s">
        <v>7841</v>
      </c>
    </row>
    <row r="48">
      <c r="A48" s="3" t="s">
        <v>7879</v>
      </c>
      <c r="B48" s="3" t="s">
        <v>7830</v>
      </c>
      <c r="C48" s="3" t="s">
        <v>7841</v>
      </c>
    </row>
    <row r="49">
      <c r="A49" s="3" t="s">
        <v>7880</v>
      </c>
      <c r="B49" s="3" t="s">
        <v>7830</v>
      </c>
      <c r="C49" s="3" t="s">
        <v>7841</v>
      </c>
    </row>
    <row r="50">
      <c r="A50" s="3" t="s">
        <v>7881</v>
      </c>
      <c r="B50" s="3" t="s">
        <v>7882</v>
      </c>
    </row>
    <row r="51">
      <c r="A51" s="3" t="s">
        <v>7883</v>
      </c>
      <c r="B51" s="3" t="s">
        <v>7882</v>
      </c>
    </row>
    <row r="52">
      <c r="A52" s="3" t="s">
        <v>7884</v>
      </c>
      <c r="B52" s="3" t="s">
        <v>7882</v>
      </c>
    </row>
    <row r="53">
      <c r="A53" s="3" t="s">
        <v>7885</v>
      </c>
      <c r="B53" s="3" t="s">
        <v>7882</v>
      </c>
    </row>
    <row r="54">
      <c r="A54" s="3" t="s">
        <v>7886</v>
      </c>
      <c r="B54" s="3" t="s">
        <v>7882</v>
      </c>
    </row>
    <row r="55">
      <c r="A55" s="3" t="s">
        <v>7887</v>
      </c>
      <c r="B55" s="3" t="s">
        <v>7882</v>
      </c>
    </row>
    <row r="56">
      <c r="A56" s="3" t="s">
        <v>7888</v>
      </c>
      <c r="B56" s="3" t="s">
        <v>7882</v>
      </c>
    </row>
    <row r="57">
      <c r="A57" s="3" t="s">
        <v>7889</v>
      </c>
      <c r="B57" s="3" t="s">
        <v>7882</v>
      </c>
    </row>
    <row r="58">
      <c r="A58" s="3" t="s">
        <v>7890</v>
      </c>
      <c r="B58" s="3" t="s">
        <v>7882</v>
      </c>
    </row>
    <row r="59">
      <c r="A59" s="3" t="s">
        <v>7891</v>
      </c>
      <c r="B59" s="3" t="s">
        <v>7882</v>
      </c>
    </row>
    <row r="60">
      <c r="A60" s="3" t="s">
        <v>7892</v>
      </c>
      <c r="B60" s="3" t="s">
        <v>7882</v>
      </c>
    </row>
    <row r="61">
      <c r="A61" s="3" t="s">
        <v>7893</v>
      </c>
      <c r="B61" s="3" t="s">
        <v>7882</v>
      </c>
    </row>
    <row r="62">
      <c r="A62" s="3" t="s">
        <v>7894</v>
      </c>
      <c r="B62" s="3" t="s">
        <v>7882</v>
      </c>
    </row>
    <row r="63">
      <c r="A63" s="3" t="s">
        <v>7895</v>
      </c>
      <c r="B63" s="3" t="s">
        <v>7882</v>
      </c>
    </row>
    <row r="64">
      <c r="A64" s="3" t="s">
        <v>7896</v>
      </c>
      <c r="B64" s="3" t="s">
        <v>7882</v>
      </c>
    </row>
    <row r="65">
      <c r="A65" s="3" t="s">
        <v>7897</v>
      </c>
      <c r="B65" s="3" t="s">
        <v>7882</v>
      </c>
    </row>
    <row r="66">
      <c r="A66" s="3" t="s">
        <v>7898</v>
      </c>
      <c r="B66" s="3" t="s">
        <v>7882</v>
      </c>
    </row>
    <row r="67">
      <c r="A67" s="3" t="s">
        <v>7899</v>
      </c>
      <c r="B67" s="3" t="s">
        <v>7882</v>
      </c>
    </row>
    <row r="68">
      <c r="A68" s="3" t="s">
        <v>7900</v>
      </c>
      <c r="B68" s="3" t="s">
        <v>7882</v>
      </c>
    </row>
    <row r="69">
      <c r="A69" s="3" t="s">
        <v>7901</v>
      </c>
      <c r="B69" s="3" t="s">
        <v>7882</v>
      </c>
    </row>
    <row r="70">
      <c r="A70" s="3" t="s">
        <v>7902</v>
      </c>
      <c r="B70" s="3" t="s">
        <v>7882</v>
      </c>
    </row>
    <row r="71">
      <c r="A71" s="3" t="s">
        <v>7903</v>
      </c>
      <c r="B71" s="3" t="s">
        <v>7882</v>
      </c>
    </row>
    <row r="72">
      <c r="A72" s="3" t="s">
        <v>7904</v>
      </c>
      <c r="B72" s="3" t="s">
        <v>7882</v>
      </c>
    </row>
    <row r="73">
      <c r="A73" s="3" t="s">
        <v>7905</v>
      </c>
      <c r="B73" s="3" t="s">
        <v>7882</v>
      </c>
    </row>
    <row r="74">
      <c r="A74" s="3" t="s">
        <v>7906</v>
      </c>
      <c r="B74" s="3" t="s">
        <v>7882</v>
      </c>
    </row>
    <row r="75">
      <c r="A75" s="3" t="s">
        <v>7907</v>
      </c>
      <c r="B75" s="3" t="s">
        <v>7882</v>
      </c>
    </row>
    <row r="76">
      <c r="A76" s="3" t="s">
        <v>7908</v>
      </c>
      <c r="B76" s="3" t="s">
        <v>7882</v>
      </c>
    </row>
    <row r="77">
      <c r="A77" s="3" t="s">
        <v>7909</v>
      </c>
      <c r="B77" s="3" t="s">
        <v>7882</v>
      </c>
    </row>
    <row r="78">
      <c r="A78" s="3" t="s">
        <v>7910</v>
      </c>
      <c r="B78" s="3" t="s">
        <v>7882</v>
      </c>
    </row>
    <row r="79">
      <c r="A79" s="3" t="s">
        <v>7911</v>
      </c>
      <c r="B79" s="3" t="s">
        <v>7882</v>
      </c>
    </row>
    <row r="80">
      <c r="A80" s="3" t="s">
        <v>7912</v>
      </c>
      <c r="B80" s="3" t="s">
        <v>7882</v>
      </c>
    </row>
    <row r="81">
      <c r="A81" s="3" t="s">
        <v>7913</v>
      </c>
      <c r="B81" s="3" t="s">
        <v>7882</v>
      </c>
    </row>
  </sheetData>
  <hyperlinks>
    <hyperlink r:id="rId1" ref="A2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30.13"/>
    <col customWidth="1" min="3" max="3" width="23.13"/>
    <col customWidth="1" min="4" max="4" width="14.0"/>
    <col customWidth="1" min="5" max="5" width="22.13"/>
  </cols>
  <sheetData>
    <row r="1">
      <c r="A1" s="3" t="s">
        <v>7914</v>
      </c>
      <c r="B1" s="15" t="s">
        <v>7915</v>
      </c>
    </row>
    <row r="2">
      <c r="B2" s="3" t="s">
        <v>7916</v>
      </c>
    </row>
    <row r="3">
      <c r="A3" s="3" t="s">
        <v>7917</v>
      </c>
      <c r="B3" s="3" t="s">
        <v>7918</v>
      </c>
      <c r="C3" s="3" t="s">
        <v>7919</v>
      </c>
      <c r="D3" s="3" t="s">
        <v>7920</v>
      </c>
      <c r="E3" s="3" t="s">
        <v>7921</v>
      </c>
    </row>
    <row r="4">
      <c r="A4" s="3" t="s">
        <v>108</v>
      </c>
      <c r="B4" s="3" t="s">
        <v>7922</v>
      </c>
      <c r="C4" s="3">
        <v>288.0</v>
      </c>
      <c r="D4" s="3">
        <v>6.2</v>
      </c>
      <c r="E4" s="3">
        <v>4.2</v>
      </c>
    </row>
    <row r="5">
      <c r="A5" s="3" t="s">
        <v>7923</v>
      </c>
      <c r="B5" s="3" t="s">
        <v>7922</v>
      </c>
      <c r="C5" s="3">
        <v>287.0</v>
      </c>
      <c r="D5" s="3">
        <v>6.2</v>
      </c>
      <c r="E5" s="3">
        <v>1.3</v>
      </c>
    </row>
    <row r="6">
      <c r="A6" s="3" t="s">
        <v>625</v>
      </c>
      <c r="B6" s="3" t="s">
        <v>7922</v>
      </c>
      <c r="C6" s="3">
        <v>85.0</v>
      </c>
      <c r="D6" s="3">
        <v>1.8</v>
      </c>
      <c r="E6" s="3" t="s">
        <v>7924</v>
      </c>
    </row>
    <row r="7">
      <c r="A7" s="3" t="s">
        <v>7925</v>
      </c>
      <c r="B7" s="3" t="s">
        <v>7922</v>
      </c>
      <c r="C7" s="3">
        <v>84.0</v>
      </c>
      <c r="D7" s="3">
        <v>1.8</v>
      </c>
      <c r="E7" s="3" t="s">
        <v>7924</v>
      </c>
    </row>
    <row r="8">
      <c r="A8" s="3" t="s">
        <v>7926</v>
      </c>
      <c r="B8" s="3" t="s">
        <v>7922</v>
      </c>
      <c r="C8" s="3">
        <v>65.0</v>
      </c>
      <c r="D8" s="3">
        <v>1.4</v>
      </c>
      <c r="E8" s="3" t="s">
        <v>7924</v>
      </c>
    </row>
    <row r="9">
      <c r="A9" s="3" t="s">
        <v>7927</v>
      </c>
      <c r="B9" s="3" t="s">
        <v>7928</v>
      </c>
      <c r="C9" s="3">
        <v>65.0</v>
      </c>
      <c r="D9" s="3">
        <v>1.4</v>
      </c>
      <c r="E9" s="3" t="s">
        <v>7924</v>
      </c>
    </row>
    <row r="10">
      <c r="A10" s="3" t="s">
        <v>7929</v>
      </c>
      <c r="B10" s="3" t="s">
        <v>7930</v>
      </c>
      <c r="C10" s="3">
        <v>63.0</v>
      </c>
      <c r="D10" s="3">
        <v>1.4</v>
      </c>
      <c r="E10" s="3">
        <v>128.0</v>
      </c>
    </row>
    <row r="11">
      <c r="A11" s="3" t="s">
        <v>473</v>
      </c>
      <c r="B11" s="3" t="s">
        <v>7922</v>
      </c>
      <c r="C11" s="3">
        <v>62.0</v>
      </c>
      <c r="D11" s="3">
        <v>1.3</v>
      </c>
      <c r="E11" s="3" t="s">
        <v>7924</v>
      </c>
    </row>
    <row r="12">
      <c r="A12" s="3" t="s">
        <v>7931</v>
      </c>
      <c r="B12" s="3" t="s">
        <v>7922</v>
      </c>
      <c r="C12" s="3">
        <v>59.0</v>
      </c>
      <c r="D12" s="3">
        <v>1.3</v>
      </c>
      <c r="E12" s="3" t="s">
        <v>7924</v>
      </c>
    </row>
    <row r="13">
      <c r="A13" s="3" t="s">
        <v>7932</v>
      </c>
      <c r="B13" s="3" t="s">
        <v>7922</v>
      </c>
      <c r="C13" s="3">
        <v>56.0</v>
      </c>
      <c r="D13" s="3">
        <v>1.2</v>
      </c>
      <c r="E13" s="3">
        <v>29.0</v>
      </c>
    </row>
    <row r="14">
      <c r="A14" s="3" t="s">
        <v>7933</v>
      </c>
      <c r="B14" s="3" t="s">
        <v>7934</v>
      </c>
      <c r="C14" s="3">
        <v>55.0</v>
      </c>
      <c r="D14" s="3">
        <v>1.2</v>
      </c>
      <c r="E14" s="3" t="s">
        <v>7924</v>
      </c>
    </row>
    <row r="15">
      <c r="A15" s="3" t="s">
        <v>7935</v>
      </c>
      <c r="B15" s="3" t="s">
        <v>7930</v>
      </c>
      <c r="C15" s="3">
        <v>51.0</v>
      </c>
      <c r="D15" s="3">
        <v>1.1</v>
      </c>
      <c r="E15" s="3">
        <v>6.0</v>
      </c>
    </row>
    <row r="16">
      <c r="A16" s="3" t="s">
        <v>7936</v>
      </c>
      <c r="B16" s="3" t="s">
        <v>7930</v>
      </c>
      <c r="C16" s="3">
        <v>49.0</v>
      </c>
      <c r="D16" s="3">
        <v>1.1</v>
      </c>
      <c r="E16" s="3">
        <v>58.0</v>
      </c>
    </row>
    <row r="17">
      <c r="A17" s="3" t="s">
        <v>7937</v>
      </c>
      <c r="B17" s="3" t="s">
        <v>7922</v>
      </c>
      <c r="C17" s="3">
        <v>48.0</v>
      </c>
      <c r="D17" s="3">
        <v>1.0</v>
      </c>
      <c r="E17" s="3">
        <v>2.0</v>
      </c>
    </row>
    <row r="18">
      <c r="A18" s="3" t="s">
        <v>7938</v>
      </c>
      <c r="B18" s="3" t="s">
        <v>7922</v>
      </c>
      <c r="C18" s="3">
        <v>47.0</v>
      </c>
      <c r="D18" s="3">
        <v>1.0</v>
      </c>
      <c r="E18" s="3" t="s">
        <v>7924</v>
      </c>
    </row>
    <row r="19">
      <c r="A19" s="3" t="s">
        <v>7939</v>
      </c>
      <c r="B19" s="3" t="s">
        <v>7922</v>
      </c>
      <c r="C19" s="3">
        <v>47.0</v>
      </c>
      <c r="D19" s="3">
        <v>1.0</v>
      </c>
      <c r="E19" s="3">
        <v>218.0</v>
      </c>
    </row>
    <row r="20">
      <c r="A20" s="3" t="s">
        <v>7940</v>
      </c>
      <c r="B20" s="3" t="s">
        <v>7922</v>
      </c>
      <c r="C20" s="3">
        <v>42.0</v>
      </c>
      <c r="D20" s="3">
        <v>0.9</v>
      </c>
      <c r="E20" s="3">
        <v>12.0</v>
      </c>
    </row>
    <row r="21">
      <c r="A21" s="3" t="s">
        <v>7941</v>
      </c>
      <c r="B21" s="3" t="s">
        <v>7922</v>
      </c>
      <c r="C21" s="3">
        <v>32.0</v>
      </c>
      <c r="D21" s="3">
        <v>0.7</v>
      </c>
      <c r="E21" s="3">
        <v>71.0</v>
      </c>
    </row>
    <row r="22">
      <c r="A22" s="3" t="s">
        <v>7942</v>
      </c>
      <c r="B22" s="3" t="s">
        <v>7922</v>
      </c>
      <c r="C22" s="3">
        <v>32.0</v>
      </c>
      <c r="D22" s="3">
        <v>0.7</v>
      </c>
      <c r="E22" s="3" t="s">
        <v>7924</v>
      </c>
    </row>
    <row r="23">
      <c r="A23" s="3" t="s">
        <v>7943</v>
      </c>
      <c r="B23" s="3" t="s">
        <v>7930</v>
      </c>
      <c r="C23" s="3">
        <v>31.0</v>
      </c>
      <c r="D23" s="3">
        <v>0.7</v>
      </c>
      <c r="E23" s="3" t="s">
        <v>7924</v>
      </c>
    </row>
    <row r="24">
      <c r="A24" s="3" t="s">
        <v>7944</v>
      </c>
      <c r="B24" s="3" t="s">
        <v>7922</v>
      </c>
      <c r="C24" s="3">
        <v>28.0</v>
      </c>
      <c r="D24" s="3">
        <v>0.6</v>
      </c>
      <c r="E24" s="3">
        <v>19.0</v>
      </c>
    </row>
    <row r="25">
      <c r="A25" s="3" t="s">
        <v>7945</v>
      </c>
      <c r="B25" s="3" t="s">
        <v>7930</v>
      </c>
      <c r="C25" s="3">
        <v>27.9</v>
      </c>
      <c r="D25" s="3">
        <v>0.6</v>
      </c>
      <c r="E25" s="3">
        <v>8.4</v>
      </c>
    </row>
    <row r="26">
      <c r="A26" s="3" t="s">
        <v>7946</v>
      </c>
      <c r="B26" s="3" t="s">
        <v>7922</v>
      </c>
      <c r="C26" s="3">
        <v>27.8</v>
      </c>
      <c r="D26" s="3">
        <v>0.6</v>
      </c>
      <c r="E26" s="3">
        <v>3.4</v>
      </c>
    </row>
    <row r="27">
      <c r="A27" s="3" t="s">
        <v>7947</v>
      </c>
      <c r="B27" s="3" t="s">
        <v>7922</v>
      </c>
      <c r="C27" s="3">
        <v>27.2</v>
      </c>
      <c r="D27" s="3">
        <v>0.6</v>
      </c>
      <c r="E27" s="3" t="s">
        <v>7924</v>
      </c>
    </row>
    <row r="28">
      <c r="A28" s="3" t="s">
        <v>7948</v>
      </c>
      <c r="B28" s="3" t="s">
        <v>7928</v>
      </c>
      <c r="C28" s="3">
        <v>26.0</v>
      </c>
      <c r="D28" s="3">
        <v>0.6</v>
      </c>
      <c r="E28" s="3" t="s">
        <v>7924</v>
      </c>
    </row>
    <row r="29">
      <c r="A29" s="3" t="s">
        <v>7949</v>
      </c>
      <c r="B29" s="3" t="s">
        <v>7950</v>
      </c>
      <c r="C29" s="31">
        <v>1687.3</v>
      </c>
      <c r="D29" s="3" t="s">
        <v>7950</v>
      </c>
      <c r="E29" s="3">
        <v>561.2</v>
      </c>
    </row>
    <row r="30">
      <c r="A30" s="3" t="s">
        <v>7951</v>
      </c>
      <c r="B30" s="3" t="s">
        <v>7950</v>
      </c>
      <c r="C30" s="31">
        <v>4627.4</v>
      </c>
      <c r="D30" s="3" t="s">
        <v>7950</v>
      </c>
      <c r="E30" s="31">
        <v>1212.2</v>
      </c>
    </row>
  </sheetData>
  <hyperlinks>
    <hyperlink r:id="rId1" ref="B1"/>
  </hyperlinks>
  <drawing r:id="rId2"/>
</worksheet>
</file>